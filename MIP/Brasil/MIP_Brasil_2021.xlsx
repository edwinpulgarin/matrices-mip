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dice" sheetId="1" state="visible" r:id="rId1"/>
    <sheet xmlns:r="http://schemas.openxmlformats.org/officeDocument/2006/relationships" name="Cuadro 1" sheetId="2" state="visible" r:id="rId2"/>
    <sheet xmlns:r="http://schemas.openxmlformats.org/officeDocument/2006/relationships" name="Cuadro 2" sheetId="3" state="visible" r:id="rId3"/>
    <sheet xmlns:r="http://schemas.openxmlformats.org/officeDocument/2006/relationships" name="Cuadro 3" sheetId="4" state="visible" r:id="rId4"/>
    <sheet xmlns:r="http://schemas.openxmlformats.org/officeDocument/2006/relationships" name="Cuadro 4" sheetId="5" state="visible" r:id="rId5"/>
    <sheet xmlns:r="http://schemas.openxmlformats.org/officeDocument/2006/relationships" name="Nota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0;[Red]-#,##0.0000;&quot;-&quot;"/>
    <numFmt numFmtId="165" formatCode="#,##0.0;[Red]-#,##0.0;&quot;-&quot;"/>
  </numFmts>
  <fonts count="16">
    <font>
      <name val="Calibri"/>
      <family val="2"/>
      <color theme="1"/>
      <sz val="11"/>
      <scheme val="minor"/>
    </font>
    <font>
      <name val="Segoe UI"/>
      <color rgb="0017324D"/>
      <sz val="10"/>
    </font>
    <font>
      <name val="Segoe UI"/>
      <b val="1"/>
      <color rgb="00FFFFFF"/>
      <sz val="14"/>
    </font>
    <font>
      <name val="Segoe UI"/>
      <b val="1"/>
      <color rgb="0017324D"/>
      <sz val="12"/>
    </font>
    <font>
      <name val="Segoe UI"/>
      <b val="1"/>
      <color rgb="0017324D"/>
      <sz val="10"/>
    </font>
    <font>
      <name val="Segoe UI"/>
      <b val="1"/>
      <color rgb="00FFFFFF"/>
      <sz val="10"/>
    </font>
    <font>
      <name val="Segoe UI"/>
      <b val="1"/>
      <color rgb="000072BC"/>
      <sz val="10"/>
    </font>
    <font>
      <name val="Segoe UI"/>
      <b val="1"/>
      <color rgb="000072BC"/>
      <sz val="10"/>
      <u val="single"/>
    </font>
    <font>
      <name val="Segoe UI"/>
      <b val="1"/>
      <color rgb="0000558C"/>
      <sz val="9"/>
    </font>
    <font>
      <name val="Segoe UI"/>
      <color rgb="0017324D"/>
      <sz val="9"/>
    </font>
    <font>
      <name val="Segoe UI"/>
      <b val="1"/>
      <color rgb="0017324D"/>
      <sz val="9"/>
    </font>
    <font>
      <name val="Segoe UI"/>
      <color rgb="0017324D"/>
      <sz val="8"/>
    </font>
    <font>
      <name val="Segoe UI"/>
      <color rgb="000072BC"/>
      <sz val="8"/>
      <u val="single"/>
    </font>
    <font>
      <name val="Segoe UI"/>
      <b val="1"/>
      <color rgb="0017324D"/>
      <sz val="7.5"/>
    </font>
    <font>
      <name val="Segoe UI"/>
      <b val="1"/>
      <color rgb="0017324D"/>
      <sz val="8"/>
    </font>
    <font>
      <name val="Segoe UI"/>
      <b val="1"/>
      <color rgb="00842029"/>
      <sz val="8"/>
    </font>
  </fonts>
  <fills count="10">
    <fill>
      <patternFill/>
    </fill>
    <fill>
      <patternFill patternType="gray125"/>
    </fill>
    <fill>
      <patternFill patternType="solid">
        <fgColor rgb="000072BC"/>
      </patternFill>
    </fill>
    <fill>
      <patternFill patternType="solid">
        <fgColor rgb="00F2F2F2"/>
      </patternFill>
    </fill>
    <fill>
      <patternFill patternType="solid">
        <fgColor rgb="0000558C"/>
      </patternFill>
    </fill>
    <fill>
      <patternFill patternType="solid">
        <fgColor rgb="00F8D7DA"/>
      </patternFill>
    </fill>
    <fill>
      <patternFill patternType="solid">
        <fgColor rgb="00FAFBFC"/>
      </patternFill>
    </fill>
    <fill>
      <patternFill patternType="solid">
        <fgColor rgb="00EEF3F8"/>
      </patternFill>
    </fill>
    <fill>
      <patternFill patternType="solid">
        <fgColor rgb="00FFF3CD"/>
      </patternFill>
    </fill>
    <fill>
      <patternFill patternType="solid">
        <fgColor rgb="00D4EFDF"/>
      </patternFill>
    </fill>
  </fills>
  <borders count="7">
    <border>
      <left/>
      <right/>
      <top/>
      <bottom/>
      <diagonal/>
    </border>
    <border/>
    <border>
      <bottom style="thin">
        <color rgb="00D7DEE8"/>
      </bottom>
    </border>
    <border>
      <top style="thin">
        <color rgb="00D7DEE8"/>
      </top>
      <bottom style="thin">
        <color rgb="00D7DEE8"/>
      </bottom>
    </border>
    <border>
      <bottom style="hair">
        <color rgb="00E8EDF3"/>
      </bottom>
    </border>
    <border>
      <top style="thin">
        <color rgb="00D7DEE8"/>
      </top>
      <bottom style="hair">
        <color rgb="00E8EDF3"/>
      </bottom>
    </border>
    <border>
      <top style="medium">
        <color rgb="008B96A6"/>
      </top>
      <bottom style="thin">
        <color rgb="00D7DEE8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0" borderId="0" applyAlignment="1" pivotButton="0" quotePrefix="0" xfId="0">
      <alignment vertical="center" wrapText="1"/>
    </xf>
    <xf numFmtId="0" fontId="2" fillId="2" borderId="0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vertical="center" wrapText="1"/>
    </xf>
    <xf numFmtId="0" fontId="1" fillId="0" borderId="2" applyAlignment="1" pivotButton="0" quotePrefix="0" xfId="0">
      <alignment vertical="center" wrapText="1"/>
    </xf>
    <xf numFmtId="0" fontId="4" fillId="3" borderId="3" applyAlignment="1" pivotButton="0" quotePrefix="0" xfId="0">
      <alignment vertical="center" wrapText="1"/>
    </xf>
    <xf numFmtId="0" fontId="7" fillId="0" borderId="4" applyAlignment="1" pivotButton="0" quotePrefix="0" xfId="0">
      <alignment vertical="center" wrapText="1"/>
    </xf>
    <xf numFmtId="0" fontId="1" fillId="0" borderId="4" applyAlignment="1" pivotButton="0" quotePrefix="0" xfId="0">
      <alignment vertical="center" wrapText="1"/>
    </xf>
    <xf numFmtId="0" fontId="8" fillId="0" borderId="4" applyAlignment="1" pivotButton="0" quotePrefix="0" xfId="0">
      <alignment vertical="center" wrapText="1"/>
    </xf>
    <xf numFmtId="0" fontId="9" fillId="0" borderId="4" applyAlignment="1" pivotButton="0" quotePrefix="0" xfId="0">
      <alignment vertical="center" wrapText="1"/>
    </xf>
    <xf numFmtId="164" fontId="9" fillId="0" borderId="4" applyAlignment="1" pivotButton="0" quotePrefix="0" xfId="0">
      <alignment vertical="center" wrapText="1"/>
    </xf>
    <xf numFmtId="0" fontId="6" fillId="0" borderId="4" applyAlignment="1" pivotButton="0" quotePrefix="0" xfId="0">
      <alignment vertical="center" wrapText="1"/>
    </xf>
    <xf numFmtId="0" fontId="6" fillId="3" borderId="4" applyAlignment="1" pivotButton="0" quotePrefix="0" xfId="0">
      <alignment vertical="center" wrapText="1"/>
    </xf>
    <xf numFmtId="0" fontId="8" fillId="3" borderId="4" applyAlignment="1" pivotButton="0" quotePrefix="0" xfId="0">
      <alignment vertical="center" wrapText="1"/>
    </xf>
    <xf numFmtId="0" fontId="9" fillId="3" borderId="4" applyAlignment="1" pivotButton="0" quotePrefix="0" xfId="0">
      <alignment vertical="center" wrapText="1"/>
    </xf>
    <xf numFmtId="0" fontId="5" fillId="4" borderId="3" applyAlignment="1" pivotButton="0" quotePrefix="0" xfId="0">
      <alignment vertical="center" wrapText="1"/>
    </xf>
    <xf numFmtId="0" fontId="10" fillId="0" borderId="4" applyAlignment="1" pivotButton="0" quotePrefix="0" xfId="0">
      <alignment vertical="center" wrapText="1"/>
    </xf>
    <xf numFmtId="164" fontId="9" fillId="0" borderId="4" applyAlignment="1" pivotButton="0" quotePrefix="0" xfId="0">
      <alignment horizontal="right" vertical="center"/>
    </xf>
    <xf numFmtId="164" fontId="9" fillId="5" borderId="4" applyAlignment="1" pivotButton="0" quotePrefix="0" xfId="0">
      <alignment horizontal="right" vertical="center"/>
    </xf>
    <xf numFmtId="0" fontId="5" fillId="2" borderId="0" applyAlignment="1" pivotButton="0" quotePrefix="0" xfId="0">
      <alignment vertical="center" wrapText="1"/>
    </xf>
    <xf numFmtId="0" fontId="11" fillId="0" borderId="0" applyAlignment="1" pivotButton="0" quotePrefix="0" xfId="0">
      <alignment vertical="center"/>
    </xf>
    <xf numFmtId="0" fontId="12" fillId="0" borderId="0" applyAlignment="1" pivotButton="0" quotePrefix="0" xfId="0">
      <alignment horizontal="center" vertical="center"/>
    </xf>
    <xf numFmtId="0" fontId="13" fillId="3" borderId="5" applyAlignment="1" pivotButton="0" quotePrefix="0" xfId="0">
      <alignment horizontal="center" vertical="center" wrapText="1"/>
    </xf>
    <xf numFmtId="0" fontId="0" fillId="0" borderId="5" pivotButton="0" quotePrefix="0" xfId="0"/>
    <xf numFmtId="0" fontId="13" fillId="3" borderId="3" applyAlignment="1" pivotButton="0" quotePrefix="0" xfId="0">
      <alignment horizontal="center" vertical="center" wrapText="1"/>
    </xf>
    <xf numFmtId="0" fontId="0" fillId="0" borderId="2" pivotButton="0" quotePrefix="0" xfId="0"/>
    <xf numFmtId="0" fontId="13" fillId="3" borderId="2" applyAlignment="1" pivotButton="0" quotePrefix="0" xfId="0">
      <alignment horizontal="center" vertical="center" wrapText="1"/>
    </xf>
    <xf numFmtId="0" fontId="11" fillId="6" borderId="4" applyAlignment="1" pivotButton="0" quotePrefix="0" xfId="0">
      <alignment vertical="center"/>
    </xf>
    <xf numFmtId="165" fontId="11" fillId="6" borderId="4" applyAlignment="1" pivotButton="0" quotePrefix="0" xfId="0">
      <alignment horizontal="right" vertical="center"/>
    </xf>
    <xf numFmtId="0" fontId="11" fillId="0" borderId="4" applyAlignment="1" pivotButton="0" quotePrefix="0" xfId="0">
      <alignment vertical="center"/>
    </xf>
    <xf numFmtId="165" fontId="11" fillId="0" borderId="4" applyAlignment="1" pivotButton="0" quotePrefix="0" xfId="0">
      <alignment horizontal="right" vertical="center"/>
    </xf>
    <xf numFmtId="0" fontId="14" fillId="7" borderId="6" applyAlignment="1" pivotButton="0" quotePrefix="0" xfId="0">
      <alignment vertical="center"/>
    </xf>
    <xf numFmtId="165" fontId="14" fillId="7" borderId="6" applyAlignment="1" pivotButton="0" quotePrefix="0" xfId="0">
      <alignment horizontal="right" vertical="center"/>
    </xf>
    <xf numFmtId="165" fontId="15" fillId="5" borderId="6" applyAlignment="1" pivotButton="0" quotePrefix="0" xfId="0">
      <alignment horizontal="right" vertical="center"/>
    </xf>
    <xf numFmtId="0" fontId="14" fillId="8" borderId="6" applyAlignment="1" pivotButton="0" quotePrefix="0" xfId="0">
      <alignment vertical="center"/>
    </xf>
    <xf numFmtId="165" fontId="14" fillId="8" borderId="6" applyAlignment="1" pivotButton="0" quotePrefix="0" xfId="0">
      <alignment horizontal="right" vertical="center"/>
    </xf>
    <xf numFmtId="0" fontId="10" fillId="3" borderId="3" applyAlignment="1" pivotButton="0" quotePrefix="0" xfId="0">
      <alignment vertical="center" wrapText="1"/>
    </xf>
    <xf numFmtId="164" fontId="9" fillId="9" borderId="4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Cuadro 1'!A1" TargetMode="External" Id="rId1"/><Relationship Type="http://schemas.openxmlformats.org/officeDocument/2006/relationships/hyperlink" Target="#'Cuadro 2'!A1" TargetMode="External" Id="rId2"/><Relationship Type="http://schemas.openxmlformats.org/officeDocument/2006/relationships/hyperlink" Target="#'Cuadro 3'!A1" TargetMode="External" Id="rId3"/><Relationship Type="http://schemas.openxmlformats.org/officeDocument/2006/relationships/hyperlink" Target="#'Cuadro 4'!A1" TargetMode="External" Id="rId4"/><Relationship Type="http://schemas.openxmlformats.org/officeDocument/2006/relationships/hyperlink" Target="#'Notas'!A1" TargetMode="External" Id="rId5"/></Relationships>
</file>

<file path=xl/worksheets/_rels/sheet2.xml.rels><Relationships xmlns="http://schemas.openxmlformats.org/package/2006/relationships"><Relationship Type="http://schemas.openxmlformats.org/officeDocument/2006/relationships/hyperlink" Target="#'Indice'!A1" TargetMode="External" Id="rId1"/></Relationships>
</file>

<file path=xl/worksheets/_rels/sheet3.xml.rels><Relationships xmlns="http://schemas.openxmlformats.org/package/2006/relationships"><Relationship Type="http://schemas.openxmlformats.org/officeDocument/2006/relationships/hyperlink" Target="#'Indice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Indice'!A1" TargetMode="Externa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5"/>
  <sheetViews>
    <sheetView showGridLines="0" zoomScale="85" workbookViewId="0">
      <pane ySplit="21" topLeftCell="A22" activePane="bottomLeft" state="frozen"/>
      <selection pane="bottomLeft" activeCell="A1" sqref="A1"/>
    </sheetView>
  </sheetViews>
  <sheetFormatPr baseColWidth="8" defaultRowHeight="15"/>
  <cols>
    <col width="3" customWidth="1" min="1" max="1"/>
    <col width="28" customWidth="1" min="2" max="2"/>
    <col width="24" customWidth="1" min="3" max="3"/>
    <col width="86" customWidth="1" min="4" max="4"/>
    <col width="4" customWidth="1" min="5" max="5"/>
    <col width="24" customWidth="1" min="6" max="6"/>
    <col width="28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 ht="54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17" customHeight="1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</row>
    <row r="3" ht="18" customHeight="1">
      <c r="A3" s="2" t="inlineStr">
        <is>
          <t>CEPAL | MATRICES INSUMO-PRODUCTO AUDITABLES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</row>
    <row r="4" ht="18" customHeight="1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</row>
    <row r="5" ht="18" customHeight="1">
      <c r="A5" s="3" t="inlineStr">
        <is>
          <t>Matriz insumo producto
Brasil 2021</t>
        </is>
      </c>
      <c r="B5" s="4" t="n"/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</row>
    <row r="6" ht="18" customHeight="1">
      <c r="A6" s="4" t="n"/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</row>
    <row r="7" ht="18" customHeight="1">
      <c r="A7" s="5" t="n"/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</row>
    <row r="8" ht="17" customHeight="1">
      <c r="A8" s="1" t="n"/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  <c r="M8" s="1" t="n"/>
    </row>
    <row r="9" ht="17" customHeight="1">
      <c r="A9" s="1" t="n"/>
      <c r="B9" s="6" t="inlineStr">
        <is>
          <t>Matrices insumo-producto, actividad por actividad</t>
        </is>
      </c>
      <c r="C9" s="1" t="n"/>
      <c r="D9" s="1" t="n"/>
      <c r="E9" s="1" t="n"/>
      <c r="F9" s="6" t="inlineStr">
        <is>
          <t>Ficha tecnica</t>
        </is>
      </c>
      <c r="G9" s="1" t="n"/>
      <c r="H9" s="1" t="n"/>
      <c r="I9" s="1" t="n"/>
      <c r="J9" s="1" t="n"/>
      <c r="K9" s="1" t="n"/>
      <c r="L9" s="1" t="n"/>
      <c r="M9" s="1" t="n"/>
    </row>
    <row r="10" ht="22" customHeight="1">
      <c r="A10" s="1" t="n"/>
      <c r="B10" s="7" t="inlineStr">
        <is>
          <t>Cuadro 1</t>
        </is>
      </c>
      <c r="C10" s="8" t="inlineStr">
        <is>
          <t>Nacional / domestica</t>
        </is>
      </c>
      <c r="D10" s="1" t="n"/>
      <c r="E10" s="1" t="n"/>
      <c r="F10" s="9" t="inlineStr">
        <is>
          <t>Pais</t>
        </is>
      </c>
      <c r="G10" s="10" t="inlineStr">
        <is>
          <t>Brasil</t>
        </is>
      </c>
      <c r="H10" s="1" t="n"/>
      <c r="I10" s="1" t="n"/>
      <c r="J10" s="1" t="n"/>
      <c r="K10" s="1" t="n"/>
      <c r="L10" s="1" t="n"/>
      <c r="M10" s="1" t="n"/>
    </row>
    <row r="11" ht="22" customHeight="1">
      <c r="A11" s="1" t="n"/>
      <c r="B11" s="7" t="inlineStr">
        <is>
          <t>Cuadro 2</t>
        </is>
      </c>
      <c r="C11" s="8" t="inlineStr">
        <is>
          <t>Importada / ajuste intermedio</t>
        </is>
      </c>
      <c r="D11" s="1" t="n"/>
      <c r="E11" s="1" t="n"/>
      <c r="F11" s="9" t="inlineStr">
        <is>
          <t>Ano</t>
        </is>
      </c>
      <c r="G11" s="11" t="n">
        <v>2021</v>
      </c>
      <c r="H11" s="1" t="n"/>
      <c r="I11" s="1" t="n"/>
      <c r="J11" s="1" t="n"/>
      <c r="K11" s="1" t="n"/>
      <c r="L11" s="1" t="n"/>
      <c r="M11" s="1" t="n"/>
    </row>
    <row r="12" ht="22" customHeight="1">
      <c r="A12" s="1" t="n"/>
      <c r="B12" s="7" t="inlineStr">
        <is>
          <t>Cuadro 3</t>
        </is>
      </c>
      <c r="C12" s="8" t="inlineStr">
        <is>
          <t>Nacional e importada - total auditable</t>
        </is>
      </c>
      <c r="D12" s="1" t="n"/>
      <c r="E12" s="1" t="n"/>
      <c r="F12" s="9" t="inlineStr">
        <is>
          <t>Fuente metodologica</t>
        </is>
      </c>
      <c r="G12" s="10" t="inlineStr">
        <is>
          <t>COU IBGE nivel 68</t>
        </is>
      </c>
      <c r="H12" s="1" t="n"/>
      <c r="I12" s="1" t="n"/>
      <c r="J12" s="1" t="n"/>
      <c r="K12" s="1" t="n"/>
      <c r="L12" s="1" t="n"/>
      <c r="M12" s="1" t="n"/>
    </row>
    <row r="13" ht="17" customHeight="1">
      <c r="A13" s="1" t="n"/>
      <c r="B13" s="12" t="inlineStr"/>
      <c r="C13" s="8" t="inlineStr"/>
      <c r="D13" s="1" t="n"/>
      <c r="E13" s="1" t="n"/>
      <c r="F13" s="9" t="inlineStr">
        <is>
          <t>Tipo</t>
        </is>
      </c>
      <c r="G13" s="10" t="inlineStr">
        <is>
          <t>Reconstruida desde COU</t>
        </is>
      </c>
      <c r="H13" s="1" t="n"/>
      <c r="I13" s="1" t="n"/>
      <c r="J13" s="1" t="n"/>
      <c r="K13" s="1" t="n"/>
      <c r="L13" s="1" t="n"/>
      <c r="M13" s="1" t="n"/>
    </row>
    <row r="14" ht="17" customHeight="1">
      <c r="A14" s="1" t="n"/>
      <c r="B14" s="13" t="inlineStr">
        <is>
          <t>Auditoria, multiplicadores y notas</t>
        </is>
      </c>
      <c r="C14" s="1" t="n"/>
      <c r="D14" s="1" t="n"/>
      <c r="E14" s="1" t="n"/>
      <c r="F14" s="14" t="inlineStr">
        <is>
          <t>Ajuste intermedio</t>
        </is>
      </c>
      <c r="G14" s="15" t="inlineStr">
        <is>
          <t>U_importada/ajuste transformado a industrias con D = V * diag(q)^-1.</t>
        </is>
      </c>
      <c r="H14" s="1" t="n"/>
      <c r="I14" s="1" t="n"/>
      <c r="J14" s="1" t="n"/>
      <c r="K14" s="1" t="n"/>
      <c r="L14" s="1" t="n"/>
      <c r="M14" s="1" t="n"/>
    </row>
    <row r="15" ht="22" customHeight="1">
      <c r="A15" s="1" t="n"/>
      <c r="B15" s="7" t="inlineStr">
        <is>
          <t>Cuadro 4</t>
        </is>
      </c>
      <c r="C15" s="8" t="inlineStr">
        <is>
          <t>Multiplicadores y validaciones</t>
        </is>
      </c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</row>
    <row r="16" ht="22" customHeight="1">
      <c r="A16" s="1" t="n"/>
      <c r="B16" s="7" t="inlineStr">
        <is>
          <t>Notas</t>
        </is>
      </c>
      <c r="C16" s="8" t="inlineStr">
        <is>
          <t>Fuente, convenciones y lectura contable</t>
        </is>
      </c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</row>
    <row r="17" ht="17" customHeight="1">
      <c r="A17" s="1" t="n"/>
      <c r="B17" s="1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</row>
    <row r="18" ht="17" customHeight="1">
      <c r="A18" s="1" t="n"/>
      <c r="B18" s="1" t="n"/>
      <c r="C18" s="1" t="n"/>
      <c r="D18" s="1" t="n"/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</row>
    <row r="19" ht="17" customHeight="1">
      <c r="A19" s="1" t="n"/>
      <c r="B19" s="1" t="n"/>
      <c r="C19" s="1" t="n"/>
      <c r="D19" s="1" t="n"/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</row>
    <row r="20" ht="17" customHeight="1">
      <c r="A20" s="16" t="inlineStr">
        <is>
          <t>Validacion contable y matematica</t>
        </is>
      </c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  <c r="K20" s="1" t="n"/>
      <c r="L20" s="1" t="n"/>
      <c r="M20" s="1" t="n"/>
    </row>
    <row r="21" ht="17" customHeight="1">
      <c r="A21" s="1" t="n"/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</row>
    <row r="22" ht="17" customHeight="1">
      <c r="A22" s="1" t="n"/>
      <c r="B22" s="6" t="inlineStr">
        <is>
          <t>prueba</t>
        </is>
      </c>
      <c r="C22" s="6" t="inlineStr">
        <is>
          <t>resultado</t>
        </is>
      </c>
      <c r="D22" s="6" t="inlineStr">
        <is>
          <t>lectura</t>
        </is>
      </c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</row>
    <row r="23" ht="17" customHeight="1">
      <c r="A23" s="1" t="n"/>
      <c r="B23" s="17" t="inlineStr">
        <is>
          <t>sectores</t>
        </is>
      </c>
      <c r="C23" s="18" t="n">
        <v>68</v>
      </c>
      <c r="D23" s="10" t="inlineStr">
        <is>
          <t>Cantidad de sectores de la MIP.</t>
        </is>
      </c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</row>
    <row r="24" ht="17" customHeight="1">
      <c r="A24" s="1" t="n"/>
      <c r="B24" s="17" t="inlineStr">
        <is>
          <t>cuadrada_Z_A_L</t>
        </is>
      </c>
      <c r="C24" s="18" t="b">
        <v>1</v>
      </c>
      <c r="D24" s="10" t="inlineStr">
        <is>
          <t>Z, A y L son matrices cuadradas.</t>
        </is>
      </c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</row>
    <row r="25" ht="17" customHeight="1">
      <c r="A25" s="1" t="n"/>
      <c r="B25" s="17" t="inlineStr">
        <is>
          <t>max_abs_A_menos_Z_sobre_x</t>
        </is>
      </c>
      <c r="C25" s="18" t="n">
        <v>1.665334536937735e-16</v>
      </c>
      <c r="D25" s="10" t="inlineStr">
        <is>
          <t>Consistencia de coeficientes tecnicos.</t>
        </is>
      </c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</row>
    <row r="26" ht="17" customHeight="1">
      <c r="A26" s="1" t="n"/>
      <c r="B26" s="17" t="inlineStr">
        <is>
          <t>max_abs_Leontief</t>
        </is>
      </c>
      <c r="C26" s="18" t="n">
        <v>1.332267629550188e-15</v>
      </c>
      <c r="D26" s="10" t="inlineStr">
        <is>
          <t>Residual (I-A)L - I.</t>
        </is>
      </c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</row>
    <row r="27" ht="17" customHeight="1">
      <c r="A27" s="1" t="n"/>
      <c r="B27" s="17" t="inlineStr">
        <is>
          <t>max_abs_fila_x_menos_Z_menos_y</t>
        </is>
      </c>
      <c r="C27" s="18" t="n">
        <v>285.3846563701809</v>
      </c>
      <c r="D27" s="10" t="inlineStr">
        <is>
          <t>Cierre por filas: x = ventas intermedias + demanda final.</t>
        </is>
      </c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</row>
    <row r="28" ht="17" customHeight="1">
      <c r="A28" s="1" t="n"/>
      <c r="B28" s="17" t="inlineStr">
        <is>
          <t>max_abs_columna_x_menos_Z_menos_ajuste_menos_v</t>
        </is>
      </c>
      <c r="C28" s="18" t="n">
        <v>294.0000000000146</v>
      </c>
      <c r="D28" s="10" t="inlineStr">
        <is>
          <t>Cierre por columnas con ajuste procesado.</t>
        </is>
      </c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</row>
    <row r="29" ht="17" customHeight="1">
      <c r="A29" s="1" t="n"/>
      <c r="B29" s="17" t="inlineStr">
        <is>
          <t>max_abs_total_x_menos_Ztotal_menos_ajuste_no_asignado_menos_v</t>
        </is>
      </c>
      <c r="C29" s="18" t="n">
        <v>293.9999999999854</v>
      </c>
      <c r="D29" s="10" t="inlineStr">
        <is>
          <t>Cierre Cuadro 3.</t>
        </is>
      </c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</row>
    <row r="30" ht="17" customHeight="1">
      <c r="A30" s="1" t="n"/>
      <c r="B30" s="17" t="inlineStr">
        <is>
          <t>sectores_y_negativa</t>
        </is>
      </c>
      <c r="C30" s="18" t="n">
        <v>0</v>
      </c>
      <c r="D30" s="10" t="inlineStr">
        <is>
          <t>Demanda final total negativa.</t>
        </is>
      </c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</row>
    <row r="31" ht="17" customHeight="1">
      <c r="A31" s="1" t="n"/>
      <c r="B31" s="17" t="inlineStr">
        <is>
          <t>min_y</t>
        </is>
      </c>
      <c r="C31" s="18" t="n">
        <v>560.5603185020369</v>
      </c>
      <c r="D31" s="10" t="inlineStr">
        <is>
          <t>Minimo de demanda final total.</t>
        </is>
      </c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</row>
    <row r="32" ht="17" customHeight="1">
      <c r="A32" s="1" t="n"/>
      <c r="B32" s="17" t="inlineStr">
        <is>
          <t>sectores_va_negativo</t>
        </is>
      </c>
      <c r="C32" s="18" t="n">
        <v>0</v>
      </c>
      <c r="D32" s="10" t="inlineStr">
        <is>
          <t>Valor agregado negativo.</t>
        </is>
      </c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</row>
    <row r="33" ht="17" customHeight="1">
      <c r="A33" s="1" t="n"/>
      <c r="B33" s="17" t="inlineStr">
        <is>
          <t>min_va</t>
        </is>
      </c>
      <c r="C33" s="18" t="n">
        <v>3073</v>
      </c>
      <c r="D33" s="10" t="inlineStr">
        <is>
          <t>Minimo de valor agregado.</t>
        </is>
      </c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</row>
    <row r="34" ht="17" customHeight="1">
      <c r="A34" s="1" t="n"/>
      <c r="B34" s="17" t="inlineStr">
        <is>
          <t>sectores_ajuste_negativo</t>
        </is>
      </c>
      <c r="C34" s="18" t="n">
        <v>16</v>
      </c>
      <c r="D34" s="10" t="inlineStr">
        <is>
          <t>Ajuste intermedio/importado con signo negativo.</t>
        </is>
      </c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</row>
    <row r="35" ht="17" customHeight="1">
      <c r="A35" s="1" t="n"/>
      <c r="B35" s="17" t="inlineStr">
        <is>
          <t>min_ajuste</t>
        </is>
      </c>
      <c r="C35" s="19" t="n">
        <v>-137760.1279216045</v>
      </c>
      <c r="D35" s="10" t="inlineStr">
        <is>
          <t>Minimo de ajuste intermedio/importado.</t>
        </is>
      </c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</row>
  </sheetData>
  <mergeCells count="17">
    <mergeCell ref="C12:D12"/>
    <mergeCell ref="G14:M14"/>
    <mergeCell ref="B14:D14"/>
    <mergeCell ref="A1:M1"/>
    <mergeCell ref="C10:D10"/>
    <mergeCell ref="C16:D16"/>
    <mergeCell ref="C15:D15"/>
    <mergeCell ref="G13:M13"/>
    <mergeCell ref="C11:D11"/>
    <mergeCell ref="F9:M9"/>
    <mergeCell ref="B9:D9"/>
    <mergeCell ref="G12:M12"/>
    <mergeCell ref="A3:M4"/>
    <mergeCell ref="A20:M20"/>
    <mergeCell ref="G10:M10"/>
    <mergeCell ref="G11:M11"/>
    <mergeCell ref="A5:M7"/>
  </mergeCells>
  <hyperlinks>
    <hyperlink xmlns:r="http://schemas.openxmlformats.org/officeDocument/2006/relationships" ref="B10" r:id="rId1"/>
    <hyperlink xmlns:r="http://schemas.openxmlformats.org/officeDocument/2006/relationships" ref="B11" r:id="rId2"/>
    <hyperlink xmlns:r="http://schemas.openxmlformats.org/officeDocument/2006/relationships" ref="B12" r:id="rId3"/>
    <hyperlink xmlns:r="http://schemas.openxmlformats.org/officeDocument/2006/relationships" ref="B15" r:id="rId4"/>
    <hyperlink xmlns:r="http://schemas.openxmlformats.org/officeDocument/2006/relationships" ref="B16" r:id="rId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Y92"/>
  <sheetViews>
    <sheetView showGridLines="0" zoomScale="70" workbookViewId="0">
      <pane xSplit="2" ySplit="13" topLeftCell="C1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.7" customWidth="1" min="1" max="1"/>
    <col width="77.7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</cols>
  <sheetData>
    <row r="1" ht="44" customHeight="1"/>
    <row r="2"/>
    <row r="3" ht="16" customHeight="1">
      <c r="A3" s="20" t="inlineStr">
        <is>
          <t>Matriz insumo producto, actividad por actividad - Nacional</t>
        </is>
      </c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20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20" t="n"/>
      <c r="AE3" s="20" t="n"/>
      <c r="AF3" s="20" t="n"/>
      <c r="AG3" s="20" t="n"/>
      <c r="AH3" s="20" t="n"/>
      <c r="AI3" s="20" t="n"/>
      <c r="AJ3" s="20" t="n"/>
      <c r="AK3" s="20" t="n"/>
      <c r="AL3" s="20" t="n"/>
      <c r="AM3" s="20" t="n"/>
      <c r="AN3" s="20" t="n"/>
      <c r="AO3" s="20" t="n"/>
      <c r="AP3" s="20" t="n"/>
      <c r="AQ3" s="20" t="n"/>
      <c r="AR3" s="20" t="n"/>
      <c r="AS3" s="20" t="n"/>
      <c r="AT3" s="20" t="n"/>
      <c r="AU3" s="20" t="n"/>
      <c r="AV3" s="20" t="n"/>
      <c r="AW3" s="20" t="n"/>
      <c r="AX3" s="20" t="n"/>
      <c r="AY3" s="20" t="n"/>
      <c r="AZ3" s="20" t="n"/>
      <c r="BA3" s="20" t="n"/>
      <c r="BB3" s="20" t="n"/>
      <c r="BC3" s="20" t="n"/>
      <c r="BD3" s="20" t="n"/>
      <c r="BE3" s="20" t="n"/>
      <c r="BF3" s="20" t="n"/>
      <c r="BG3" s="20" t="n"/>
      <c r="BH3" s="20" t="n"/>
      <c r="BI3" s="20" t="n"/>
      <c r="BJ3" s="20" t="n"/>
      <c r="BK3" s="20" t="n"/>
      <c r="BL3" s="20" t="n"/>
      <c r="BM3" s="20" t="n"/>
      <c r="BN3" s="20" t="n"/>
      <c r="BO3" s="20" t="n"/>
      <c r="BP3" s="20" t="n"/>
      <c r="BQ3" s="20" t="n"/>
      <c r="BR3" s="20" t="n"/>
      <c r="BS3" s="20" t="n"/>
      <c r="BT3" s="20" t="n"/>
      <c r="BU3" s="20" t="n"/>
      <c r="BV3" s="20" t="n"/>
      <c r="BW3" s="20" t="n"/>
      <c r="BX3" s="20" t="n"/>
      <c r="BY3" s="20" t="n"/>
    </row>
    <row r="4" ht="16" customHeight="1"/>
    <row r="5">
      <c r="A5" s="21" t="inlineStr">
        <is>
          <t>Valores a precios corrientes</t>
        </is>
      </c>
    </row>
    <row r="6" ht="16.5" customHeight="1">
      <c r="A6" s="21" t="inlineStr">
        <is>
          <t>Ano 2021</t>
        </is>
      </c>
      <c r="J6" s="22" t="inlineStr">
        <is>
          <t>Indice</t>
        </is>
      </c>
    </row>
    <row r="7">
      <c r="A7" s="21" t="inlineStr">
        <is>
          <t>Base / fuente original</t>
        </is>
      </c>
    </row>
    <row r="8">
      <c r="A8" s="21" t="inlineStr">
        <is>
          <t>Unidades monetarias de la fuente</t>
        </is>
      </c>
    </row>
    <row r="9"/>
    <row r="10" ht="16" customHeight="1">
      <c r="A10" s="23" t="inlineStr">
        <is>
          <t>Codigo</t>
        </is>
      </c>
      <c r="B10" s="23" t="inlineStr">
        <is>
          <t>Actividad economica</t>
        </is>
      </c>
      <c r="C10" s="23" t="inlineStr">
        <is>
          <t>Consumo intermedio por actividades economicas</t>
        </is>
      </c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  <c r="Q10" s="24" t="n"/>
      <c r="R10" s="24" t="n"/>
      <c r="S10" s="24" t="n"/>
      <c r="T10" s="24" t="n"/>
      <c r="U10" s="24" t="n"/>
      <c r="V10" s="24" t="n"/>
      <c r="W10" s="24" t="n"/>
      <c r="X10" s="24" t="n"/>
      <c r="Y10" s="24" t="n"/>
      <c r="Z10" s="24" t="n"/>
      <c r="AA10" s="24" t="n"/>
      <c r="AB10" s="24" t="n"/>
      <c r="AC10" s="24" t="n"/>
      <c r="AD10" s="24" t="n"/>
      <c r="AE10" s="24" t="n"/>
      <c r="AF10" s="24" t="n"/>
      <c r="AG10" s="24" t="n"/>
      <c r="AH10" s="24" t="n"/>
      <c r="AI10" s="24" t="n"/>
      <c r="AJ10" s="24" t="n"/>
      <c r="AK10" s="24" t="n"/>
      <c r="AL10" s="24" t="n"/>
      <c r="AM10" s="24" t="n"/>
      <c r="AN10" s="24" t="n"/>
      <c r="AO10" s="24" t="n"/>
      <c r="AP10" s="24" t="n"/>
      <c r="AQ10" s="24" t="n"/>
      <c r="AR10" s="24" t="n"/>
      <c r="AS10" s="24" t="n"/>
      <c r="AT10" s="24" t="n"/>
      <c r="AU10" s="24" t="n"/>
      <c r="AV10" s="24" t="n"/>
      <c r="AW10" s="24" t="n"/>
      <c r="AX10" s="24" t="n"/>
      <c r="AY10" s="24" t="n"/>
      <c r="AZ10" s="24" t="n"/>
      <c r="BA10" s="24" t="n"/>
      <c r="BB10" s="24" t="n"/>
      <c r="BC10" s="24" t="n"/>
      <c r="BD10" s="24" t="n"/>
      <c r="BE10" s="24" t="n"/>
      <c r="BF10" s="24" t="n"/>
      <c r="BG10" s="24" t="n"/>
      <c r="BH10" s="24" t="n"/>
      <c r="BI10" s="24" t="n"/>
      <c r="BJ10" s="24" t="n"/>
      <c r="BK10" s="24" t="n"/>
      <c r="BL10" s="24" t="n"/>
      <c r="BM10" s="24" t="n"/>
      <c r="BN10" s="24" t="n"/>
      <c r="BO10" s="24" t="n"/>
      <c r="BP10" s="24" t="n"/>
      <c r="BQ10" s="24" t="n"/>
      <c r="BR10" s="24" t="n"/>
      <c r="BS10" s="23" t="inlineStr">
        <is>
          <t>Total consumo intermedio</t>
        </is>
      </c>
      <c r="BT10" s="23" t="inlineStr">
        <is>
          <t>Demanda final</t>
        </is>
      </c>
      <c r="BU10" s="24" t="n"/>
      <c r="BV10" s="24" t="n"/>
      <c r="BW10" s="24" t="n"/>
      <c r="BX10" s="23" t="inlineStr">
        <is>
          <t>Total demanda final</t>
        </is>
      </c>
      <c r="BY10" s="23" t="inlineStr">
        <is>
          <t>Total</t>
        </is>
      </c>
    </row>
    <row r="11" ht="15" customHeight="1">
      <c r="C11" s="25" t="inlineStr">
        <is>
          <t>0191</t>
        </is>
      </c>
      <c r="D11" s="25" t="inlineStr">
        <is>
          <t>0192</t>
        </is>
      </c>
      <c r="E11" s="25" t="inlineStr">
        <is>
          <t>0280</t>
        </is>
      </c>
      <c r="F11" s="25" t="inlineStr">
        <is>
          <t>0580</t>
        </is>
      </c>
      <c r="G11" s="25" t="inlineStr">
        <is>
          <t>0680</t>
        </is>
      </c>
      <c r="H11" s="25" t="inlineStr">
        <is>
          <t>0791</t>
        </is>
      </c>
      <c r="I11" s="25" t="inlineStr">
        <is>
          <t>0792</t>
        </is>
      </c>
      <c r="J11" s="25" t="inlineStr">
        <is>
          <t>1091</t>
        </is>
      </c>
      <c r="K11" s="25" t="inlineStr">
        <is>
          <t>1092</t>
        </is>
      </c>
      <c r="L11" s="25" t="inlineStr">
        <is>
          <t>1093</t>
        </is>
      </c>
      <c r="M11" s="25" t="inlineStr">
        <is>
          <t>1100</t>
        </is>
      </c>
      <c r="N11" s="25" t="inlineStr">
        <is>
          <t>1200</t>
        </is>
      </c>
      <c r="O11" s="25" t="inlineStr">
        <is>
          <t>1300</t>
        </is>
      </c>
      <c r="P11" s="25" t="inlineStr">
        <is>
          <t>1400</t>
        </is>
      </c>
      <c r="Q11" s="25" t="inlineStr">
        <is>
          <t>1500</t>
        </is>
      </c>
      <c r="R11" s="25" t="inlineStr">
        <is>
          <t>1600</t>
        </is>
      </c>
      <c r="S11" s="25" t="inlineStr">
        <is>
          <t>1700</t>
        </is>
      </c>
      <c r="T11" s="25" t="inlineStr">
        <is>
          <t>1800</t>
        </is>
      </c>
      <c r="U11" s="25" t="inlineStr">
        <is>
          <t>1991</t>
        </is>
      </c>
      <c r="V11" s="25" t="inlineStr">
        <is>
          <t>1992</t>
        </is>
      </c>
      <c r="W11" s="25" t="inlineStr">
        <is>
          <t>2091</t>
        </is>
      </c>
      <c r="X11" s="25" t="inlineStr">
        <is>
          <t>2092</t>
        </is>
      </c>
      <c r="Y11" s="25" t="inlineStr">
        <is>
          <t>2093</t>
        </is>
      </c>
      <c r="Z11" s="25" t="inlineStr">
        <is>
          <t>2100</t>
        </is>
      </c>
      <c r="AA11" s="25" t="inlineStr">
        <is>
          <t>2200</t>
        </is>
      </c>
      <c r="AB11" s="25" t="inlineStr">
        <is>
          <t>2300</t>
        </is>
      </c>
      <c r="AC11" s="25" t="inlineStr">
        <is>
          <t>2491</t>
        </is>
      </c>
      <c r="AD11" s="25" t="inlineStr">
        <is>
          <t>2492</t>
        </is>
      </c>
      <c r="AE11" s="25" t="inlineStr">
        <is>
          <t>2500</t>
        </is>
      </c>
      <c r="AF11" s="25" t="inlineStr">
        <is>
          <t>2600</t>
        </is>
      </c>
      <c r="AG11" s="25" t="inlineStr">
        <is>
          <t>2700</t>
        </is>
      </c>
      <c r="AH11" s="25" t="inlineStr">
        <is>
          <t>2800</t>
        </is>
      </c>
      <c r="AI11" s="25" t="inlineStr">
        <is>
          <t>2991</t>
        </is>
      </c>
      <c r="AJ11" s="25" t="inlineStr">
        <is>
          <t>2992</t>
        </is>
      </c>
      <c r="AK11" s="25" t="inlineStr">
        <is>
          <t>3000</t>
        </is>
      </c>
      <c r="AL11" s="25" t="inlineStr">
        <is>
          <t>3180</t>
        </is>
      </c>
      <c r="AM11" s="25" t="inlineStr">
        <is>
          <t>3300</t>
        </is>
      </c>
      <c r="AN11" s="25" t="inlineStr">
        <is>
          <t>3500</t>
        </is>
      </c>
      <c r="AO11" s="25" t="inlineStr">
        <is>
          <t>3680</t>
        </is>
      </c>
      <c r="AP11" s="25" t="inlineStr">
        <is>
          <t>4180</t>
        </is>
      </c>
      <c r="AQ11" s="25" t="inlineStr">
        <is>
          <t>4500</t>
        </is>
      </c>
      <c r="AR11" s="25" t="inlineStr">
        <is>
          <t>4680</t>
        </is>
      </c>
      <c r="AS11" s="25" t="inlineStr">
        <is>
          <t>4900</t>
        </is>
      </c>
      <c r="AT11" s="25" t="inlineStr">
        <is>
          <t>5000</t>
        </is>
      </c>
      <c r="AU11" s="25" t="inlineStr">
        <is>
          <t>5100</t>
        </is>
      </c>
      <c r="AV11" s="25" t="inlineStr">
        <is>
          <t>5280</t>
        </is>
      </c>
      <c r="AW11" s="25" t="inlineStr">
        <is>
          <t>5500</t>
        </is>
      </c>
      <c r="AX11" s="25" t="inlineStr">
        <is>
          <t>5600</t>
        </is>
      </c>
      <c r="AY11" s="25" t="inlineStr">
        <is>
          <t>5800</t>
        </is>
      </c>
      <c r="AZ11" s="25" t="inlineStr">
        <is>
          <t>5980</t>
        </is>
      </c>
      <c r="BA11" s="25" t="inlineStr">
        <is>
          <t>6100</t>
        </is>
      </c>
      <c r="BB11" s="25" t="inlineStr">
        <is>
          <t>6280</t>
        </is>
      </c>
      <c r="BC11" s="25" t="inlineStr">
        <is>
          <t>6480</t>
        </is>
      </c>
      <c r="BD11" s="25" t="inlineStr">
        <is>
          <t>6800</t>
        </is>
      </c>
      <c r="BE11" s="25" t="inlineStr">
        <is>
          <t>6980</t>
        </is>
      </c>
      <c r="BF11" s="25" t="inlineStr">
        <is>
          <t>7180</t>
        </is>
      </c>
      <c r="BG11" s="25" t="inlineStr">
        <is>
          <t>7380</t>
        </is>
      </c>
      <c r="BH11" s="25" t="inlineStr">
        <is>
          <t>7700</t>
        </is>
      </c>
      <c r="BI11" s="25" t="inlineStr">
        <is>
          <t>7880</t>
        </is>
      </c>
      <c r="BJ11" s="25" t="inlineStr">
        <is>
          <t>8000</t>
        </is>
      </c>
      <c r="BK11" s="25" t="inlineStr">
        <is>
          <t>8400</t>
        </is>
      </c>
      <c r="BL11" s="25" t="inlineStr">
        <is>
          <t>8591</t>
        </is>
      </c>
      <c r="BM11" s="25" t="inlineStr">
        <is>
          <t>8592</t>
        </is>
      </c>
      <c r="BN11" s="25" t="inlineStr">
        <is>
          <t>8691</t>
        </is>
      </c>
      <c r="BO11" s="25" t="inlineStr">
        <is>
          <t>8692</t>
        </is>
      </c>
      <c r="BP11" s="25" t="inlineStr">
        <is>
          <t>9080</t>
        </is>
      </c>
      <c r="BQ11" s="25" t="inlineStr">
        <is>
          <t>9480</t>
        </is>
      </c>
      <c r="BR11" s="25" t="inlineStr">
        <is>
          <t>9700</t>
        </is>
      </c>
      <c r="BT11" s="25" t="inlineStr"/>
      <c r="BU11" s="25" t="inlineStr"/>
      <c r="BV11" s="25" t="inlineStr"/>
      <c r="BW11" s="25" t="inlineStr"/>
    </row>
    <row r="12" ht="90" customHeight="1">
      <c r="A12" s="26" t="n"/>
      <c r="B12" s="26" t="n"/>
      <c r="C12" s="27" t="inlineStr">
        <is>
          <t>Agricultura, inclusive o apoio à agricultura e a pós-colheita</t>
        </is>
      </c>
      <c r="D12" s="27" t="inlineStr">
        <is>
          <t>Pecuária, inclusive o apoio à pecuária</t>
        </is>
      </c>
      <c r="E12" s="27" t="inlineStr">
        <is>
          <t>Produção florestal; pesca e aquicultura</t>
        </is>
      </c>
      <c r="F12" s="27" t="inlineStr">
        <is>
          <t>Extração de carvão mineral e de minerais não-metálicos</t>
        </is>
      </c>
      <c r="G12" s="27" t="inlineStr">
        <is>
          <t>Extração de petróleo e gás, inclusive as atividades de apoio</t>
        </is>
      </c>
      <c r="H12" s="27" t="inlineStr">
        <is>
          <t>Extração de minério de ferro, inclusive beneficiamentos e a aglomeração</t>
        </is>
      </c>
      <c r="I12" s="27" t="inlineStr">
        <is>
          <t>Extração de minerais metálicos não-ferrosos, inclusive beneficiamentos</t>
        </is>
      </c>
      <c r="J12" s="27" t="inlineStr">
        <is>
          <t>Abate e produtos de carne, inclusive os produtos do laticínio e da pesca</t>
        </is>
      </c>
      <c r="K12" s="27" t="inlineStr">
        <is>
          <t>Fabricação e refino de açúcar</t>
        </is>
      </c>
      <c r="L12" s="27" t="inlineStr">
        <is>
          <t>Outros produtos alimentares</t>
        </is>
      </c>
      <c r="M12" s="27" t="inlineStr">
        <is>
          <t>Fabricação de bebidas</t>
        </is>
      </c>
      <c r="N12" s="27" t="inlineStr">
        <is>
          <t>Fabricação de produtos do fumo</t>
        </is>
      </c>
      <c r="O12" s="27" t="inlineStr">
        <is>
          <t>Fabricação de produtos têxteis</t>
        </is>
      </c>
      <c r="P12" s="27" t="inlineStr">
        <is>
          <t>Confecção de artefatos do vestuário e acessórios</t>
        </is>
      </c>
      <c r="Q12" s="27" t="inlineStr">
        <is>
          <t>Fabricação de calçados e de artefatos de couro</t>
        </is>
      </c>
      <c r="R12" s="27" t="inlineStr">
        <is>
          <t>Fabricação de produtos da madeira</t>
        </is>
      </c>
      <c r="S12" s="27" t="inlineStr">
        <is>
          <t>Fabricação de celulose, papel e produtos de papel</t>
        </is>
      </c>
      <c r="T12" s="27" t="inlineStr">
        <is>
          <t>Impressão e reprodução de gravações</t>
        </is>
      </c>
      <c r="U12" s="27" t="inlineStr">
        <is>
          <t>Refino de petróleo e coquerias</t>
        </is>
      </c>
      <c r="V12" s="27" t="inlineStr">
        <is>
          <t>Fabricação de biocombustíveis</t>
        </is>
      </c>
      <c r="W12" s="27" t="inlineStr">
        <is>
          <t>Fabricação de químicos orgânicos e inorgânicos, resinas e elastômeros</t>
        </is>
      </c>
      <c r="X12" s="27" t="inlineStr">
        <is>
          <t>Fabricação de defensivos, desinfestantes, tintas e químicos diversos</t>
        </is>
      </c>
      <c r="Y12" s="27" t="inlineStr">
        <is>
          <t>Fabricação de produtos de limpeza, cosméticos/perfumaria e higiene pessoal</t>
        </is>
      </c>
      <c r="Z12" s="27" t="inlineStr">
        <is>
          <t>Fabricação de produtos farmoquímicos e farmacêuticos</t>
        </is>
      </c>
      <c r="AA12" s="27" t="inlineStr">
        <is>
          <t>Fabricação de produtos de borracha e de material plástico</t>
        </is>
      </c>
      <c r="AB12" s="27" t="inlineStr">
        <is>
          <t>Fabricação de produtos de minerais não-metálicos</t>
        </is>
      </c>
      <c r="AC12" s="27" t="inlineStr">
        <is>
          <t>Produção de ferro-gusa/ferroligas, siderurgia e tubos de aço sem costura</t>
        </is>
      </c>
      <c r="AD12" s="27" t="inlineStr">
        <is>
          <t>Metalurgia de metais não-ferrosos e a fundição de metais</t>
        </is>
      </c>
      <c r="AE12" s="27" t="inlineStr">
        <is>
          <t>Fabricação de produtos de metal, exceto máquinas e equipamentos</t>
        </is>
      </c>
      <c r="AF12" s="27" t="inlineStr">
        <is>
          <t>Fabricação de equipamentos de informática, produtos eletrônicos e ópticos</t>
        </is>
      </c>
      <c r="AG12" s="27" t="inlineStr">
        <is>
          <t>Fabricação de máquinas e equipamentos elétricos</t>
        </is>
      </c>
      <c r="AH12" s="27" t="inlineStr">
        <is>
          <t>Fabricação de máquinas e equipamentos mecânicos</t>
        </is>
      </c>
      <c r="AI12" s="27" t="inlineStr">
        <is>
          <t>Fabricação de automóveis, caminhões e ônibus, exceto peças</t>
        </is>
      </c>
      <c r="AJ12" s="27" t="inlineStr">
        <is>
          <t>Fabricação de peças e acessórios para veículos automotores</t>
        </is>
      </c>
      <c r="AK12" s="27" t="inlineStr">
        <is>
          <t>Fabricação de outros equipamentos de transporte, exceto veículos automotores</t>
        </is>
      </c>
      <c r="AL12" s="27" t="inlineStr">
        <is>
          <t>Fabricação de móveis e de produtos de indústrias diversas</t>
        </is>
      </c>
      <c r="AM12" s="27" t="inlineStr">
        <is>
          <t>Manutenção, reparação e instalação de máquinas e equipamentos</t>
        </is>
      </c>
      <c r="AN12" s="27" t="inlineStr">
        <is>
          <t>Energia elétrica, gás natural e outras utilidades</t>
        </is>
      </c>
      <c r="AO12" s="27" t="inlineStr">
        <is>
          <t>Água, esgoto e gestão de resíduos</t>
        </is>
      </c>
      <c r="AP12" s="27" t="inlineStr">
        <is>
          <t>Construção</t>
        </is>
      </c>
      <c r="AQ12" s="27" t="inlineStr">
        <is>
          <t>Comércio e reparação de veículos automotores e motocicletas</t>
        </is>
      </c>
      <c r="AR12" s="27" t="inlineStr">
        <is>
          <t>Comércio por atacado e a varejo, exceto veículos automotores</t>
        </is>
      </c>
      <c r="AS12" s="27" t="inlineStr">
        <is>
          <t>Transporte terrestre</t>
        </is>
      </c>
      <c r="AT12" s="27" t="inlineStr">
        <is>
          <t>Transporte aquaviário</t>
        </is>
      </c>
      <c r="AU12" s="27" t="inlineStr">
        <is>
          <t>Transporte aéreo</t>
        </is>
      </c>
      <c r="AV12" s="27" t="inlineStr">
        <is>
          <t>Armazenamento, atividades auxiliares dos transportes e correio</t>
        </is>
      </c>
      <c r="AW12" s="27" t="inlineStr">
        <is>
          <t>Alojamento</t>
        </is>
      </c>
      <c r="AX12" s="27" t="inlineStr">
        <is>
          <t>Alimentação</t>
        </is>
      </c>
      <c r="AY12" s="27" t="inlineStr">
        <is>
          <t>Edição e edição integrada à impressão</t>
        </is>
      </c>
      <c r="AZ12" s="27" t="inlineStr">
        <is>
          <t>Atividades de televisão, rádio, cinema e  gravação/edição de som e imagem</t>
        </is>
      </c>
      <c r="BA12" s="27" t="inlineStr">
        <is>
          <t>Telecomunicações</t>
        </is>
      </c>
      <c r="BB12" s="27" t="inlineStr">
        <is>
          <t>Desenvolvimento de sistemas e outros serviços de informação</t>
        </is>
      </c>
      <c r="BC12" s="27" t="inlineStr">
        <is>
          <t>Intermediação financeira, seguros e previdência complementar</t>
        </is>
      </c>
      <c r="BD12" s="27" t="inlineStr">
        <is>
          <t>Atividades imobiliárias</t>
        </is>
      </c>
      <c r="BE12" s="27" t="inlineStr">
        <is>
          <t>Atividades jurídicas, contábeis, consultoria e sedes de empresas</t>
        </is>
      </c>
      <c r="BF12" s="27" t="inlineStr">
        <is>
          <t>Serviços de arquitetura, engenharia, testes/análises técnicas e P &amp; D</t>
        </is>
      </c>
      <c r="BG12" s="27" t="inlineStr">
        <is>
          <t>Outras atividades profissionais, científicas e técnicas</t>
        </is>
      </c>
      <c r="BH12" s="27" t="inlineStr">
        <is>
          <t>Aluguéis não-imobiliários e gestão de ativos de propriedade intelectual</t>
        </is>
      </c>
      <c r="BI12" s="27" t="inlineStr">
        <is>
          <t>Outras atividades administrativas e serviços complementares</t>
        </is>
      </c>
      <c r="BJ12" s="27" t="inlineStr">
        <is>
          <t>Atividades de vigilância, segurança e investigação</t>
        </is>
      </c>
      <c r="BK12" s="27" t="inlineStr">
        <is>
          <t>Administração pública, defesa e seguridade social</t>
        </is>
      </c>
      <c r="BL12" s="27" t="inlineStr">
        <is>
          <t>Educação pública</t>
        </is>
      </c>
      <c r="BM12" s="27" t="inlineStr">
        <is>
          <t>Educação privada</t>
        </is>
      </c>
      <c r="BN12" s="27" t="inlineStr">
        <is>
          <t>Saúde pública</t>
        </is>
      </c>
      <c r="BO12" s="27" t="inlineStr">
        <is>
          <t>Saúde privada</t>
        </is>
      </c>
      <c r="BP12" s="27" t="inlineStr">
        <is>
          <t>Atividades artísticas, criativas e de espetáculos</t>
        </is>
      </c>
      <c r="BQ12" s="27" t="inlineStr">
        <is>
          <t>Organizações associativas e outros serviços pessoais</t>
        </is>
      </c>
      <c r="BR12" s="27" t="inlineStr">
        <is>
          <t>Serviços domésticos</t>
        </is>
      </c>
      <c r="BS12" s="26" t="n"/>
      <c r="BT12" s="27" t="inlineStr">
        <is>
          <t>Gasto de consumo final</t>
        </is>
      </c>
      <c r="BU12" s="27" t="inlineStr">
        <is>
          <t>Formacion bruta de capital</t>
        </is>
      </c>
      <c r="BV12" s="27" t="inlineStr">
        <is>
          <t>Exportaciones netas</t>
        </is>
      </c>
      <c r="BW12" s="27" t="inlineStr">
        <is>
          <t>Sin desglose fuente</t>
        </is>
      </c>
      <c r="BX12" s="26" t="n"/>
      <c r="BY12" s="26" t="n"/>
    </row>
    <row r="13"/>
    <row r="14">
      <c r="A14" s="28" t="inlineStr">
        <is>
          <t>0191</t>
        </is>
      </c>
      <c r="B14" s="28" t="inlineStr">
        <is>
          <t>Agricultura, inclusive o apoio à agricultura e a pós-colheita</t>
        </is>
      </c>
      <c r="C14" s="29" t="n">
        <v>17778.09354708793</v>
      </c>
      <c r="D14" s="29" t="n">
        <v>14160.28353918097</v>
      </c>
      <c r="E14" s="29" t="n">
        <v>249.7953650253879</v>
      </c>
      <c r="F14" s="29" t="n">
        <v>2.216338625673272</v>
      </c>
      <c r="G14" s="29" t="n">
        <v>9.751230087178881</v>
      </c>
      <c r="H14" s="29" t="n">
        <v>17.97741630900289</v>
      </c>
      <c r="I14" s="29" t="n">
        <v>2.548155724358294</v>
      </c>
      <c r="J14" s="29" t="n">
        <v>13939.03701903773</v>
      </c>
      <c r="K14" s="29" t="n">
        <v>40393.26202200029</v>
      </c>
      <c r="L14" s="29" t="n">
        <v>161736.3299761323</v>
      </c>
      <c r="M14" s="29" t="n">
        <v>3893.338498158986</v>
      </c>
      <c r="N14" s="29" t="n">
        <v>5460.276711141478</v>
      </c>
      <c r="O14" s="29" t="n">
        <v>12872.49420397549</v>
      </c>
      <c r="P14" s="29" t="n">
        <v>872.4574797253414</v>
      </c>
      <c r="Q14" s="29" t="n">
        <v>8.031540739645232</v>
      </c>
      <c r="R14" s="29" t="n">
        <v>129.0499303157304</v>
      </c>
      <c r="S14" s="29" t="n">
        <v>242.6102615626204</v>
      </c>
      <c r="T14" s="29" t="n">
        <v>0.292624905531721</v>
      </c>
      <c r="U14" s="29" t="n">
        <v>15.44316621093413</v>
      </c>
      <c r="V14" s="29" t="n">
        <v>37168.581956801</v>
      </c>
      <c r="W14" s="29" t="n">
        <v>25.0761883465818</v>
      </c>
      <c r="X14" s="29" t="n">
        <v>21.79355835041573</v>
      </c>
      <c r="Y14" s="29" t="n">
        <v>4.311007782452553</v>
      </c>
      <c r="Z14" s="29" t="n">
        <v>27.64449302976436</v>
      </c>
      <c r="AA14" s="29" t="n">
        <v>45.50656753913034</v>
      </c>
      <c r="AB14" s="29" t="n">
        <v>21.97778461627617</v>
      </c>
      <c r="AC14" s="29" t="n">
        <v>52.89219909420826</v>
      </c>
      <c r="AD14" s="29" t="n">
        <v>38.90048975719449</v>
      </c>
      <c r="AE14" s="29" t="n">
        <v>5.670753269449327</v>
      </c>
      <c r="AF14" s="29" t="n">
        <v>0.4363530938339183</v>
      </c>
      <c r="AG14" s="29" t="n">
        <v>0.5066823600172357</v>
      </c>
      <c r="AH14" s="29" t="n">
        <v>1.478819340048225</v>
      </c>
      <c r="AI14" s="29" t="n">
        <v>0.7451475068418776</v>
      </c>
      <c r="AJ14" s="29" t="n">
        <v>0.6076232320955071</v>
      </c>
      <c r="AK14" s="29" t="n">
        <v>0.6024221955373648</v>
      </c>
      <c r="AL14" s="29" t="n">
        <v>17.55875801499705</v>
      </c>
      <c r="AM14" s="29" t="n">
        <v>0.1315055920996386</v>
      </c>
      <c r="AN14" s="29" t="n">
        <v>0.9741568565996934</v>
      </c>
      <c r="AO14" s="29" t="n">
        <v>62.69106102778493</v>
      </c>
      <c r="AP14" s="29" t="n">
        <v>448.9632136442121</v>
      </c>
      <c r="AQ14" s="29" t="n">
        <v>5.370082425039786</v>
      </c>
      <c r="AR14" s="29" t="n">
        <v>22101.10113532367</v>
      </c>
      <c r="AS14" s="29" t="n">
        <v>2.160466784159243</v>
      </c>
      <c r="AT14" s="29" t="n">
        <v>0.1096949439119561</v>
      </c>
      <c r="AU14" s="29" t="n">
        <v>0.306095106226658</v>
      </c>
      <c r="AV14" s="29" t="n">
        <v>19.5634642996535</v>
      </c>
      <c r="AW14" s="29" t="n">
        <v>386.8550536072462</v>
      </c>
      <c r="AX14" s="29" t="n">
        <v>5869.555679931994</v>
      </c>
      <c r="AY14" s="29" t="n">
        <v>0.2184054851410313</v>
      </c>
      <c r="AZ14" s="29" t="n">
        <v>0.9785945814041127</v>
      </c>
      <c r="BA14" s="29" t="n">
        <v>44.87364947779707</v>
      </c>
      <c r="BB14" s="29" t="n">
        <v>5.610984019308727</v>
      </c>
      <c r="BC14" s="29" t="n">
        <v>15.90354241409585</v>
      </c>
      <c r="BD14" s="29" t="n">
        <v>19.45310266680175</v>
      </c>
      <c r="BE14" s="29" t="n">
        <v>13.13042660098214</v>
      </c>
      <c r="BF14" s="29" t="n">
        <v>15.92626100120034</v>
      </c>
      <c r="BG14" s="29" t="n">
        <v>2.306257081183113</v>
      </c>
      <c r="BH14" s="29" t="n">
        <v>1.694246279440578</v>
      </c>
      <c r="BI14" s="29" t="n">
        <v>187.6015473212379</v>
      </c>
      <c r="BJ14" s="29" t="n">
        <v>0.4864176726067369</v>
      </c>
      <c r="BK14" s="29" t="n">
        <v>1307.428225698942</v>
      </c>
      <c r="BL14" s="29" t="n">
        <v>448.7608550862974</v>
      </c>
      <c r="BM14" s="29" t="n">
        <v>82.50047400155658</v>
      </c>
      <c r="BN14" s="29" t="n">
        <v>588.9424126025494</v>
      </c>
      <c r="BO14" s="29" t="n">
        <v>248.2951123181067</v>
      </c>
      <c r="BP14" s="29" t="n">
        <v>5.345324275727804</v>
      </c>
      <c r="BQ14" s="29" t="n">
        <v>437.9554455976514</v>
      </c>
      <c r="BR14" s="29" t="n">
        <v>0</v>
      </c>
      <c r="BS14" s="29">
        <f>SUM(C14:BR14)</f>
        <v/>
      </c>
      <c r="BT14" s="29" t="n">
        <v>0</v>
      </c>
      <c r="BU14" s="29" t="n">
        <v>0</v>
      </c>
      <c r="BV14" s="29" t="n">
        <v>427617.2272759989</v>
      </c>
      <c r="BW14" s="29" t="n">
        <v>0</v>
      </c>
      <c r="BX14" s="29">
        <f>SUM(BT14:BW14)</f>
        <v/>
      </c>
      <c r="BY14" s="29">
        <f>BS14+BX14</f>
        <v/>
      </c>
    </row>
    <row r="15">
      <c r="A15" s="30" t="inlineStr">
        <is>
          <t>0192</t>
        </is>
      </c>
      <c r="B15" s="30" t="inlineStr">
        <is>
          <t>Pecuária, inclusive o apoio à pecuária</t>
        </is>
      </c>
      <c r="C15" s="31" t="n">
        <v>2011.480441630059</v>
      </c>
      <c r="D15" s="31" t="n">
        <v>11636.01661935533</v>
      </c>
      <c r="E15" s="31" t="n">
        <v>348.2349741664456</v>
      </c>
      <c r="F15" s="31" t="n">
        <v>5.377444394157081</v>
      </c>
      <c r="G15" s="31" t="n">
        <v>23.50366597854973</v>
      </c>
      <c r="H15" s="31" t="n">
        <v>32.53118192884278</v>
      </c>
      <c r="I15" s="31" t="n">
        <v>4.661127156422007</v>
      </c>
      <c r="J15" s="31" t="n">
        <v>157930.3196842007</v>
      </c>
      <c r="K15" s="31" t="n">
        <v>228.0080682503119</v>
      </c>
      <c r="L15" s="31" t="n">
        <v>8770.91236880655</v>
      </c>
      <c r="M15" s="31" t="n">
        <v>91.07828709490927</v>
      </c>
      <c r="N15" s="31" t="n">
        <v>252.9672061581488</v>
      </c>
      <c r="O15" s="31" t="n">
        <v>491.2188335756217</v>
      </c>
      <c r="P15" s="31" t="n">
        <v>407.1630569757771</v>
      </c>
      <c r="Q15" s="31" t="n">
        <v>8.269476953375161</v>
      </c>
      <c r="R15" s="31" t="n">
        <v>258.1198400645121</v>
      </c>
      <c r="S15" s="31" t="n">
        <v>429.0713761676562</v>
      </c>
      <c r="T15" s="31" t="n">
        <v>0.4998035525128781</v>
      </c>
      <c r="U15" s="31" t="n">
        <v>1.274439000839853</v>
      </c>
      <c r="V15" s="31" t="n">
        <v>427.8477665792835</v>
      </c>
      <c r="W15" s="31" t="n">
        <v>84.5153274785394</v>
      </c>
      <c r="X15" s="31" t="n">
        <v>10.49730760045388</v>
      </c>
      <c r="Y15" s="31" t="n">
        <v>11.47791670078402</v>
      </c>
      <c r="Z15" s="31" t="n">
        <v>13.66957695773896</v>
      </c>
      <c r="AA15" s="31" t="n">
        <v>74.35873077577712</v>
      </c>
      <c r="AB15" s="31" t="n">
        <v>101.0984772933634</v>
      </c>
      <c r="AC15" s="31" t="n">
        <v>112.8963694094608</v>
      </c>
      <c r="AD15" s="31" t="n">
        <v>74.64707314620645</v>
      </c>
      <c r="AE15" s="31" t="n">
        <v>4.922621215773399</v>
      </c>
      <c r="AF15" s="31" t="n">
        <v>0.8983625083450461</v>
      </c>
      <c r="AG15" s="31" t="n">
        <v>1.513017816135776</v>
      </c>
      <c r="AH15" s="31" t="n">
        <v>2.917509100583233</v>
      </c>
      <c r="AI15" s="31" t="n">
        <v>1.392777916232421</v>
      </c>
      <c r="AJ15" s="31" t="n">
        <v>1.30050170362672</v>
      </c>
      <c r="AK15" s="31" t="n">
        <v>0.9563663559582299</v>
      </c>
      <c r="AL15" s="31" t="n">
        <v>10.57251920714785</v>
      </c>
      <c r="AM15" s="31" t="n">
        <v>0.3174346981443422</v>
      </c>
      <c r="AN15" s="31" t="n">
        <v>1.304898996302515</v>
      </c>
      <c r="AO15" s="31" t="n">
        <v>10.40257657690603</v>
      </c>
      <c r="AP15" s="31" t="n">
        <v>882.0934975041112</v>
      </c>
      <c r="AQ15" s="31" t="n">
        <v>5.710050259774779</v>
      </c>
      <c r="AR15" s="31" t="n">
        <v>769.6670306357157</v>
      </c>
      <c r="AS15" s="31" t="n">
        <v>2.117269574418174</v>
      </c>
      <c r="AT15" s="31" t="n">
        <v>0.09213799458704901</v>
      </c>
      <c r="AU15" s="31" t="n">
        <v>0.3502660697255337</v>
      </c>
      <c r="AV15" s="31" t="n">
        <v>32.46496910659672</v>
      </c>
      <c r="AW15" s="31" t="n">
        <v>492.230444001706</v>
      </c>
      <c r="AX15" s="31" t="n">
        <v>2630.514774117971</v>
      </c>
      <c r="AY15" s="31" t="n">
        <v>0.3462462095291038</v>
      </c>
      <c r="AZ15" s="31" t="n">
        <v>1.526937768362645</v>
      </c>
      <c r="BA15" s="31" t="n">
        <v>80.06528530968568</v>
      </c>
      <c r="BB15" s="31" t="n">
        <v>9.193437670621687</v>
      </c>
      <c r="BC15" s="31" t="n">
        <v>25.04799916086111</v>
      </c>
      <c r="BD15" s="31" t="n">
        <v>35.47416983186912</v>
      </c>
      <c r="BE15" s="31" t="n">
        <v>10.69141780972687</v>
      </c>
      <c r="BF15" s="31" t="n">
        <v>21.18005641345724</v>
      </c>
      <c r="BG15" s="31" t="n">
        <v>11.43801438815138</v>
      </c>
      <c r="BH15" s="31" t="n">
        <v>2.147916508159119</v>
      </c>
      <c r="BI15" s="31" t="n">
        <v>39.20682107505213</v>
      </c>
      <c r="BJ15" s="31" t="n">
        <v>0.5899161334141514</v>
      </c>
      <c r="BK15" s="31" t="n">
        <v>439.4063622471789</v>
      </c>
      <c r="BL15" s="31" t="n">
        <v>152.2929300473611</v>
      </c>
      <c r="BM15" s="31" t="n">
        <v>30.21169206368569</v>
      </c>
      <c r="BN15" s="31" t="n">
        <v>179.0071651735692</v>
      </c>
      <c r="BO15" s="31" t="n">
        <v>139.5344012981966</v>
      </c>
      <c r="BP15" s="31" t="n">
        <v>5.07834147724805</v>
      </c>
      <c r="BQ15" s="31" t="n">
        <v>62.94793007786829</v>
      </c>
      <c r="BR15" s="31" t="n">
        <v>0</v>
      </c>
      <c r="BS15" s="31">
        <f>SUM(C15:BR15)</f>
        <v/>
      </c>
      <c r="BT15" s="31" t="n">
        <v>0</v>
      </c>
      <c r="BU15" s="31" t="n">
        <v>0</v>
      </c>
      <c r="BV15" s="31" t="n">
        <v>82302.15749262384</v>
      </c>
      <c r="BW15" s="31" t="n">
        <v>0</v>
      </c>
      <c r="BX15" s="31">
        <f>SUM(BT15:BW15)</f>
        <v/>
      </c>
      <c r="BY15" s="31">
        <f>BS15+BX15</f>
        <v/>
      </c>
    </row>
    <row r="16">
      <c r="A16" s="28" t="inlineStr">
        <is>
          <t>0280</t>
        </is>
      </c>
      <c r="B16" s="28" t="inlineStr">
        <is>
          <t>Produção florestal; pesca e aquicultura</t>
        </is>
      </c>
      <c r="C16" s="29" t="n">
        <v>2185.862903758134</v>
      </c>
      <c r="D16" s="29" t="n">
        <v>2193.491099255653</v>
      </c>
      <c r="E16" s="29" t="n">
        <v>3424.805599905158</v>
      </c>
      <c r="F16" s="29" t="n">
        <v>1.977598160742493</v>
      </c>
      <c r="G16" s="29" t="n">
        <v>1.843608983465245</v>
      </c>
      <c r="H16" s="29" t="n">
        <v>2.456102334553733</v>
      </c>
      <c r="I16" s="29" t="n">
        <v>0.3443989529200143</v>
      </c>
      <c r="J16" s="29" t="n">
        <v>3202.072169421493</v>
      </c>
      <c r="K16" s="29" t="n">
        <v>1.318766345317332</v>
      </c>
      <c r="L16" s="29" t="n">
        <v>370.6226067394041</v>
      </c>
      <c r="M16" s="29" t="n">
        <v>16.24578717598531</v>
      </c>
      <c r="N16" s="29" t="n">
        <v>14.96894848908853</v>
      </c>
      <c r="O16" s="29" t="n">
        <v>33.52441913749369</v>
      </c>
      <c r="P16" s="29" t="n">
        <v>7.957401674915722</v>
      </c>
      <c r="Q16" s="29" t="n">
        <v>5.651417508570307</v>
      </c>
      <c r="R16" s="29" t="n">
        <v>3035.442689964042</v>
      </c>
      <c r="S16" s="29" t="n">
        <v>4926.632254397717</v>
      </c>
      <c r="T16" s="29" t="n">
        <v>0.03946478429326263</v>
      </c>
      <c r="U16" s="29" t="n">
        <v>0.1068142073862886</v>
      </c>
      <c r="V16" s="29" t="n">
        <v>11.63028268856496</v>
      </c>
      <c r="W16" s="29" t="n">
        <v>339.0540998313207</v>
      </c>
      <c r="X16" s="29" t="n">
        <v>3.417527892606608</v>
      </c>
      <c r="Y16" s="29" t="n">
        <v>0.1459757134124072</v>
      </c>
      <c r="Z16" s="29" t="n">
        <v>0.2167238424857592</v>
      </c>
      <c r="AA16" s="29" t="n">
        <v>811.3879139913111</v>
      </c>
      <c r="AB16" s="29" t="n">
        <v>97.35114400421183</v>
      </c>
      <c r="AC16" s="29" t="n">
        <v>1229.550680386238</v>
      </c>
      <c r="AD16" s="29" t="n">
        <v>5.503360190488718</v>
      </c>
      <c r="AE16" s="29" t="n">
        <v>7.910739572862215</v>
      </c>
      <c r="AF16" s="29" t="n">
        <v>0.09620440507648528</v>
      </c>
      <c r="AG16" s="29" t="n">
        <v>0.1459208887245014</v>
      </c>
      <c r="AH16" s="29" t="n">
        <v>0.3283611992630278</v>
      </c>
      <c r="AI16" s="29" t="n">
        <v>0.1477088016122495</v>
      </c>
      <c r="AJ16" s="29" t="n">
        <v>0.1283655334745501</v>
      </c>
      <c r="AK16" s="29" t="n">
        <v>0.08378554236625911</v>
      </c>
      <c r="AL16" s="29" t="n">
        <v>2.532203948398232</v>
      </c>
      <c r="AM16" s="29" t="n">
        <v>0.03784974611384436</v>
      </c>
      <c r="AN16" s="29" t="n">
        <v>0.1780658755804854</v>
      </c>
      <c r="AO16" s="29" t="n">
        <v>0.7192920622223538</v>
      </c>
      <c r="AP16" s="29" t="n">
        <v>929.347495471126</v>
      </c>
      <c r="AQ16" s="29" t="n">
        <v>0.568287847369738</v>
      </c>
      <c r="AR16" s="29" t="n">
        <v>227.1138580727276</v>
      </c>
      <c r="AS16" s="29" t="n">
        <v>0.2348896557167841</v>
      </c>
      <c r="AT16" s="29" t="n">
        <v>0.0106423846317797</v>
      </c>
      <c r="AU16" s="29" t="n">
        <v>0.03395361900263597</v>
      </c>
      <c r="AV16" s="29" t="n">
        <v>2.524318824942089</v>
      </c>
      <c r="AW16" s="29" t="n">
        <v>47.11547093915302</v>
      </c>
      <c r="AX16" s="29" t="n">
        <v>592.6625464722022</v>
      </c>
      <c r="AY16" s="29" t="n">
        <v>0.04098676977350111</v>
      </c>
      <c r="AZ16" s="29" t="n">
        <v>0.1610649467741267</v>
      </c>
      <c r="BA16" s="29" t="n">
        <v>5.919686162182608</v>
      </c>
      <c r="BB16" s="29" t="n">
        <v>0.8908888847710464</v>
      </c>
      <c r="BC16" s="29" t="n">
        <v>2.093664312995335</v>
      </c>
      <c r="BD16" s="29" t="n">
        <v>2.706673651086906</v>
      </c>
      <c r="BE16" s="29" t="n">
        <v>0.9786405161295638</v>
      </c>
      <c r="BF16" s="29" t="n">
        <v>4.408778862226422</v>
      </c>
      <c r="BG16" s="29" t="n">
        <v>0.264914788426367</v>
      </c>
      <c r="BH16" s="29" t="n">
        <v>0.2223198535166046</v>
      </c>
      <c r="BI16" s="29" t="n">
        <v>2.763927303857428</v>
      </c>
      <c r="BJ16" s="29" t="n">
        <v>0.06063222160134166</v>
      </c>
      <c r="BK16" s="29" t="n">
        <v>131.7140802834698</v>
      </c>
      <c r="BL16" s="29" t="n">
        <v>84.00858731872385</v>
      </c>
      <c r="BM16" s="29" t="n">
        <v>12.06628269212365</v>
      </c>
      <c r="BN16" s="29" t="n">
        <v>104.7396826007455</v>
      </c>
      <c r="BO16" s="29" t="n">
        <v>21.16195869953949</v>
      </c>
      <c r="BP16" s="29" t="n">
        <v>0.4874007562033769</v>
      </c>
      <c r="BQ16" s="29" t="n">
        <v>4.567064458078443</v>
      </c>
      <c r="BR16" s="29" t="n">
        <v>0</v>
      </c>
      <c r="BS16" s="29">
        <f>SUM(C16:BR16)</f>
        <v/>
      </c>
      <c r="BT16" s="29" t="n">
        <v>0</v>
      </c>
      <c r="BU16" s="29" t="n">
        <v>0</v>
      </c>
      <c r="BV16" s="29" t="n">
        <v>30628.20104431824</v>
      </c>
      <c r="BW16" s="29" t="n">
        <v>0</v>
      </c>
      <c r="BX16" s="29">
        <f>SUM(BT16:BW16)</f>
        <v/>
      </c>
      <c r="BY16" s="29">
        <f>BS16+BX16</f>
        <v/>
      </c>
    </row>
    <row r="17">
      <c r="A17" s="30" t="inlineStr">
        <is>
          <t>0580</t>
        </is>
      </c>
      <c r="B17" s="30" t="inlineStr">
        <is>
          <t>Extração de carvão mineral e de minerais não-metálicos</t>
        </is>
      </c>
      <c r="C17" s="31" t="n">
        <v>158.4198788942434</v>
      </c>
      <c r="D17" s="31" t="n">
        <v>763.9896812233986</v>
      </c>
      <c r="E17" s="31" t="n">
        <v>23.64818098964778</v>
      </c>
      <c r="F17" s="31" t="n">
        <v>356.7162264408437</v>
      </c>
      <c r="G17" s="31" t="n">
        <v>720.1654880045713</v>
      </c>
      <c r="H17" s="31" t="n">
        <v>1.572874198299619</v>
      </c>
      <c r="I17" s="31" t="n">
        <v>8.919714267367649</v>
      </c>
      <c r="J17" s="31" t="n">
        <v>99.15227135635726</v>
      </c>
      <c r="K17" s="31" t="n">
        <v>19.30084350194073</v>
      </c>
      <c r="L17" s="31" t="n">
        <v>309.5627856564082</v>
      </c>
      <c r="M17" s="31" t="n">
        <v>26.90813651546328</v>
      </c>
      <c r="N17" s="31" t="n">
        <v>0.08659717444351635</v>
      </c>
      <c r="O17" s="31" t="n">
        <v>0.5250297333902388</v>
      </c>
      <c r="P17" s="31" t="n">
        <v>0.3554620082308356</v>
      </c>
      <c r="Q17" s="31" t="n">
        <v>0.4776356351855237</v>
      </c>
      <c r="R17" s="31" t="n">
        <v>0.3234934474968404</v>
      </c>
      <c r="S17" s="31" t="n">
        <v>15.46466901357117</v>
      </c>
      <c r="T17" s="31" t="n">
        <v>1.548505277865506</v>
      </c>
      <c r="U17" s="31" t="n">
        <v>11.27906404203388</v>
      </c>
      <c r="V17" s="31" t="n">
        <v>544.1960270698959</v>
      </c>
      <c r="W17" s="31" t="n">
        <v>4272.942215443877</v>
      </c>
      <c r="X17" s="31" t="n">
        <v>120.9520367851994</v>
      </c>
      <c r="Y17" s="31" t="n">
        <v>5.728521737826737</v>
      </c>
      <c r="Z17" s="31" t="n">
        <v>1.677984475265975</v>
      </c>
      <c r="AA17" s="31" t="n">
        <v>8.064766938042347</v>
      </c>
      <c r="AB17" s="31" t="n">
        <v>7056.886610198549</v>
      </c>
      <c r="AC17" s="31" t="n">
        <v>1855.002003661977</v>
      </c>
      <c r="AD17" s="31" t="n">
        <v>626.7559945495957</v>
      </c>
      <c r="AE17" s="31" t="n">
        <v>19.00663470662731</v>
      </c>
      <c r="AF17" s="31" t="n">
        <v>1.2081423416829</v>
      </c>
      <c r="AG17" s="31" t="n">
        <v>94.02739363616747</v>
      </c>
      <c r="AH17" s="31" t="n">
        <v>13.18824498682825</v>
      </c>
      <c r="AI17" s="31" t="n">
        <v>25.2044397651509</v>
      </c>
      <c r="AJ17" s="31" t="n">
        <v>56.84458350367611</v>
      </c>
      <c r="AK17" s="31" t="n">
        <v>5.256290359960114</v>
      </c>
      <c r="AL17" s="31" t="n">
        <v>49.95456679920572</v>
      </c>
      <c r="AM17" s="31" t="n">
        <v>5.678779732013973</v>
      </c>
      <c r="AN17" s="31" t="n">
        <v>346.2883868565514</v>
      </c>
      <c r="AO17" s="31" t="n">
        <v>549.7401069509726</v>
      </c>
      <c r="AP17" s="31" t="n">
        <v>7518.214584198195</v>
      </c>
      <c r="AQ17" s="31" t="n">
        <v>3.43940573757824</v>
      </c>
      <c r="AR17" s="31" t="n">
        <v>118.8779821652153</v>
      </c>
      <c r="AS17" s="31" t="n">
        <v>0.4649358165568152</v>
      </c>
      <c r="AT17" s="31" t="n">
        <v>0.1454472351721131</v>
      </c>
      <c r="AU17" s="31" t="n">
        <v>0.04200045530140221</v>
      </c>
      <c r="AV17" s="31" t="n">
        <v>6.937845878416669</v>
      </c>
      <c r="AW17" s="31" t="n">
        <v>2.66517095277714</v>
      </c>
      <c r="AX17" s="31" t="n">
        <v>12.95925998955582</v>
      </c>
      <c r="AY17" s="31" t="n">
        <v>0.1807853644736928</v>
      </c>
      <c r="AZ17" s="31" t="n">
        <v>0.2680223489029089</v>
      </c>
      <c r="BA17" s="31" t="n">
        <v>1.311198108056257</v>
      </c>
      <c r="BB17" s="31" t="n">
        <v>1.075048585687545</v>
      </c>
      <c r="BC17" s="31" t="n">
        <v>1.178608578400903</v>
      </c>
      <c r="BD17" s="31" t="n">
        <v>264.8412408671871</v>
      </c>
      <c r="BE17" s="31" t="n">
        <v>1.534163891459538</v>
      </c>
      <c r="BF17" s="31" t="n">
        <v>1.488441384377854</v>
      </c>
      <c r="BG17" s="31" t="n">
        <v>0.5502202652569473</v>
      </c>
      <c r="BH17" s="31" t="n">
        <v>0.424611577713347</v>
      </c>
      <c r="BI17" s="31" t="n">
        <v>2.276531489932458</v>
      </c>
      <c r="BJ17" s="31" t="n">
        <v>0.1170145995758597</v>
      </c>
      <c r="BK17" s="31" t="n">
        <v>88.07443548643684</v>
      </c>
      <c r="BL17" s="31" t="n">
        <v>18.8725996759358</v>
      </c>
      <c r="BM17" s="31" t="n">
        <v>1.407317496088253</v>
      </c>
      <c r="BN17" s="31" t="n">
        <v>12.18144898262184</v>
      </c>
      <c r="BO17" s="31" t="n">
        <v>3.616661694347329</v>
      </c>
      <c r="BP17" s="31" t="n">
        <v>0.989700215402763</v>
      </c>
      <c r="BQ17" s="31" t="n">
        <v>2.893726945477483</v>
      </c>
      <c r="BR17" s="31" t="n">
        <v>0</v>
      </c>
      <c r="BS17" s="31">
        <f>SUM(C17:BR17)</f>
        <v/>
      </c>
      <c r="BT17" s="31" t="n">
        <v>0</v>
      </c>
      <c r="BU17" s="31" t="n">
        <v>0</v>
      </c>
      <c r="BV17" s="31" t="n">
        <v>3836.947592453116</v>
      </c>
      <c r="BW17" s="31" t="n">
        <v>0</v>
      </c>
      <c r="BX17" s="31">
        <f>SUM(BT17:BW17)</f>
        <v/>
      </c>
      <c r="BY17" s="31">
        <f>BS17+BX17</f>
        <v/>
      </c>
    </row>
    <row r="18">
      <c r="A18" s="28" t="inlineStr">
        <is>
          <t>0680</t>
        </is>
      </c>
      <c r="B18" s="28" t="inlineStr">
        <is>
          <t>Extração de petróleo e gás, inclusive as atividades de apoio</t>
        </is>
      </c>
      <c r="C18" s="29" t="n">
        <v>41.11778169084456</v>
      </c>
      <c r="D18" s="29" t="n">
        <v>27.79212027257551</v>
      </c>
      <c r="E18" s="29" t="n">
        <v>1.755422855069821</v>
      </c>
      <c r="F18" s="29" t="n">
        <v>3.971530240763801</v>
      </c>
      <c r="G18" s="29" t="n">
        <v>8645.580183434487</v>
      </c>
      <c r="H18" s="29" t="n">
        <v>1383.238825145972</v>
      </c>
      <c r="I18" s="29" t="n">
        <v>70.11229894217486</v>
      </c>
      <c r="J18" s="29" t="n">
        <v>84.983949932679</v>
      </c>
      <c r="K18" s="29" t="n">
        <v>1.231726107674721</v>
      </c>
      <c r="L18" s="29" t="n">
        <v>780.8801066767541</v>
      </c>
      <c r="M18" s="29" t="n">
        <v>162.9518713305804</v>
      </c>
      <c r="N18" s="29" t="n">
        <v>0.2165255546396071</v>
      </c>
      <c r="O18" s="29" t="n">
        <v>134.8133431753286</v>
      </c>
      <c r="P18" s="29" t="n">
        <v>1.190348873022758</v>
      </c>
      <c r="Q18" s="29" t="n">
        <v>1.90217746345915</v>
      </c>
      <c r="R18" s="29" t="n">
        <v>72.46327238716688</v>
      </c>
      <c r="S18" s="29" t="n">
        <v>892.6843919745836</v>
      </c>
      <c r="T18" s="29" t="n">
        <v>0.6286630474086748</v>
      </c>
      <c r="U18" s="29" t="n">
        <v>167592.453691631</v>
      </c>
      <c r="V18" s="29" t="n">
        <v>1.787544401618797</v>
      </c>
      <c r="W18" s="29" t="n">
        <v>2338.332905725117</v>
      </c>
      <c r="X18" s="29" t="n">
        <v>105.0938409350832</v>
      </c>
      <c r="Y18" s="29" t="n">
        <v>29.59143854450947</v>
      </c>
      <c r="Z18" s="29" t="n">
        <v>39.84123720531279</v>
      </c>
      <c r="AA18" s="29" t="n">
        <v>125.3534872587253</v>
      </c>
      <c r="AB18" s="29" t="n">
        <v>779.4366827905449</v>
      </c>
      <c r="AC18" s="29" t="n">
        <v>481.2721072783672</v>
      </c>
      <c r="AD18" s="29" t="n">
        <v>365.7530535825172</v>
      </c>
      <c r="AE18" s="29" t="n">
        <v>443.6971067475602</v>
      </c>
      <c r="AF18" s="29" t="n">
        <v>0.9502198893991404</v>
      </c>
      <c r="AG18" s="29" t="n">
        <v>37.90717635683844</v>
      </c>
      <c r="AH18" s="29" t="n">
        <v>98.84219330986322</v>
      </c>
      <c r="AI18" s="29" t="n">
        <v>61.16316510476749</v>
      </c>
      <c r="AJ18" s="29" t="n">
        <v>158.8240689329519</v>
      </c>
      <c r="AK18" s="29" t="n">
        <v>1.949794340470114</v>
      </c>
      <c r="AL18" s="29" t="n">
        <v>2.829079107763819</v>
      </c>
      <c r="AM18" s="29" t="n">
        <v>34.48280885647956</v>
      </c>
      <c r="AN18" s="29" t="n">
        <v>26423.17720745211</v>
      </c>
      <c r="AO18" s="29" t="n">
        <v>1545.743337067996</v>
      </c>
      <c r="AP18" s="29" t="n">
        <v>1774.641052816921</v>
      </c>
      <c r="AQ18" s="29" t="n">
        <v>11.60954425823079</v>
      </c>
      <c r="AR18" s="29" t="n">
        <v>212.5165499755039</v>
      </c>
      <c r="AS18" s="29" t="n">
        <v>158.8280911439368</v>
      </c>
      <c r="AT18" s="29" t="n">
        <v>2.989195958362568</v>
      </c>
      <c r="AU18" s="29" t="n">
        <v>0.3178210405366957</v>
      </c>
      <c r="AV18" s="29" t="n">
        <v>144.0455549181705</v>
      </c>
      <c r="AW18" s="29" t="n">
        <v>3.179845652239671</v>
      </c>
      <c r="AX18" s="29" t="n">
        <v>52.5574651592559</v>
      </c>
      <c r="AY18" s="29" t="n">
        <v>0.6230255536581979</v>
      </c>
      <c r="AZ18" s="29" t="n">
        <v>1.351740947944318</v>
      </c>
      <c r="BA18" s="29" t="n">
        <v>192.3602450226199</v>
      </c>
      <c r="BB18" s="29" t="n">
        <v>8.432968664771503</v>
      </c>
      <c r="BC18" s="29" t="n">
        <v>12.7859637237232</v>
      </c>
      <c r="BD18" s="29" t="n">
        <v>5.745652423086224</v>
      </c>
      <c r="BE18" s="29" t="n">
        <v>15.06750221533501</v>
      </c>
      <c r="BF18" s="29" t="n">
        <v>73.26922402779952</v>
      </c>
      <c r="BG18" s="29" t="n">
        <v>5.273824302439107</v>
      </c>
      <c r="BH18" s="29" t="n">
        <v>8.285148186456574</v>
      </c>
      <c r="BI18" s="29" t="n">
        <v>15.45176908167548</v>
      </c>
      <c r="BJ18" s="29" t="n">
        <v>0.9416932798156891</v>
      </c>
      <c r="BK18" s="29" t="n">
        <v>3240.481178747784</v>
      </c>
      <c r="BL18" s="29" t="n">
        <v>36.76021413073716</v>
      </c>
      <c r="BM18" s="29" t="n">
        <v>14.25790842142494</v>
      </c>
      <c r="BN18" s="29" t="n">
        <v>3.077332627975513</v>
      </c>
      <c r="BO18" s="29" t="n">
        <v>8.539859977434883</v>
      </c>
      <c r="BP18" s="29" t="n">
        <v>10.56203698844325</v>
      </c>
      <c r="BQ18" s="29" t="n">
        <v>37.97708138566753</v>
      </c>
      <c r="BR18" s="29" t="n">
        <v>0</v>
      </c>
      <c r="BS18" s="29">
        <f>SUM(C18:BR18)</f>
        <v/>
      </c>
      <c r="BT18" s="29" t="n">
        <v>0</v>
      </c>
      <c r="BU18" s="29" t="n">
        <v>0</v>
      </c>
      <c r="BV18" s="29" t="n">
        <v>187673.0738237438</v>
      </c>
      <c r="BW18" s="29" t="n">
        <v>0</v>
      </c>
      <c r="BX18" s="29">
        <f>SUM(BT18:BW18)</f>
        <v/>
      </c>
      <c r="BY18" s="29">
        <f>BS18+BX18</f>
        <v/>
      </c>
    </row>
    <row r="19">
      <c r="A19" s="30" t="inlineStr">
        <is>
          <t>0791</t>
        </is>
      </c>
      <c r="B19" s="30" t="inlineStr">
        <is>
          <t>Extração de minério de ferro, inclusive beneficiamentos e a aglomeração</t>
        </is>
      </c>
      <c r="C19" s="31" t="n">
        <v>0.5501221306618579</v>
      </c>
      <c r="D19" s="31" t="n">
        <v>1.108919375439337</v>
      </c>
      <c r="E19" s="31" t="n">
        <v>0.07068744997832233</v>
      </c>
      <c r="F19" s="31" t="n">
        <v>0.0972622626781609</v>
      </c>
      <c r="G19" s="31" t="n">
        <v>15.57832446291305</v>
      </c>
      <c r="H19" s="31" t="n">
        <v>8116.285626578429</v>
      </c>
      <c r="I19" s="31" t="n">
        <v>116.0710617855848</v>
      </c>
      <c r="J19" s="31" t="n">
        <v>1.391176471081258</v>
      </c>
      <c r="K19" s="31" t="n">
        <v>0.102868262210777</v>
      </c>
      <c r="L19" s="31" t="n">
        <v>1.734320614253909</v>
      </c>
      <c r="M19" s="31" t="n">
        <v>0.3737015255429076</v>
      </c>
      <c r="N19" s="31" t="n">
        <v>0.1008255506158826</v>
      </c>
      <c r="O19" s="31" t="n">
        <v>0.2040524596431116</v>
      </c>
      <c r="P19" s="31" t="n">
        <v>0.0862107631685736</v>
      </c>
      <c r="Q19" s="31" t="n">
        <v>0.0954179919013059</v>
      </c>
      <c r="R19" s="31" t="n">
        <v>0.2469149832799981</v>
      </c>
      <c r="S19" s="31" t="n">
        <v>1.107504849998524</v>
      </c>
      <c r="T19" s="31" t="n">
        <v>0.8693121794326747</v>
      </c>
      <c r="U19" s="31" t="n">
        <v>0.2818613908567654</v>
      </c>
      <c r="V19" s="31" t="n">
        <v>0.01758896862853038</v>
      </c>
      <c r="W19" s="31" t="n">
        <v>0.5547258223843343</v>
      </c>
      <c r="X19" s="31" t="n">
        <v>0.6798202526453238</v>
      </c>
      <c r="Y19" s="31" t="n">
        <v>0.271060056753007</v>
      </c>
      <c r="Z19" s="31" t="n">
        <v>1.00956226809416</v>
      </c>
      <c r="AA19" s="31" t="n">
        <v>0.5670918572183062</v>
      </c>
      <c r="AB19" s="31" t="n">
        <v>415.802068818677</v>
      </c>
      <c r="AC19" s="31" t="n">
        <v>61208.67169063344</v>
      </c>
      <c r="AD19" s="31" t="n">
        <v>140.0875615997859</v>
      </c>
      <c r="AE19" s="31" t="n">
        <v>8.071857104639836</v>
      </c>
      <c r="AF19" s="31" t="n">
        <v>0.725684396238355</v>
      </c>
      <c r="AG19" s="31" t="n">
        <v>21.67617377581083</v>
      </c>
      <c r="AH19" s="31" t="n">
        <v>32.65621571614137</v>
      </c>
      <c r="AI19" s="31" t="n">
        <v>4.310356484641932</v>
      </c>
      <c r="AJ19" s="31" t="n">
        <v>8.526571351781234</v>
      </c>
      <c r="AK19" s="31" t="n">
        <v>2.601112316997176</v>
      </c>
      <c r="AL19" s="31" t="n">
        <v>7.259319192377038</v>
      </c>
      <c r="AM19" s="31" t="n">
        <v>13.11531083708024</v>
      </c>
      <c r="AN19" s="31" t="n">
        <v>0.332571158218186</v>
      </c>
      <c r="AO19" s="31" t="n">
        <v>20.43279527473516</v>
      </c>
      <c r="AP19" s="31" t="n">
        <v>197.9402858715425</v>
      </c>
      <c r="AQ19" s="31" t="n">
        <v>0.6861366146455941</v>
      </c>
      <c r="AR19" s="31" t="n">
        <v>3.885403538597367</v>
      </c>
      <c r="AS19" s="31" t="n">
        <v>1.394653595664054</v>
      </c>
      <c r="AT19" s="31" t="n">
        <v>0.3172377983826387</v>
      </c>
      <c r="AU19" s="31" t="n">
        <v>0.004262975221036944</v>
      </c>
      <c r="AV19" s="31" t="n">
        <v>9.824740068952037</v>
      </c>
      <c r="AW19" s="31" t="n">
        <v>0.3408059821232152</v>
      </c>
      <c r="AX19" s="31" t="n">
        <v>3.255657752543894</v>
      </c>
      <c r="AY19" s="31" t="n">
        <v>0.01591394646406145</v>
      </c>
      <c r="AZ19" s="31" t="n">
        <v>0.02161697671139994</v>
      </c>
      <c r="BA19" s="31" t="n">
        <v>24.15834767739875</v>
      </c>
      <c r="BB19" s="31" t="n">
        <v>0.7805792172301198</v>
      </c>
      <c r="BC19" s="31" t="n">
        <v>5.014371505958985</v>
      </c>
      <c r="BD19" s="31" t="n">
        <v>8.148646765721038</v>
      </c>
      <c r="BE19" s="31" t="n">
        <v>1.924612738627172</v>
      </c>
      <c r="BF19" s="31" t="n">
        <v>14.75477912148454</v>
      </c>
      <c r="BG19" s="31" t="n">
        <v>0.1242798832653523</v>
      </c>
      <c r="BH19" s="31" t="n">
        <v>0.215256550766399</v>
      </c>
      <c r="BI19" s="31" t="n">
        <v>8.503681781007812</v>
      </c>
      <c r="BJ19" s="31" t="n">
        <v>0.077214771670256</v>
      </c>
      <c r="BK19" s="31" t="n">
        <v>57.00399772508887</v>
      </c>
      <c r="BL19" s="31" t="n">
        <v>2.67049981615504</v>
      </c>
      <c r="BM19" s="31" t="n">
        <v>0.2558640873656398</v>
      </c>
      <c r="BN19" s="31" t="n">
        <v>17.77077991817678</v>
      </c>
      <c r="BO19" s="31" t="n">
        <v>0.1685031368483013</v>
      </c>
      <c r="BP19" s="31" t="n">
        <v>0.888778928082996</v>
      </c>
      <c r="BQ19" s="31" t="n">
        <v>0.5550848886891836</v>
      </c>
      <c r="BR19" s="31" t="n">
        <v>0</v>
      </c>
      <c r="BS19" s="31">
        <f>SUM(C19:BR19)</f>
        <v/>
      </c>
      <c r="BT19" s="31" t="n">
        <v>0</v>
      </c>
      <c r="BU19" s="31" t="n">
        <v>0</v>
      </c>
      <c r="BV19" s="31" t="n">
        <v>208594.5726973916</v>
      </c>
      <c r="BW19" s="31" t="n">
        <v>0</v>
      </c>
      <c r="BX19" s="31">
        <f>SUM(BT19:BW19)</f>
        <v/>
      </c>
      <c r="BY19" s="31">
        <f>BS19+BX19</f>
        <v/>
      </c>
    </row>
    <row r="20">
      <c r="A20" s="28" t="inlineStr">
        <is>
          <t>0792</t>
        </is>
      </c>
      <c r="B20" s="28" t="inlineStr">
        <is>
          <t>Extração de minerais metálicos não-ferrosos, inclusive beneficiamentos</t>
        </is>
      </c>
      <c r="C20" s="29" t="n">
        <v>2.761741118328449</v>
      </c>
      <c r="D20" s="29" t="n">
        <v>1.105345897360394</v>
      </c>
      <c r="E20" s="29" t="n">
        <v>0.03494847703897395</v>
      </c>
      <c r="F20" s="29" t="n">
        <v>0.03841823303455015</v>
      </c>
      <c r="G20" s="29" t="n">
        <v>88.53575311071477</v>
      </c>
      <c r="H20" s="29" t="n">
        <v>44.8393579458801</v>
      </c>
      <c r="I20" s="29" t="n">
        <v>1918.082193033376</v>
      </c>
      <c r="J20" s="29" t="n">
        <v>8.775692392045693</v>
      </c>
      <c r="K20" s="29" t="n">
        <v>0.1867172188930253</v>
      </c>
      <c r="L20" s="29" t="n">
        <v>14.91871807722601</v>
      </c>
      <c r="M20" s="29" t="n">
        <v>1.050213681043162</v>
      </c>
      <c r="N20" s="29" t="n">
        <v>0.03081958443081824</v>
      </c>
      <c r="O20" s="29" t="n">
        <v>0.09142465898999017</v>
      </c>
      <c r="P20" s="29" t="n">
        <v>0.08513287938119972</v>
      </c>
      <c r="Q20" s="29" t="n">
        <v>0.1084253349620312</v>
      </c>
      <c r="R20" s="29" t="n">
        <v>0.06917074184502214</v>
      </c>
      <c r="S20" s="29" t="n">
        <v>7.986286869788202</v>
      </c>
      <c r="T20" s="29" t="n">
        <v>6.584653988993797</v>
      </c>
      <c r="U20" s="29" t="n">
        <v>0.07082161104702463</v>
      </c>
      <c r="V20" s="29" t="n">
        <v>0.09845752044465184</v>
      </c>
      <c r="W20" s="29" t="n">
        <v>6.81787518004272</v>
      </c>
      <c r="X20" s="29" t="n">
        <v>5.552808574650947</v>
      </c>
      <c r="Y20" s="29" t="n">
        <v>0.3085302083150281</v>
      </c>
      <c r="Z20" s="29" t="n">
        <v>0.4809072057348331</v>
      </c>
      <c r="AA20" s="29" t="n">
        <v>3.014853036485552</v>
      </c>
      <c r="AB20" s="29" t="n">
        <v>81.6851200941374</v>
      </c>
      <c r="AC20" s="29" t="n">
        <v>3141.673124099359</v>
      </c>
      <c r="AD20" s="29" t="n">
        <v>10823.5800603293</v>
      </c>
      <c r="AE20" s="29" t="n">
        <v>68.70230233096601</v>
      </c>
      <c r="AF20" s="29" t="n">
        <v>4.379373149188037</v>
      </c>
      <c r="AG20" s="29" t="n">
        <v>180.7689155593694</v>
      </c>
      <c r="AH20" s="29" t="n">
        <v>30.48336179761441</v>
      </c>
      <c r="AI20" s="29" t="n">
        <v>16.35305094987145</v>
      </c>
      <c r="AJ20" s="29" t="n">
        <v>81.63627262641253</v>
      </c>
      <c r="AK20" s="29" t="n">
        <v>17.84655415187353</v>
      </c>
      <c r="AL20" s="29" t="n">
        <v>63.42526245979065</v>
      </c>
      <c r="AM20" s="29" t="n">
        <v>9.910373250941197</v>
      </c>
      <c r="AN20" s="29" t="n">
        <v>0.3342338260363431</v>
      </c>
      <c r="AO20" s="29" t="n">
        <v>2.517070819536579</v>
      </c>
      <c r="AP20" s="29" t="n">
        <v>67.27859735629319</v>
      </c>
      <c r="AQ20" s="29" t="n">
        <v>0.09475764212047352</v>
      </c>
      <c r="AR20" s="29" t="n">
        <v>1.335930658818229</v>
      </c>
      <c r="AS20" s="29" t="n">
        <v>0.361825698263181</v>
      </c>
      <c r="AT20" s="29" t="n">
        <v>0.001925520088931237</v>
      </c>
      <c r="AU20" s="29" t="n">
        <v>0</v>
      </c>
      <c r="AV20" s="29" t="n">
        <v>0.001988380710391191</v>
      </c>
      <c r="AW20" s="29" t="n">
        <v>0.08367248919006864</v>
      </c>
      <c r="AX20" s="29" t="n">
        <v>0.2877896949228684</v>
      </c>
      <c r="AY20" s="29" t="n">
        <v>0.03378362865010235</v>
      </c>
      <c r="AZ20" s="29" t="n">
        <v>0.05097292268779273</v>
      </c>
      <c r="BA20" s="29" t="n">
        <v>0.280512911386577</v>
      </c>
      <c r="BB20" s="29" t="n">
        <v>0.09494610347081703</v>
      </c>
      <c r="BC20" s="29" t="n">
        <v>0.008094528471276964</v>
      </c>
      <c r="BD20" s="29" t="n">
        <v>1.145413022172958</v>
      </c>
      <c r="BE20" s="29" t="n">
        <v>0.04081561268236419</v>
      </c>
      <c r="BF20" s="29" t="n">
        <v>0.9250214984539897</v>
      </c>
      <c r="BG20" s="29" t="n">
        <v>0.03198824617386097</v>
      </c>
      <c r="BH20" s="29" t="n">
        <v>0.007824064284203847</v>
      </c>
      <c r="BI20" s="29" t="n">
        <v>0.1028242946641788</v>
      </c>
      <c r="BJ20" s="29" t="n">
        <v>0.005777552480152009</v>
      </c>
      <c r="BK20" s="29" t="n">
        <v>0.3436435776168498</v>
      </c>
      <c r="BL20" s="29" t="n">
        <v>0.09839118816394776</v>
      </c>
      <c r="BM20" s="29" t="n">
        <v>0.00160925615174586</v>
      </c>
      <c r="BN20" s="29" t="n">
        <v>0.126860893444951</v>
      </c>
      <c r="BO20" s="29" t="n">
        <v>0.1103937668062596</v>
      </c>
      <c r="BP20" s="29" t="n">
        <v>0.002177313969442761</v>
      </c>
      <c r="BQ20" s="29" t="n">
        <v>0.07585134150685943</v>
      </c>
      <c r="BR20" s="29" t="n">
        <v>0</v>
      </c>
      <c r="BS20" s="29">
        <f>SUM(C20:BR20)</f>
        <v/>
      </c>
      <c r="BT20" s="29" t="n">
        <v>0</v>
      </c>
      <c r="BU20" s="29" t="n">
        <v>0</v>
      </c>
      <c r="BV20" s="29" t="n">
        <v>14004.14095245392</v>
      </c>
      <c r="BW20" s="29" t="n">
        <v>0</v>
      </c>
      <c r="BX20" s="29">
        <f>SUM(BT20:BW20)</f>
        <v/>
      </c>
      <c r="BY20" s="29">
        <f>BS20+BX20</f>
        <v/>
      </c>
    </row>
    <row r="21">
      <c r="A21" s="30" t="inlineStr">
        <is>
          <t>1091</t>
        </is>
      </c>
      <c r="B21" s="30" t="inlineStr">
        <is>
          <t>Abate e produtos de carne, inclusive os produtos do laticínio e da pesca</t>
        </is>
      </c>
      <c r="C21" s="31" t="n">
        <v>75.43027013081615</v>
      </c>
      <c r="D21" s="31" t="n">
        <v>4027.791776473657</v>
      </c>
      <c r="E21" s="31" t="n">
        <v>41.22349391334063</v>
      </c>
      <c r="F21" s="31" t="n">
        <v>15.18924187559042</v>
      </c>
      <c r="G21" s="31" t="n">
        <v>15.4504523249014</v>
      </c>
      <c r="H21" s="31" t="n">
        <v>19.37328783452365</v>
      </c>
      <c r="I21" s="31" t="n">
        <v>4.463982621256667</v>
      </c>
      <c r="J21" s="31" t="n">
        <v>45392.55455426936</v>
      </c>
      <c r="K21" s="31" t="n">
        <v>29.68263407270749</v>
      </c>
      <c r="L21" s="31" t="n">
        <v>5203.97151262536</v>
      </c>
      <c r="M21" s="31" t="n">
        <v>74.87891487535043</v>
      </c>
      <c r="N21" s="31" t="n">
        <v>12.51997198064372</v>
      </c>
      <c r="O21" s="31" t="n">
        <v>39.01174112581383</v>
      </c>
      <c r="P21" s="31" t="n">
        <v>41.03483701247838</v>
      </c>
      <c r="Q21" s="31" t="n">
        <v>1917.080475628795</v>
      </c>
      <c r="R21" s="31" t="n">
        <v>36.53547498729692</v>
      </c>
      <c r="S21" s="31" t="n">
        <v>152.8842097751433</v>
      </c>
      <c r="T21" s="31" t="n">
        <v>4.243839750565585</v>
      </c>
      <c r="U21" s="31" t="n">
        <v>37.37054217533766</v>
      </c>
      <c r="V21" s="31" t="n">
        <v>1696.507599514317</v>
      </c>
      <c r="W21" s="31" t="n">
        <v>154.7987608031299</v>
      </c>
      <c r="X21" s="31" t="n">
        <v>156.9255046953289</v>
      </c>
      <c r="Y21" s="31" t="n">
        <v>4554.025447233668</v>
      </c>
      <c r="Z21" s="31" t="n">
        <v>93.9094726348122</v>
      </c>
      <c r="AA21" s="31" t="n">
        <v>112.8896929288079</v>
      </c>
      <c r="AB21" s="31" t="n">
        <v>74.84256434231604</v>
      </c>
      <c r="AC21" s="31" t="n">
        <v>96.28998654057014</v>
      </c>
      <c r="AD21" s="31" t="n">
        <v>30.19925213286311</v>
      </c>
      <c r="AE21" s="31" t="n">
        <v>214.6815464595454</v>
      </c>
      <c r="AF21" s="31" t="n">
        <v>42.59648445201803</v>
      </c>
      <c r="AG21" s="31" t="n">
        <v>63.8677160837581</v>
      </c>
      <c r="AH21" s="31" t="n">
        <v>199.1439225617264</v>
      </c>
      <c r="AI21" s="31" t="n">
        <v>12.62656633566915</v>
      </c>
      <c r="AJ21" s="31" t="n">
        <v>5.280239278352234</v>
      </c>
      <c r="AK21" s="31" t="n">
        <v>8.547797822798927</v>
      </c>
      <c r="AL21" s="31" t="n">
        <v>49.069378786634</v>
      </c>
      <c r="AM21" s="31" t="n">
        <v>5.963339506050006</v>
      </c>
      <c r="AN21" s="31" t="n">
        <v>3.37280319009579</v>
      </c>
      <c r="AO21" s="31" t="n">
        <v>3.671307306439045</v>
      </c>
      <c r="AP21" s="31" t="n">
        <v>24.32022646628466</v>
      </c>
      <c r="AQ21" s="31" t="n">
        <v>6.362537083567532</v>
      </c>
      <c r="AR21" s="31" t="n">
        <v>1071.656139861173</v>
      </c>
      <c r="AS21" s="31" t="n">
        <v>2.195536223833771</v>
      </c>
      <c r="AT21" s="31" t="n">
        <v>0.2218025764844616</v>
      </c>
      <c r="AU21" s="31" t="n">
        <v>0.2924015606741393</v>
      </c>
      <c r="AV21" s="31" t="n">
        <v>6.339345699623895</v>
      </c>
      <c r="AW21" s="31" t="n">
        <v>684.9139392895704</v>
      </c>
      <c r="AX21" s="31" t="n">
        <v>25660.97693721871</v>
      </c>
      <c r="AY21" s="31" t="n">
        <v>16.32203409262656</v>
      </c>
      <c r="AZ21" s="31" t="n">
        <v>25.24678057025256</v>
      </c>
      <c r="BA21" s="31" t="n">
        <v>132.7333896919541</v>
      </c>
      <c r="BB21" s="31" t="n">
        <v>33.83091862721695</v>
      </c>
      <c r="BC21" s="31" t="n">
        <v>11.06225216407545</v>
      </c>
      <c r="BD21" s="31" t="n">
        <v>3.297502215919935</v>
      </c>
      <c r="BE21" s="31" t="n">
        <v>27.92980046051116</v>
      </c>
      <c r="BF21" s="31" t="n">
        <v>9.014748340509048</v>
      </c>
      <c r="BG21" s="31" t="n">
        <v>19.73568083339122</v>
      </c>
      <c r="BH21" s="31" t="n">
        <v>2.056698418327665</v>
      </c>
      <c r="BI21" s="31" t="n">
        <v>31.6813377251315</v>
      </c>
      <c r="BJ21" s="31" t="n">
        <v>3.366720059773224</v>
      </c>
      <c r="BK21" s="31" t="n">
        <v>3612.108889757218</v>
      </c>
      <c r="BL21" s="31" t="n">
        <v>1761.870351068977</v>
      </c>
      <c r="BM21" s="31" t="n">
        <v>380.9973918155038</v>
      </c>
      <c r="BN21" s="31" t="n">
        <v>2384.74468081368</v>
      </c>
      <c r="BO21" s="31" t="n">
        <v>1089.780672226346</v>
      </c>
      <c r="BP21" s="31" t="n">
        <v>11.79210065736252</v>
      </c>
      <c r="BQ21" s="31" t="n">
        <v>308.6570649862109</v>
      </c>
      <c r="BR21" s="31" t="n">
        <v>0</v>
      </c>
      <c r="BS21" s="31">
        <f>SUM(C21:BR21)</f>
        <v/>
      </c>
      <c r="BT21" s="31" t="n">
        <v>0</v>
      </c>
      <c r="BU21" s="31" t="n">
        <v>0</v>
      </c>
      <c r="BV21" s="31" t="n">
        <v>393359.9570388837</v>
      </c>
      <c r="BW21" s="31" t="n">
        <v>0</v>
      </c>
      <c r="BX21" s="31">
        <f>SUM(BT21:BW21)</f>
        <v/>
      </c>
      <c r="BY21" s="31">
        <f>BS21+BX21</f>
        <v/>
      </c>
    </row>
    <row r="22">
      <c r="A22" s="28" t="inlineStr">
        <is>
          <t>1092</t>
        </is>
      </c>
      <c r="B22" s="28" t="inlineStr">
        <is>
          <t>Fabricação e refino de açúcar</t>
        </is>
      </c>
      <c r="C22" s="29" t="n">
        <v>84.76784233581529</v>
      </c>
      <c r="D22" s="29" t="n">
        <v>177.56743197896</v>
      </c>
      <c r="E22" s="29" t="n">
        <v>4.651346177238556</v>
      </c>
      <c r="F22" s="29" t="n">
        <v>2.725171905084022</v>
      </c>
      <c r="G22" s="29" t="n">
        <v>411.8068527037533</v>
      </c>
      <c r="H22" s="29" t="n">
        <v>37.40390942754672</v>
      </c>
      <c r="I22" s="29" t="n">
        <v>5.058982715784104</v>
      </c>
      <c r="J22" s="29" t="n">
        <v>668.7087831357564</v>
      </c>
      <c r="K22" s="29" t="n">
        <v>2584.504475435786</v>
      </c>
      <c r="L22" s="29" t="n">
        <v>6304.100453954074</v>
      </c>
      <c r="M22" s="29" t="n">
        <v>1429.993507788432</v>
      </c>
      <c r="N22" s="29" t="n">
        <v>2.627195898873022</v>
      </c>
      <c r="O22" s="29" t="n">
        <v>7.468831946139044</v>
      </c>
      <c r="P22" s="29" t="n">
        <v>8.62175446404213</v>
      </c>
      <c r="Q22" s="29" t="n">
        <v>8.677097735230076</v>
      </c>
      <c r="R22" s="29" t="n">
        <v>50.93732891819553</v>
      </c>
      <c r="S22" s="29" t="n">
        <v>33.33010391015736</v>
      </c>
      <c r="T22" s="29" t="n">
        <v>0.6872466844437537</v>
      </c>
      <c r="U22" s="29" t="n">
        <v>14234.06594215623</v>
      </c>
      <c r="V22" s="29" t="n">
        <v>2271.989522771818</v>
      </c>
      <c r="W22" s="29" t="n">
        <v>240.9583973799678</v>
      </c>
      <c r="X22" s="29" t="n">
        <v>822.2054308481046</v>
      </c>
      <c r="Y22" s="29" t="n">
        <v>914.606667533727</v>
      </c>
      <c r="Z22" s="29" t="n">
        <v>439.9950893692007</v>
      </c>
      <c r="AA22" s="29" t="n">
        <v>20.67682012871522</v>
      </c>
      <c r="AB22" s="29" t="n">
        <v>15.94813023951833</v>
      </c>
      <c r="AC22" s="29" t="n">
        <v>19.1651298921389</v>
      </c>
      <c r="AD22" s="29" t="n">
        <v>6.298694747542674</v>
      </c>
      <c r="AE22" s="29" t="n">
        <v>40.08442072037089</v>
      </c>
      <c r="AF22" s="29" t="n">
        <v>9.048990607128184</v>
      </c>
      <c r="AG22" s="29" t="n">
        <v>16.17828862676622</v>
      </c>
      <c r="AH22" s="29" t="n">
        <v>140.2230092012292</v>
      </c>
      <c r="AI22" s="29" t="n">
        <v>15.42488624837664</v>
      </c>
      <c r="AJ22" s="29" t="n">
        <v>2.079836981608647</v>
      </c>
      <c r="AK22" s="29" t="n">
        <v>3.588122675170552</v>
      </c>
      <c r="AL22" s="29" t="n">
        <v>11.11067179907208</v>
      </c>
      <c r="AM22" s="29" t="n">
        <v>43.73361277837308</v>
      </c>
      <c r="AN22" s="29" t="n">
        <v>6.095478082556921</v>
      </c>
      <c r="AO22" s="29" t="n">
        <v>28.89015191607719</v>
      </c>
      <c r="AP22" s="29" t="n">
        <v>295.8170785824895</v>
      </c>
      <c r="AQ22" s="29" t="n">
        <v>281.2408315034319</v>
      </c>
      <c r="AR22" s="29" t="n">
        <v>593.991728887315</v>
      </c>
      <c r="AS22" s="29" t="n">
        <v>519.9189588567737</v>
      </c>
      <c r="AT22" s="29" t="n">
        <v>8.078766973999526</v>
      </c>
      <c r="AU22" s="29" t="n">
        <v>18.50072671865249</v>
      </c>
      <c r="AV22" s="29" t="n">
        <v>51.08834248735336</v>
      </c>
      <c r="AW22" s="29" t="n">
        <v>15.20905369141006</v>
      </c>
      <c r="AX22" s="29" t="n">
        <v>1352.348365179577</v>
      </c>
      <c r="AY22" s="29" t="n">
        <v>8.007881489475551</v>
      </c>
      <c r="AZ22" s="29" t="n">
        <v>14.26713155393941</v>
      </c>
      <c r="BA22" s="29" t="n">
        <v>49.02753766747905</v>
      </c>
      <c r="BB22" s="29" t="n">
        <v>62.42030404708736</v>
      </c>
      <c r="BC22" s="29" t="n">
        <v>92.49963019118364</v>
      </c>
      <c r="BD22" s="29" t="n">
        <v>19.34506897045642</v>
      </c>
      <c r="BE22" s="29" t="n">
        <v>106.8553465056003</v>
      </c>
      <c r="BF22" s="29" t="n">
        <v>125.2065838928595</v>
      </c>
      <c r="BG22" s="29" t="n">
        <v>49.50302276634226</v>
      </c>
      <c r="BH22" s="29" t="n">
        <v>120.4108392322475</v>
      </c>
      <c r="BI22" s="29" t="n">
        <v>148.8548314861904</v>
      </c>
      <c r="BJ22" s="29" t="n">
        <v>58.22191758768047</v>
      </c>
      <c r="BK22" s="29" t="n">
        <v>469.3958411996011</v>
      </c>
      <c r="BL22" s="29" t="n">
        <v>123.4162883589534</v>
      </c>
      <c r="BM22" s="29" t="n">
        <v>20.15494102347853</v>
      </c>
      <c r="BN22" s="29" t="n">
        <v>134.9232864538305</v>
      </c>
      <c r="BO22" s="29" t="n">
        <v>89.04210137678081</v>
      </c>
      <c r="BP22" s="29" t="n">
        <v>22.33434951048239</v>
      </c>
      <c r="BQ22" s="29" t="n">
        <v>136.8712984875538</v>
      </c>
      <c r="BR22" s="29" t="n">
        <v>0</v>
      </c>
      <c r="BS22" s="29">
        <f>SUM(C22:BR22)</f>
        <v/>
      </c>
      <c r="BT22" s="29" t="n">
        <v>0</v>
      </c>
      <c r="BU22" s="29" t="n">
        <v>0</v>
      </c>
      <c r="BV22" s="29" t="n">
        <v>58541.91179466509</v>
      </c>
      <c r="BW22" s="29" t="n">
        <v>0</v>
      </c>
      <c r="BX22" s="29">
        <f>SUM(BT22:BW22)</f>
        <v/>
      </c>
      <c r="BY22" s="29">
        <f>BS22+BX22</f>
        <v/>
      </c>
    </row>
    <row r="23">
      <c r="A23" s="30" t="inlineStr">
        <is>
          <t>1093</t>
        </is>
      </c>
      <c r="B23" s="30" t="inlineStr">
        <is>
          <t>Outros produtos alimentares</t>
        </is>
      </c>
      <c r="C23" s="31" t="n">
        <v>3587.305704599456</v>
      </c>
      <c r="D23" s="31" t="n">
        <v>25779.36182176027</v>
      </c>
      <c r="E23" s="31" t="n">
        <v>1909.724834365311</v>
      </c>
      <c r="F23" s="31" t="n">
        <v>265.7634137296469</v>
      </c>
      <c r="G23" s="31" t="n">
        <v>300.3583115284008</v>
      </c>
      <c r="H23" s="31" t="n">
        <v>139.4310595793147</v>
      </c>
      <c r="I23" s="31" t="n">
        <v>31.11895442558654</v>
      </c>
      <c r="J23" s="31" t="n">
        <v>47963.14295982937</v>
      </c>
      <c r="K23" s="31" t="n">
        <v>164.9655554958053</v>
      </c>
      <c r="L23" s="31" t="n">
        <v>53336.7751282805</v>
      </c>
      <c r="M23" s="31" t="n">
        <v>3557.470644006441</v>
      </c>
      <c r="N23" s="31" t="n">
        <v>47.60988858127828</v>
      </c>
      <c r="O23" s="31" t="n">
        <v>170.9298221559942</v>
      </c>
      <c r="P23" s="31" t="n">
        <v>161.8257196761921</v>
      </c>
      <c r="Q23" s="31" t="n">
        <v>187.5844708538084</v>
      </c>
      <c r="R23" s="31" t="n">
        <v>214.7998509612314</v>
      </c>
      <c r="S23" s="31" t="n">
        <v>1930.58533502997</v>
      </c>
      <c r="T23" s="31" t="n">
        <v>31.75941525877691</v>
      </c>
      <c r="U23" s="31" t="n">
        <v>5227.220664094049</v>
      </c>
      <c r="V23" s="31" t="n">
        <v>8961.064565126604</v>
      </c>
      <c r="W23" s="31" t="n">
        <v>1195.514087601915</v>
      </c>
      <c r="X23" s="31" t="n">
        <v>1804.183316684863</v>
      </c>
      <c r="Y23" s="31" t="n">
        <v>1748.987859639154</v>
      </c>
      <c r="Z23" s="31" t="n">
        <v>592.5609142616998</v>
      </c>
      <c r="AA23" s="31" t="n">
        <v>551.9462813811857</v>
      </c>
      <c r="AB23" s="31" t="n">
        <v>360.3228508642128</v>
      </c>
      <c r="AC23" s="31" t="n">
        <v>441.5244515747116</v>
      </c>
      <c r="AD23" s="31" t="n">
        <v>125.2946357843925</v>
      </c>
      <c r="AE23" s="31" t="n">
        <v>484.559789225442</v>
      </c>
      <c r="AF23" s="31" t="n">
        <v>161.4326010761717</v>
      </c>
      <c r="AG23" s="31" t="n">
        <v>262.6020401649348</v>
      </c>
      <c r="AH23" s="31" t="n">
        <v>807.7966581460716</v>
      </c>
      <c r="AI23" s="31" t="n">
        <v>75.64626885046334</v>
      </c>
      <c r="AJ23" s="31" t="n">
        <v>54.13705838782122</v>
      </c>
      <c r="AK23" s="31" t="n">
        <v>36.90072088462963</v>
      </c>
      <c r="AL23" s="31" t="n">
        <v>227.4451256403127</v>
      </c>
      <c r="AM23" s="31" t="n">
        <v>51.47661741928681</v>
      </c>
      <c r="AN23" s="31" t="n">
        <v>17.17085581856315</v>
      </c>
      <c r="AO23" s="31" t="n">
        <v>48.16806775709814</v>
      </c>
      <c r="AP23" s="31" t="n">
        <v>332.0258091270973</v>
      </c>
      <c r="AQ23" s="31" t="n">
        <v>201.09058269943</v>
      </c>
      <c r="AR23" s="31" t="n">
        <v>6795.317686782648</v>
      </c>
      <c r="AS23" s="31" t="n">
        <v>197.9068083550868</v>
      </c>
      <c r="AT23" s="31" t="n">
        <v>3.919001976216754</v>
      </c>
      <c r="AU23" s="31" t="n">
        <v>27.13162817885157</v>
      </c>
      <c r="AV23" s="31" t="n">
        <v>59.20228475993344</v>
      </c>
      <c r="AW23" s="31" t="n">
        <v>270.1122258773332</v>
      </c>
      <c r="AX23" s="31" t="n">
        <v>15706.84613404891</v>
      </c>
      <c r="AY23" s="31" t="n">
        <v>63.31163075045258</v>
      </c>
      <c r="AZ23" s="31" t="n">
        <v>97.94901743807652</v>
      </c>
      <c r="BA23" s="31" t="n">
        <v>514.4390401327657</v>
      </c>
      <c r="BB23" s="31" t="n">
        <v>144.4074369192523</v>
      </c>
      <c r="BC23" s="31" t="n">
        <v>180.4231656169179</v>
      </c>
      <c r="BD23" s="31" t="n">
        <v>34.59877961164181</v>
      </c>
      <c r="BE23" s="31" t="n">
        <v>164.1518528628382</v>
      </c>
      <c r="BF23" s="31" t="n">
        <v>71.4947712614308</v>
      </c>
      <c r="BG23" s="31" t="n">
        <v>156.4163117170224</v>
      </c>
      <c r="BH23" s="31" t="n">
        <v>53.31345632550777</v>
      </c>
      <c r="BI23" s="31" t="n">
        <v>179.7090378997564</v>
      </c>
      <c r="BJ23" s="31" t="n">
        <v>33.04067619501162</v>
      </c>
      <c r="BK23" s="31" t="n">
        <v>2350.398375375533</v>
      </c>
      <c r="BL23" s="31" t="n">
        <v>1472.076020566754</v>
      </c>
      <c r="BM23" s="31" t="n">
        <v>234.8080476717765</v>
      </c>
      <c r="BN23" s="31" t="n">
        <v>2973.903712408304</v>
      </c>
      <c r="BO23" s="31" t="n">
        <v>762.4547365096436</v>
      </c>
      <c r="BP23" s="31" t="n">
        <v>68.95212992671105</v>
      </c>
      <c r="BQ23" s="31" t="n">
        <v>1085.930979936935</v>
      </c>
      <c r="BR23" s="31" t="n">
        <v>0</v>
      </c>
      <c r="BS23" s="31">
        <f>SUM(C23:BR23)</f>
        <v/>
      </c>
      <c r="BT23" s="31" t="n">
        <v>0</v>
      </c>
      <c r="BU23" s="31" t="n">
        <v>0</v>
      </c>
      <c r="BV23" s="31" t="n">
        <v>316583.8227766503</v>
      </c>
      <c r="BW23" s="31" t="n">
        <v>0</v>
      </c>
      <c r="BX23" s="31">
        <f>SUM(BT23:BW23)</f>
        <v/>
      </c>
      <c r="BY23" s="31">
        <f>BS23+BX23</f>
        <v/>
      </c>
    </row>
    <row r="24">
      <c r="A24" s="28" t="inlineStr">
        <is>
          <t>1100</t>
        </is>
      </c>
      <c r="B24" s="28" t="inlineStr">
        <is>
          <t>Fabricação de bebidas</t>
        </is>
      </c>
      <c r="C24" s="29" t="n">
        <v>16.97179812711748</v>
      </c>
      <c r="D24" s="29" t="n">
        <v>5.140790429420737</v>
      </c>
      <c r="E24" s="29" t="n">
        <v>0.3192715550845828</v>
      </c>
      <c r="F24" s="29" t="n">
        <v>23.4203937418458</v>
      </c>
      <c r="G24" s="29" t="n">
        <v>25.13772584629446</v>
      </c>
      <c r="H24" s="29" t="n">
        <v>32.40913362554947</v>
      </c>
      <c r="I24" s="29" t="n">
        <v>6.777014883598376</v>
      </c>
      <c r="J24" s="29" t="n">
        <v>970.5564686833328</v>
      </c>
      <c r="K24" s="29" t="n">
        <v>36.83758213584895</v>
      </c>
      <c r="L24" s="29" t="n">
        <v>419.1922393331271</v>
      </c>
      <c r="M24" s="29" t="n">
        <v>8811.29434920416</v>
      </c>
      <c r="N24" s="29" t="n">
        <v>14.85073687147224</v>
      </c>
      <c r="O24" s="29" t="n">
        <v>43.93611540525792</v>
      </c>
      <c r="P24" s="29" t="n">
        <v>49.22391049014329</v>
      </c>
      <c r="Q24" s="29" t="n">
        <v>50.39639510106464</v>
      </c>
      <c r="R24" s="29" t="n">
        <v>47.23156253752038</v>
      </c>
      <c r="S24" s="29" t="n">
        <v>167.2472770660849</v>
      </c>
      <c r="T24" s="29" t="n">
        <v>5.840645455719602</v>
      </c>
      <c r="U24" s="29" t="n">
        <v>86.94747254053712</v>
      </c>
      <c r="V24" s="29" t="n">
        <v>61.50636814590949</v>
      </c>
      <c r="W24" s="29" t="n">
        <v>104.1310968264435</v>
      </c>
      <c r="X24" s="29" t="n">
        <v>120.1638762300627</v>
      </c>
      <c r="Y24" s="29" t="n">
        <v>21.75221111477489</v>
      </c>
      <c r="Z24" s="29" t="n">
        <v>99.79692316262769</v>
      </c>
      <c r="AA24" s="29" t="n">
        <v>130.0123322394227</v>
      </c>
      <c r="AB24" s="29" t="n">
        <v>91.37507515836947</v>
      </c>
      <c r="AC24" s="29" t="n">
        <v>119.843475601094</v>
      </c>
      <c r="AD24" s="29" t="n">
        <v>34.21988864315201</v>
      </c>
      <c r="AE24" s="29" t="n">
        <v>136.7179944811864</v>
      </c>
      <c r="AF24" s="29" t="n">
        <v>53.35197177758192</v>
      </c>
      <c r="AG24" s="29" t="n">
        <v>81.7693274966927</v>
      </c>
      <c r="AH24" s="29" t="n">
        <v>272.2812723273198</v>
      </c>
      <c r="AI24" s="29" t="n">
        <v>25.45289036384576</v>
      </c>
      <c r="AJ24" s="29" t="n">
        <v>11.98968408488165</v>
      </c>
      <c r="AK24" s="29" t="n">
        <v>13.70740149287484</v>
      </c>
      <c r="AL24" s="29" t="n">
        <v>59.80039229771029</v>
      </c>
      <c r="AM24" s="29" t="n">
        <v>23.72376462173382</v>
      </c>
      <c r="AN24" s="29" t="n">
        <v>11.04108423986595</v>
      </c>
      <c r="AO24" s="29" t="n">
        <v>7.275506363458962</v>
      </c>
      <c r="AP24" s="29" t="n">
        <v>88.88228906208558</v>
      </c>
      <c r="AQ24" s="29" t="n">
        <v>27.19927107931888</v>
      </c>
      <c r="AR24" s="29" t="n">
        <v>703.1215747228049</v>
      </c>
      <c r="AS24" s="29" t="n">
        <v>13.18638680225637</v>
      </c>
      <c r="AT24" s="29" t="n">
        <v>0.9676794127493542</v>
      </c>
      <c r="AU24" s="29" t="n">
        <v>6.079594276682286</v>
      </c>
      <c r="AV24" s="29" t="n">
        <v>24.91503025354604</v>
      </c>
      <c r="AW24" s="29" t="n">
        <v>524.9062350172859</v>
      </c>
      <c r="AX24" s="29" t="n">
        <v>29961.84162973506</v>
      </c>
      <c r="AY24" s="29" t="n">
        <v>20.08090816562544</v>
      </c>
      <c r="AZ24" s="29" t="n">
        <v>31.98461869957204</v>
      </c>
      <c r="BA24" s="29" t="n">
        <v>165.4440564094209</v>
      </c>
      <c r="BB24" s="29" t="n">
        <v>52.27990575958121</v>
      </c>
      <c r="BC24" s="29" t="n">
        <v>104.0147354011296</v>
      </c>
      <c r="BD24" s="29" t="n">
        <v>14.05705974850396</v>
      </c>
      <c r="BE24" s="29" t="n">
        <v>59.31450113854658</v>
      </c>
      <c r="BF24" s="29" t="n">
        <v>9.395726710302336</v>
      </c>
      <c r="BG24" s="29" t="n">
        <v>28.63274669567109</v>
      </c>
      <c r="BH24" s="29" t="n">
        <v>7.749348983307297</v>
      </c>
      <c r="BI24" s="29" t="n">
        <v>57.79660890498972</v>
      </c>
      <c r="BJ24" s="29" t="n">
        <v>5.753822770630361</v>
      </c>
      <c r="BK24" s="29" t="n">
        <v>164.8575848491178</v>
      </c>
      <c r="BL24" s="29" t="n">
        <v>89.52976672825976</v>
      </c>
      <c r="BM24" s="29" t="n">
        <v>42.02981405582386</v>
      </c>
      <c r="BN24" s="29" t="n">
        <v>124.6600697113438</v>
      </c>
      <c r="BO24" s="29" t="n">
        <v>162.9409020085926</v>
      </c>
      <c r="BP24" s="29" t="n">
        <v>52.81913429525361</v>
      </c>
      <c r="BQ24" s="29" t="n">
        <v>33.03626185261412</v>
      </c>
      <c r="BR24" s="29" t="n">
        <v>0</v>
      </c>
      <c r="BS24" s="29">
        <f>SUM(C24:BR24)</f>
        <v/>
      </c>
      <c r="BT24" s="29" t="n">
        <v>0</v>
      </c>
      <c r="BU24" s="29" t="n">
        <v>0</v>
      </c>
      <c r="BV24" s="29" t="n">
        <v>65236.12943178132</v>
      </c>
      <c r="BW24" s="29" t="n">
        <v>0</v>
      </c>
      <c r="BX24" s="29">
        <f>SUM(BT24:BW24)</f>
        <v/>
      </c>
      <c r="BY24" s="29">
        <f>BS24+BX24</f>
        <v/>
      </c>
    </row>
    <row r="25">
      <c r="A25" s="30" t="inlineStr">
        <is>
          <t>1200</t>
        </is>
      </c>
      <c r="B25" s="30" t="inlineStr">
        <is>
          <t>Fabricação de produtos do fumo</t>
        </is>
      </c>
      <c r="C25" s="31" t="n">
        <v>8.872753145683561</v>
      </c>
      <c r="D25" s="31" t="n">
        <v>0.9325743927201854</v>
      </c>
      <c r="E25" s="31" t="n">
        <v>0.06470062946084099</v>
      </c>
      <c r="F25" s="31" t="n">
        <v>0.1205701517476795</v>
      </c>
      <c r="G25" s="31" t="n">
        <v>0.9562823767203191</v>
      </c>
      <c r="H25" s="31" t="n">
        <v>1.840061846347301</v>
      </c>
      <c r="I25" s="31" t="n">
        <v>0.22940774476532</v>
      </c>
      <c r="J25" s="31" t="n">
        <v>23.99427898164332</v>
      </c>
      <c r="K25" s="31" t="n">
        <v>1.495538865449591</v>
      </c>
      <c r="L25" s="31" t="n">
        <v>14.54306249161694</v>
      </c>
      <c r="M25" s="31" t="n">
        <v>0.7391374706848902</v>
      </c>
      <c r="N25" s="31" t="n">
        <v>717.0756706164394</v>
      </c>
      <c r="O25" s="31" t="n">
        <v>1.9285074653291</v>
      </c>
      <c r="P25" s="31" t="n">
        <v>2.087566163602169</v>
      </c>
      <c r="Q25" s="31" t="n">
        <v>2.281146595747352</v>
      </c>
      <c r="R25" s="31" t="n">
        <v>2.196536064635151</v>
      </c>
      <c r="S25" s="31" t="n">
        <v>10.41544766427778</v>
      </c>
      <c r="T25" s="31" t="n">
        <v>0.5826314843292446</v>
      </c>
      <c r="U25" s="31" t="n">
        <v>1.745308772810759</v>
      </c>
      <c r="V25" s="31" t="n">
        <v>2.322069943920953</v>
      </c>
      <c r="W25" s="31" t="n">
        <v>4.168900745144114</v>
      </c>
      <c r="X25" s="31" t="n">
        <v>3.522705616845504</v>
      </c>
      <c r="Y25" s="31" t="n">
        <v>0.9380331263742457</v>
      </c>
      <c r="Z25" s="31" t="n">
        <v>4.413278316171543</v>
      </c>
      <c r="AA25" s="31" t="n">
        <v>5.699159264125199</v>
      </c>
      <c r="AB25" s="31" t="n">
        <v>4.341757827684291</v>
      </c>
      <c r="AC25" s="31" t="n">
        <v>4.428245900088655</v>
      </c>
      <c r="AD25" s="31" t="n">
        <v>1.582216230747509</v>
      </c>
      <c r="AE25" s="31" t="n">
        <v>4.609695879412922</v>
      </c>
      <c r="AF25" s="31" t="n">
        <v>2.366396615596275</v>
      </c>
      <c r="AG25" s="31" t="n">
        <v>3.316782861311816</v>
      </c>
      <c r="AH25" s="31" t="n">
        <v>11.86817912534535</v>
      </c>
      <c r="AI25" s="31" t="n">
        <v>0.9361803293963994</v>
      </c>
      <c r="AJ25" s="31" t="n">
        <v>0.5652935222906067</v>
      </c>
      <c r="AK25" s="31" t="n">
        <v>0.429706032634064</v>
      </c>
      <c r="AL25" s="31" t="n">
        <v>2.477048970238206</v>
      </c>
      <c r="AM25" s="31" t="n">
        <v>1.006535856242857</v>
      </c>
      <c r="AN25" s="31" t="n">
        <v>0.1319515199501454</v>
      </c>
      <c r="AO25" s="31" t="n">
        <v>0.08399745852997111</v>
      </c>
      <c r="AP25" s="31" t="n">
        <v>0.5413125468643004</v>
      </c>
      <c r="AQ25" s="31" t="n">
        <v>0.37389575008389</v>
      </c>
      <c r="AR25" s="31" t="n">
        <v>20.19002454359958</v>
      </c>
      <c r="AS25" s="31" t="n">
        <v>0.1067176919352744</v>
      </c>
      <c r="AT25" s="31" t="n">
        <v>0.04955493663981548</v>
      </c>
      <c r="AU25" s="31" t="n">
        <v>0.005883933555638144</v>
      </c>
      <c r="AV25" s="31" t="n">
        <v>0.2821079439010577</v>
      </c>
      <c r="AW25" s="31" t="n">
        <v>0.08591275793208879</v>
      </c>
      <c r="AX25" s="31" t="n">
        <v>0.5635880667840102</v>
      </c>
      <c r="AY25" s="31" t="n">
        <v>1.060268187987007</v>
      </c>
      <c r="AZ25" s="31" t="n">
        <v>1.26328302284183</v>
      </c>
      <c r="BA25" s="31" t="n">
        <v>6.511646315463224</v>
      </c>
      <c r="BB25" s="31" t="n">
        <v>2.096193141443826</v>
      </c>
      <c r="BC25" s="31" t="n">
        <v>0.7927718493598707</v>
      </c>
      <c r="BD25" s="31" t="n">
        <v>0.16161984307348</v>
      </c>
      <c r="BE25" s="31" t="n">
        <v>1.676160471569104</v>
      </c>
      <c r="BF25" s="31" t="n">
        <v>1.678536456330358</v>
      </c>
      <c r="BG25" s="31" t="n">
        <v>1.033137975320929</v>
      </c>
      <c r="BH25" s="31" t="n">
        <v>0.2863140404894728</v>
      </c>
      <c r="BI25" s="31" t="n">
        <v>2.366552595856743</v>
      </c>
      <c r="BJ25" s="31" t="n">
        <v>0.1609500977855375</v>
      </c>
      <c r="BK25" s="31" t="n">
        <v>0.3427680326199316</v>
      </c>
      <c r="BL25" s="31" t="n">
        <v>0.2258298567201901</v>
      </c>
      <c r="BM25" s="31" t="n">
        <v>0.3883794782000671</v>
      </c>
      <c r="BN25" s="31" t="n">
        <v>0.1028390673122016</v>
      </c>
      <c r="BO25" s="31" t="n">
        <v>0.3446868280631024</v>
      </c>
      <c r="BP25" s="31" t="n">
        <v>0.1809002182609958</v>
      </c>
      <c r="BQ25" s="31" t="n">
        <v>0.345631900078145</v>
      </c>
      <c r="BR25" s="31" t="n">
        <v>0</v>
      </c>
      <c r="BS25" s="31">
        <f>SUM(C25:BR25)</f>
        <v/>
      </c>
      <c r="BT25" s="31" t="n">
        <v>0</v>
      </c>
      <c r="BU25" s="31" t="n">
        <v>0</v>
      </c>
      <c r="BV25" s="31" t="n">
        <v>17758.44206057818</v>
      </c>
      <c r="BW25" s="31" t="n">
        <v>0</v>
      </c>
      <c r="BX25" s="31">
        <f>SUM(BT25:BW25)</f>
        <v/>
      </c>
      <c r="BY25" s="31">
        <f>BS25+BX25</f>
        <v/>
      </c>
    </row>
    <row r="26">
      <c r="A26" s="28" t="inlineStr">
        <is>
          <t>1300</t>
        </is>
      </c>
      <c r="B26" s="28" t="inlineStr">
        <is>
          <t>Fabricação de produtos têxteis</t>
        </is>
      </c>
      <c r="C26" s="29" t="n">
        <v>1205.824978369053</v>
      </c>
      <c r="D26" s="29" t="n">
        <v>23.4612023977846</v>
      </c>
      <c r="E26" s="29" t="n">
        <v>3.149438928691861</v>
      </c>
      <c r="F26" s="29" t="n">
        <v>252.7916126755805</v>
      </c>
      <c r="G26" s="29" t="n">
        <v>153.4946866305257</v>
      </c>
      <c r="H26" s="29" t="n">
        <v>9.445688377838065</v>
      </c>
      <c r="I26" s="29" t="n">
        <v>7.385397828697816</v>
      </c>
      <c r="J26" s="29" t="n">
        <v>67.97523023278218</v>
      </c>
      <c r="K26" s="29" t="n">
        <v>230.1556066311006</v>
      </c>
      <c r="L26" s="29" t="n">
        <v>364.4386408247877</v>
      </c>
      <c r="M26" s="29" t="n">
        <v>20.59949571893754</v>
      </c>
      <c r="N26" s="29" t="n">
        <v>1.907130103832968</v>
      </c>
      <c r="O26" s="29" t="n">
        <v>13381.52089268092</v>
      </c>
      <c r="P26" s="29" t="n">
        <v>20293.68240011164</v>
      </c>
      <c r="Q26" s="29" t="n">
        <v>3391.396514810175</v>
      </c>
      <c r="R26" s="29" t="n">
        <v>20.16665348862512</v>
      </c>
      <c r="S26" s="29" t="n">
        <v>203.8606377118658</v>
      </c>
      <c r="T26" s="29" t="n">
        <v>5.488748370000338</v>
      </c>
      <c r="U26" s="29" t="n">
        <v>4.933374950490094</v>
      </c>
      <c r="V26" s="29" t="n">
        <v>6.119354652058552</v>
      </c>
      <c r="W26" s="29" t="n">
        <v>44.80473995047976</v>
      </c>
      <c r="X26" s="29" t="n">
        <v>67.02222702270355</v>
      </c>
      <c r="Y26" s="29" t="n">
        <v>16.27152512782698</v>
      </c>
      <c r="Z26" s="29" t="n">
        <v>200.8972703927985</v>
      </c>
      <c r="AA26" s="29" t="n">
        <v>940.2727841792881</v>
      </c>
      <c r="AB26" s="29" t="n">
        <v>63.55278468088445</v>
      </c>
      <c r="AC26" s="29" t="n">
        <v>16.42213835966113</v>
      </c>
      <c r="AD26" s="29" t="n">
        <v>15.19744689926249</v>
      </c>
      <c r="AE26" s="29" t="n">
        <v>101.3355973785633</v>
      </c>
      <c r="AF26" s="29" t="n">
        <v>17.10615207693683</v>
      </c>
      <c r="AG26" s="29" t="n">
        <v>74.52881410428108</v>
      </c>
      <c r="AH26" s="29" t="n">
        <v>63.27552451724939</v>
      </c>
      <c r="AI26" s="29" t="n">
        <v>60.7591356819449</v>
      </c>
      <c r="AJ26" s="29" t="n">
        <v>1865.851007126454</v>
      </c>
      <c r="AK26" s="29" t="n">
        <v>83.51069614465121</v>
      </c>
      <c r="AL26" s="29" t="n">
        <v>1947.38203705817</v>
      </c>
      <c r="AM26" s="29" t="n">
        <v>17.89961365324863</v>
      </c>
      <c r="AN26" s="29" t="n">
        <v>32.78817942187939</v>
      </c>
      <c r="AO26" s="29" t="n">
        <v>19.20577598103057</v>
      </c>
      <c r="AP26" s="29" t="n">
        <v>660.3736407921099</v>
      </c>
      <c r="AQ26" s="29" t="n">
        <v>30.21453669891988</v>
      </c>
      <c r="AR26" s="29" t="n">
        <v>304.9445151895455</v>
      </c>
      <c r="AS26" s="29" t="n">
        <v>82.08314882599414</v>
      </c>
      <c r="AT26" s="29" t="n">
        <v>20.84019151507725</v>
      </c>
      <c r="AU26" s="29" t="n">
        <v>2.216620260539372</v>
      </c>
      <c r="AV26" s="29" t="n">
        <v>11.02663293954619</v>
      </c>
      <c r="AW26" s="29" t="n">
        <v>255.0865179044505</v>
      </c>
      <c r="AX26" s="29" t="n">
        <v>192.2730531145224</v>
      </c>
      <c r="AY26" s="29" t="n">
        <v>3.362096111599539</v>
      </c>
      <c r="AZ26" s="29" t="n">
        <v>10.08231971625131</v>
      </c>
      <c r="BA26" s="29" t="n">
        <v>20.41520894533795</v>
      </c>
      <c r="BB26" s="29" t="n">
        <v>10.91475085041265</v>
      </c>
      <c r="BC26" s="29" t="n">
        <v>15.70837086945073</v>
      </c>
      <c r="BD26" s="29" t="n">
        <v>8.718542009282071</v>
      </c>
      <c r="BE26" s="29" t="n">
        <v>19.74377053299338</v>
      </c>
      <c r="BF26" s="29" t="n">
        <v>8.78240279929773</v>
      </c>
      <c r="BG26" s="29" t="n">
        <v>11.69334485772894</v>
      </c>
      <c r="BH26" s="29" t="n">
        <v>6.807594999395862</v>
      </c>
      <c r="BI26" s="29" t="n">
        <v>30.78437752174082</v>
      </c>
      <c r="BJ26" s="29" t="n">
        <v>2.189406806757668</v>
      </c>
      <c r="BK26" s="29" t="n">
        <v>48.04960727839403</v>
      </c>
      <c r="BL26" s="29" t="n">
        <v>49.62834559261692</v>
      </c>
      <c r="BM26" s="29" t="n">
        <v>12.13067510065716</v>
      </c>
      <c r="BN26" s="29" t="n">
        <v>63.41107288555936</v>
      </c>
      <c r="BO26" s="29" t="n">
        <v>87.03475832126003</v>
      </c>
      <c r="BP26" s="29" t="n">
        <v>10.14814299390304</v>
      </c>
      <c r="BQ26" s="29" t="n">
        <v>925.8450337844215</v>
      </c>
      <c r="BR26" s="29" t="n">
        <v>0</v>
      </c>
      <c r="BS26" s="29">
        <f>SUM(C26:BR26)</f>
        <v/>
      </c>
      <c r="BT26" s="29" t="n">
        <v>0</v>
      </c>
      <c r="BU26" s="29" t="n">
        <v>0</v>
      </c>
      <c r="BV26" s="29" t="n">
        <v>34635.5441482372</v>
      </c>
      <c r="BW26" s="29" t="n">
        <v>0</v>
      </c>
      <c r="BX26" s="29">
        <f>SUM(BT26:BW26)</f>
        <v/>
      </c>
      <c r="BY26" s="29">
        <f>BS26+BX26</f>
        <v/>
      </c>
    </row>
    <row r="27">
      <c r="A27" s="30" t="inlineStr">
        <is>
          <t>1400</t>
        </is>
      </c>
      <c r="B27" s="30" t="inlineStr">
        <is>
          <t>Confecção de artefatos do vestuário e acessórios</t>
        </is>
      </c>
      <c r="C27" s="31" t="n">
        <v>18.4812310423064</v>
      </c>
      <c r="D27" s="31" t="n">
        <v>1.091690221954854</v>
      </c>
      <c r="E27" s="31" t="n">
        <v>10.93489016302099</v>
      </c>
      <c r="F27" s="31" t="n">
        <v>5.937316569595548</v>
      </c>
      <c r="G27" s="31" t="n">
        <v>118.6249056516804</v>
      </c>
      <c r="H27" s="31" t="n">
        <v>4.214469606579728</v>
      </c>
      <c r="I27" s="31" t="n">
        <v>0.6127821383368077</v>
      </c>
      <c r="J27" s="31" t="n">
        <v>58.31279718964079</v>
      </c>
      <c r="K27" s="31" t="n">
        <v>6.508332733094174</v>
      </c>
      <c r="L27" s="31" t="n">
        <v>42.14810820253035</v>
      </c>
      <c r="M27" s="31" t="n">
        <v>1.859870033560094</v>
      </c>
      <c r="N27" s="31" t="n">
        <v>1.614730654343256</v>
      </c>
      <c r="O27" s="31" t="n">
        <v>140.8277238447298</v>
      </c>
      <c r="P27" s="31" t="n">
        <v>2234.905092854844</v>
      </c>
      <c r="Q27" s="31" t="n">
        <v>114.4970302538056</v>
      </c>
      <c r="R27" s="31" t="n">
        <v>4.012073571568819</v>
      </c>
      <c r="S27" s="31" t="n">
        <v>19.18896248394896</v>
      </c>
      <c r="T27" s="31" t="n">
        <v>0.8382476354888715</v>
      </c>
      <c r="U27" s="31" t="n">
        <v>3.856196429829878</v>
      </c>
      <c r="V27" s="31" t="n">
        <v>5.16823644403476</v>
      </c>
      <c r="W27" s="31" t="n">
        <v>9.198233881628502</v>
      </c>
      <c r="X27" s="31" t="n">
        <v>17.90261806175267</v>
      </c>
      <c r="Y27" s="31" t="n">
        <v>1.456730039384269</v>
      </c>
      <c r="Z27" s="31" t="n">
        <v>9.918875106652806</v>
      </c>
      <c r="AA27" s="31" t="n">
        <v>18.64354278086377</v>
      </c>
      <c r="AB27" s="31" t="n">
        <v>25.27406459356771</v>
      </c>
      <c r="AC27" s="31" t="n">
        <v>16.32213367893369</v>
      </c>
      <c r="AD27" s="31" t="n">
        <v>3.179687984176342</v>
      </c>
      <c r="AE27" s="31" t="n">
        <v>64.07331314455431</v>
      </c>
      <c r="AF27" s="31" t="n">
        <v>5.028395782857988</v>
      </c>
      <c r="AG27" s="31" t="n">
        <v>8.103422627163313</v>
      </c>
      <c r="AH27" s="31" t="n">
        <v>29.44624998157427</v>
      </c>
      <c r="AI27" s="31" t="n">
        <v>4.482202661868317</v>
      </c>
      <c r="AJ27" s="31" t="n">
        <v>57.7296229404597</v>
      </c>
      <c r="AK27" s="31" t="n">
        <v>2.583703058117021</v>
      </c>
      <c r="AL27" s="31" t="n">
        <v>55.41429826363948</v>
      </c>
      <c r="AM27" s="31" t="n">
        <v>3.551474377805932</v>
      </c>
      <c r="AN27" s="31" t="n">
        <v>76.76487301262559</v>
      </c>
      <c r="AO27" s="31" t="n">
        <v>134.4615105264219</v>
      </c>
      <c r="AP27" s="31" t="n">
        <v>43.0469320761644</v>
      </c>
      <c r="AQ27" s="31" t="n">
        <v>3.197190032127784</v>
      </c>
      <c r="AR27" s="31" t="n">
        <v>434.8334680458964</v>
      </c>
      <c r="AS27" s="31" t="n">
        <v>220.5711518632201</v>
      </c>
      <c r="AT27" s="31" t="n">
        <v>10.32664121172496</v>
      </c>
      <c r="AU27" s="31" t="n">
        <v>115.3206133048505</v>
      </c>
      <c r="AV27" s="31" t="n">
        <v>117.9984040788294</v>
      </c>
      <c r="AW27" s="31" t="n">
        <v>83.40853722825662</v>
      </c>
      <c r="AX27" s="31" t="n">
        <v>189.5350334106135</v>
      </c>
      <c r="AY27" s="31" t="n">
        <v>2.026442369376207</v>
      </c>
      <c r="AZ27" s="31" t="n">
        <v>122.3247623060796</v>
      </c>
      <c r="BA27" s="31" t="n">
        <v>43.12107923523539</v>
      </c>
      <c r="BB27" s="31" t="n">
        <v>5.591919950203359</v>
      </c>
      <c r="BC27" s="31" t="n">
        <v>433.0293238354471</v>
      </c>
      <c r="BD27" s="31" t="n">
        <v>33.87351127258236</v>
      </c>
      <c r="BE27" s="31" t="n">
        <v>13.07730028438016</v>
      </c>
      <c r="BF27" s="31" t="n">
        <v>175.7553804337415</v>
      </c>
      <c r="BG27" s="31" t="n">
        <v>49.91018521009259</v>
      </c>
      <c r="BH27" s="31" t="n">
        <v>3.194141937396011</v>
      </c>
      <c r="BI27" s="31" t="n">
        <v>152.9717147338132</v>
      </c>
      <c r="BJ27" s="31" t="n">
        <v>213.2532475583166</v>
      </c>
      <c r="BK27" s="31" t="n">
        <v>683.2490503129148</v>
      </c>
      <c r="BL27" s="31" t="n">
        <v>564.1521907051856</v>
      </c>
      <c r="BM27" s="31" t="n">
        <v>3.190570005576033</v>
      </c>
      <c r="BN27" s="31" t="n">
        <v>101.448238761467</v>
      </c>
      <c r="BO27" s="31" t="n">
        <v>86.49900315734502</v>
      </c>
      <c r="BP27" s="31" t="n">
        <v>116.0496474145814</v>
      </c>
      <c r="BQ27" s="31" t="n">
        <v>948.792247849971</v>
      </c>
      <c r="BR27" s="31" t="n">
        <v>0</v>
      </c>
      <c r="BS27" s="31">
        <f>SUM(C27:BR27)</f>
        <v/>
      </c>
      <c r="BT27" s="31" t="n">
        <v>0</v>
      </c>
      <c r="BU27" s="31" t="n">
        <v>0</v>
      </c>
      <c r="BV27" s="31" t="n">
        <v>72338.01507753535</v>
      </c>
      <c r="BW27" s="31" t="n">
        <v>0</v>
      </c>
      <c r="BX27" s="31">
        <f>SUM(BT27:BW27)</f>
        <v/>
      </c>
      <c r="BY27" s="31">
        <f>BS27+BX27</f>
        <v/>
      </c>
    </row>
    <row r="28">
      <c r="A28" s="28" t="inlineStr">
        <is>
          <t>1500</t>
        </is>
      </c>
      <c r="B28" s="28" t="inlineStr">
        <is>
          <t>Fabricação de calçados e de artefatos de couro</t>
        </is>
      </c>
      <c r="C28" s="29" t="n">
        <v>4.017047775729112</v>
      </c>
      <c r="D28" s="29" t="n">
        <v>5.637750784604207</v>
      </c>
      <c r="E28" s="29" t="n">
        <v>0.1342309566924273</v>
      </c>
      <c r="F28" s="29" t="n">
        <v>2.002647118966245</v>
      </c>
      <c r="G28" s="29" t="n">
        <v>8.00140478533449</v>
      </c>
      <c r="H28" s="29" t="n">
        <v>5.144303511620723</v>
      </c>
      <c r="I28" s="29" t="n">
        <v>0.4589527897018958</v>
      </c>
      <c r="J28" s="29" t="n">
        <v>54.57459468040659</v>
      </c>
      <c r="K28" s="29" t="n">
        <v>2.803839848696832</v>
      </c>
      <c r="L28" s="29" t="n">
        <v>47.12588120505361</v>
      </c>
      <c r="M28" s="29" t="n">
        <v>6.66836967504011</v>
      </c>
      <c r="N28" s="29" t="n">
        <v>1.522186865790716</v>
      </c>
      <c r="O28" s="29" t="n">
        <v>10.63866253033647</v>
      </c>
      <c r="P28" s="29" t="n">
        <v>9.083528797458159</v>
      </c>
      <c r="Q28" s="29" t="n">
        <v>6031.529066574883</v>
      </c>
      <c r="R28" s="29" t="n">
        <v>3.933747835660734</v>
      </c>
      <c r="S28" s="29" t="n">
        <v>107.5597453244052</v>
      </c>
      <c r="T28" s="29" t="n">
        <v>1.786987159055131</v>
      </c>
      <c r="U28" s="29" t="n">
        <v>2.810476348438026</v>
      </c>
      <c r="V28" s="29" t="n">
        <v>6.029038830501698</v>
      </c>
      <c r="W28" s="29" t="n">
        <v>11.16272234771363</v>
      </c>
      <c r="X28" s="29" t="n">
        <v>10.67590904691605</v>
      </c>
      <c r="Y28" s="29" t="n">
        <v>9.790874490196236</v>
      </c>
      <c r="Z28" s="29" t="n">
        <v>8.016901788211898</v>
      </c>
      <c r="AA28" s="29" t="n">
        <v>41.71246585189093</v>
      </c>
      <c r="AB28" s="29" t="n">
        <v>9.917615565958178</v>
      </c>
      <c r="AC28" s="29" t="n">
        <v>7.4825364058033</v>
      </c>
      <c r="AD28" s="29" t="n">
        <v>2.998584474613818</v>
      </c>
      <c r="AE28" s="29" t="n">
        <v>47.23303220664054</v>
      </c>
      <c r="AF28" s="29" t="n">
        <v>4.882911847433197</v>
      </c>
      <c r="AG28" s="29" t="n">
        <v>9.493461454315788</v>
      </c>
      <c r="AH28" s="29" t="n">
        <v>19.42935959948295</v>
      </c>
      <c r="AI28" s="29" t="n">
        <v>68.94327119796425</v>
      </c>
      <c r="AJ28" s="29" t="n">
        <v>27.71831397921409</v>
      </c>
      <c r="AK28" s="29" t="n">
        <v>1.716259480769892</v>
      </c>
      <c r="AL28" s="29" t="n">
        <v>55.59061020219217</v>
      </c>
      <c r="AM28" s="29" t="n">
        <v>2.97404607427946</v>
      </c>
      <c r="AN28" s="29" t="n">
        <v>96.37905727223111</v>
      </c>
      <c r="AO28" s="29" t="n">
        <v>1.984641161399595</v>
      </c>
      <c r="AP28" s="29" t="n">
        <v>53.39573976235362</v>
      </c>
      <c r="AQ28" s="29" t="n">
        <v>28.48559231694938</v>
      </c>
      <c r="AR28" s="29" t="n">
        <v>41.82848112074139</v>
      </c>
      <c r="AS28" s="29" t="n">
        <v>23.50508360389947</v>
      </c>
      <c r="AT28" s="29" t="n">
        <v>0.1439770230031037</v>
      </c>
      <c r="AU28" s="29" t="n">
        <v>0.7914247274697934</v>
      </c>
      <c r="AV28" s="29" t="n">
        <v>1.001087329917442</v>
      </c>
      <c r="AW28" s="29" t="n">
        <v>1.78717378363024</v>
      </c>
      <c r="AX28" s="29" t="n">
        <v>22.96897418919696</v>
      </c>
      <c r="AY28" s="29" t="n">
        <v>1.465545259997133</v>
      </c>
      <c r="AZ28" s="29" t="n">
        <v>27.96559954914179</v>
      </c>
      <c r="BA28" s="29" t="n">
        <v>9.457396787742773</v>
      </c>
      <c r="BB28" s="29" t="n">
        <v>9.199887391471549</v>
      </c>
      <c r="BC28" s="29" t="n">
        <v>2.455130348590832</v>
      </c>
      <c r="BD28" s="29" t="n">
        <v>0.6957392001011824</v>
      </c>
      <c r="BE28" s="29" t="n">
        <v>2.770874886220518</v>
      </c>
      <c r="BF28" s="29" t="n">
        <v>7.16440901181327</v>
      </c>
      <c r="BG28" s="29" t="n">
        <v>2.89431565731464</v>
      </c>
      <c r="BH28" s="29" t="n">
        <v>1.24077491057405</v>
      </c>
      <c r="BI28" s="29" t="n">
        <v>9.186280785878202</v>
      </c>
      <c r="BJ28" s="29" t="n">
        <v>75.93862903448887</v>
      </c>
      <c r="BK28" s="29" t="n">
        <v>25.39526646051564</v>
      </c>
      <c r="BL28" s="29" t="n">
        <v>4.572795720798264</v>
      </c>
      <c r="BM28" s="29" t="n">
        <v>0.8415680911589406</v>
      </c>
      <c r="BN28" s="29" t="n">
        <v>6.100314968245228</v>
      </c>
      <c r="BO28" s="29" t="n">
        <v>8.05712518675799</v>
      </c>
      <c r="BP28" s="29" t="n">
        <v>0.8854961915966639</v>
      </c>
      <c r="BQ28" s="29" t="n">
        <v>4.894928575700417</v>
      </c>
      <c r="BR28" s="29" t="n">
        <v>0</v>
      </c>
      <c r="BS28" s="29">
        <f>SUM(C28:BR28)</f>
        <v/>
      </c>
      <c r="BT28" s="29" t="n">
        <v>0</v>
      </c>
      <c r="BU28" s="29" t="n">
        <v>0</v>
      </c>
      <c r="BV28" s="29" t="n">
        <v>43614.30300743056</v>
      </c>
      <c r="BW28" s="29" t="n">
        <v>0</v>
      </c>
      <c r="BX28" s="29">
        <f>SUM(BT28:BW28)</f>
        <v/>
      </c>
      <c r="BY28" s="29">
        <f>BS28+BX28</f>
        <v/>
      </c>
    </row>
    <row r="29">
      <c r="A29" s="30" t="inlineStr">
        <is>
          <t>1600</t>
        </is>
      </c>
      <c r="B29" s="30" t="inlineStr">
        <is>
          <t>Fabricação de produtos da madeira</t>
        </is>
      </c>
      <c r="C29" s="31" t="n">
        <v>926.4763258463131</v>
      </c>
      <c r="D29" s="31" t="n">
        <v>617.7815618908944</v>
      </c>
      <c r="E29" s="31" t="n">
        <v>40.31755242428363</v>
      </c>
      <c r="F29" s="31" t="n">
        <v>6.018065795323487</v>
      </c>
      <c r="G29" s="31" t="n">
        <v>10.48678733602731</v>
      </c>
      <c r="H29" s="31" t="n">
        <v>5.681831925562133</v>
      </c>
      <c r="I29" s="31" t="n">
        <v>0.8950419524542187</v>
      </c>
      <c r="J29" s="31" t="n">
        <v>91.02712990584432</v>
      </c>
      <c r="K29" s="31" t="n">
        <v>3.103152473591494</v>
      </c>
      <c r="L29" s="31" t="n">
        <v>478.1353650048426</v>
      </c>
      <c r="M29" s="31" t="n">
        <v>171.2375597353882</v>
      </c>
      <c r="N29" s="31" t="n">
        <v>0.7951733812573365</v>
      </c>
      <c r="O29" s="31" t="n">
        <v>40.41916327650966</v>
      </c>
      <c r="P29" s="31" t="n">
        <v>4.222041032692704</v>
      </c>
      <c r="Q29" s="31" t="n">
        <v>2.620630643152716</v>
      </c>
      <c r="R29" s="31" t="n">
        <v>8770.05876833088</v>
      </c>
      <c r="S29" s="31" t="n">
        <v>1115.991194761215</v>
      </c>
      <c r="T29" s="31" t="n">
        <v>0.7842555970126929</v>
      </c>
      <c r="U29" s="31" t="n">
        <v>3.666333370709967</v>
      </c>
      <c r="V29" s="31" t="n">
        <v>4.360207961619259</v>
      </c>
      <c r="W29" s="31" t="n">
        <v>38.5845354329937</v>
      </c>
      <c r="X29" s="31" t="n">
        <v>68.06394124392619</v>
      </c>
      <c r="Y29" s="31" t="n">
        <v>3.103653778220456</v>
      </c>
      <c r="Z29" s="31" t="n">
        <v>5.742192488582612</v>
      </c>
      <c r="AA29" s="31" t="n">
        <v>12.953027730276</v>
      </c>
      <c r="AB29" s="31" t="n">
        <v>67.02273588386511</v>
      </c>
      <c r="AC29" s="31" t="n">
        <v>31.19905434333603</v>
      </c>
      <c r="AD29" s="31" t="n">
        <v>2.161573805999517</v>
      </c>
      <c r="AE29" s="31" t="n">
        <v>445.5794707978643</v>
      </c>
      <c r="AF29" s="31" t="n">
        <v>4.638407505219796</v>
      </c>
      <c r="AG29" s="31" t="n">
        <v>12.32469503068101</v>
      </c>
      <c r="AH29" s="31" t="n">
        <v>480.2073571373766</v>
      </c>
      <c r="AI29" s="31" t="n">
        <v>259.721482879916</v>
      </c>
      <c r="AJ29" s="31" t="n">
        <v>105.4174252730709</v>
      </c>
      <c r="AK29" s="31" t="n">
        <v>135.1087550436115</v>
      </c>
      <c r="AL29" s="31" t="n">
        <v>9787.594230351693</v>
      </c>
      <c r="AM29" s="31" t="n">
        <v>6.846944403387559</v>
      </c>
      <c r="AN29" s="31" t="n">
        <v>370.0780666476327</v>
      </c>
      <c r="AO29" s="31" t="n">
        <v>10.17421262154673</v>
      </c>
      <c r="AP29" s="31" t="n">
        <v>7811.678940734223</v>
      </c>
      <c r="AQ29" s="31" t="n">
        <v>19.66460463979146</v>
      </c>
      <c r="AR29" s="31" t="n">
        <v>4046.508210105236</v>
      </c>
      <c r="AS29" s="31" t="n">
        <v>6.862641588769937</v>
      </c>
      <c r="AT29" s="31" t="n">
        <v>0.6913179829867953</v>
      </c>
      <c r="AU29" s="31" t="n">
        <v>0.4612606449331894</v>
      </c>
      <c r="AV29" s="31" t="n">
        <v>154.7368893087092</v>
      </c>
      <c r="AW29" s="31" t="n">
        <v>5.472316883598282</v>
      </c>
      <c r="AX29" s="31" t="n">
        <v>26.08809276648696</v>
      </c>
      <c r="AY29" s="31" t="n">
        <v>1.643331188827389</v>
      </c>
      <c r="AZ29" s="31" t="n">
        <v>175.9520092032886</v>
      </c>
      <c r="BA29" s="31" t="n">
        <v>16.20108146609568</v>
      </c>
      <c r="BB29" s="31" t="n">
        <v>15.48874107271666</v>
      </c>
      <c r="BC29" s="31" t="n">
        <v>23.37447682357038</v>
      </c>
      <c r="BD29" s="31" t="n">
        <v>499.4568233618514</v>
      </c>
      <c r="BE29" s="31" t="n">
        <v>28.13123735960045</v>
      </c>
      <c r="BF29" s="31" t="n">
        <v>5.852855716053491</v>
      </c>
      <c r="BG29" s="31" t="n">
        <v>8.888492147524001</v>
      </c>
      <c r="BH29" s="31" t="n">
        <v>6.08620152120867</v>
      </c>
      <c r="BI29" s="31" t="n">
        <v>187.089524219999</v>
      </c>
      <c r="BJ29" s="31" t="n">
        <v>1.795897997802515</v>
      </c>
      <c r="BK29" s="31" t="n">
        <v>117.1265171797263</v>
      </c>
      <c r="BL29" s="31" t="n">
        <v>34.0228526589085</v>
      </c>
      <c r="BM29" s="31" t="n">
        <v>26.1939922140188</v>
      </c>
      <c r="BN29" s="31" t="n">
        <v>10.16811621806577</v>
      </c>
      <c r="BO29" s="31" t="n">
        <v>16.3974610965148</v>
      </c>
      <c r="BP29" s="31" t="n">
        <v>18.99224497406829</v>
      </c>
      <c r="BQ29" s="31" t="n">
        <v>398.5287523036589</v>
      </c>
      <c r="BR29" s="31" t="n">
        <v>0</v>
      </c>
      <c r="BS29" s="31">
        <f>SUM(C29:BR29)</f>
        <v/>
      </c>
      <c r="BT29" s="31" t="n">
        <v>0</v>
      </c>
      <c r="BU29" s="31" t="n">
        <v>0</v>
      </c>
      <c r="BV29" s="31" t="n">
        <v>23711.8144965573</v>
      </c>
      <c r="BW29" s="31" t="n">
        <v>0</v>
      </c>
      <c r="BX29" s="31">
        <f>SUM(BT29:BW29)</f>
        <v/>
      </c>
      <c r="BY29" s="31">
        <f>BS29+BX29</f>
        <v/>
      </c>
    </row>
    <row r="30">
      <c r="A30" s="28" t="inlineStr">
        <is>
          <t>1700</t>
        </is>
      </c>
      <c r="B30" s="28" t="inlineStr">
        <is>
          <t>Fabricação de celulose, papel e produtos de papel</t>
        </is>
      </c>
      <c r="C30" s="29" t="n">
        <v>733.5816793652099</v>
      </c>
      <c r="D30" s="29" t="n">
        <v>242.0927724132418</v>
      </c>
      <c r="E30" s="29" t="n">
        <v>27.57962898172462</v>
      </c>
      <c r="F30" s="29" t="n">
        <v>6.903819542396754</v>
      </c>
      <c r="G30" s="29" t="n">
        <v>168.0801167383831</v>
      </c>
      <c r="H30" s="29" t="n">
        <v>411.1199706029149</v>
      </c>
      <c r="I30" s="29" t="n">
        <v>45.03261248216718</v>
      </c>
      <c r="J30" s="29" t="n">
        <v>5321.034963222431</v>
      </c>
      <c r="K30" s="29" t="n">
        <v>37.63962483199962</v>
      </c>
      <c r="L30" s="29" t="n">
        <v>5929.522819497608</v>
      </c>
      <c r="M30" s="29" t="n">
        <v>369.2618302778432</v>
      </c>
      <c r="N30" s="29" t="n">
        <v>1165.47892890814</v>
      </c>
      <c r="O30" s="29" t="n">
        <v>956.2311548358931</v>
      </c>
      <c r="P30" s="29" t="n">
        <v>474.5842563423763</v>
      </c>
      <c r="Q30" s="29" t="n">
        <v>815.2966386650018</v>
      </c>
      <c r="R30" s="29" t="n">
        <v>2520.916274821083</v>
      </c>
      <c r="S30" s="29" t="n">
        <v>28895.20052814824</v>
      </c>
      <c r="T30" s="29" t="n">
        <v>1700.61227220122</v>
      </c>
      <c r="U30" s="29" t="n">
        <v>246.2612773566814</v>
      </c>
      <c r="V30" s="29" t="n">
        <v>141.6826434725005</v>
      </c>
      <c r="W30" s="29" t="n">
        <v>205.9537961737364</v>
      </c>
      <c r="X30" s="29" t="n">
        <v>315.5540385857187</v>
      </c>
      <c r="Y30" s="29" t="n">
        <v>2368.337995953776</v>
      </c>
      <c r="Z30" s="29" t="n">
        <v>1440.6858743392</v>
      </c>
      <c r="AA30" s="29" t="n">
        <v>3773.615478038706</v>
      </c>
      <c r="AB30" s="29" t="n">
        <v>3073.452508055891</v>
      </c>
      <c r="AC30" s="29" t="n">
        <v>62.9498092835824</v>
      </c>
      <c r="AD30" s="29" t="n">
        <v>27.57423158732169</v>
      </c>
      <c r="AE30" s="29" t="n">
        <v>2065.460809904061</v>
      </c>
      <c r="AF30" s="29" t="n">
        <v>1096.744500468333</v>
      </c>
      <c r="AG30" s="29" t="n">
        <v>581.7300250286191</v>
      </c>
      <c r="AH30" s="29" t="n">
        <v>487.6206582503111</v>
      </c>
      <c r="AI30" s="29" t="n">
        <v>497.1959777261683</v>
      </c>
      <c r="AJ30" s="29" t="n">
        <v>1040.677749985738</v>
      </c>
      <c r="AK30" s="29" t="n">
        <v>71.1246682216272</v>
      </c>
      <c r="AL30" s="29" t="n">
        <v>1520.050407149442</v>
      </c>
      <c r="AM30" s="29" t="n">
        <v>137.9121719050452</v>
      </c>
      <c r="AN30" s="29" t="n">
        <v>56.34472876787694</v>
      </c>
      <c r="AO30" s="29" t="n">
        <v>75.4596543448836</v>
      </c>
      <c r="AP30" s="29" t="n">
        <v>566.5471660408185</v>
      </c>
      <c r="AQ30" s="29" t="n">
        <v>901.7289253929375</v>
      </c>
      <c r="AR30" s="29" t="n">
        <v>9197.503108396319</v>
      </c>
      <c r="AS30" s="29" t="n">
        <v>251.6748944777714</v>
      </c>
      <c r="AT30" s="29" t="n">
        <v>87.10025891479049</v>
      </c>
      <c r="AU30" s="29" t="n">
        <v>13.35186567180211</v>
      </c>
      <c r="AV30" s="29" t="n">
        <v>563.3803695133257</v>
      </c>
      <c r="AW30" s="29" t="n">
        <v>207.1822262322441</v>
      </c>
      <c r="AX30" s="29" t="n">
        <v>1643.052257380581</v>
      </c>
      <c r="AY30" s="29" t="n">
        <v>1042.32184160696</v>
      </c>
      <c r="AZ30" s="29" t="n">
        <v>173.2258791783653</v>
      </c>
      <c r="BA30" s="29" t="n">
        <v>71.7533432512077</v>
      </c>
      <c r="BB30" s="29" t="n">
        <v>1283.072755370808</v>
      </c>
      <c r="BC30" s="29" t="n">
        <v>1896.088122093881</v>
      </c>
      <c r="BD30" s="29" t="n">
        <v>399.964258778548</v>
      </c>
      <c r="BE30" s="29" t="n">
        <v>2144.530236817177</v>
      </c>
      <c r="BF30" s="29" t="n">
        <v>585.790076984645</v>
      </c>
      <c r="BG30" s="29" t="n">
        <v>983.6664449056592</v>
      </c>
      <c r="BH30" s="29" t="n">
        <v>757.639871808098</v>
      </c>
      <c r="BI30" s="29" t="n">
        <v>3334.019468941411</v>
      </c>
      <c r="BJ30" s="29" t="n">
        <v>59.37225121729463</v>
      </c>
      <c r="BK30" s="29" t="n">
        <v>1060.384122718299</v>
      </c>
      <c r="BL30" s="29" t="n">
        <v>822.2066183990769</v>
      </c>
      <c r="BM30" s="29" t="n">
        <v>754.9182784197438</v>
      </c>
      <c r="BN30" s="29" t="n">
        <v>289.737846207441</v>
      </c>
      <c r="BO30" s="29" t="n">
        <v>993.308733934776</v>
      </c>
      <c r="BP30" s="29" t="n">
        <v>77.610974958703</v>
      </c>
      <c r="BQ30" s="29" t="n">
        <v>787.2988142856733</v>
      </c>
      <c r="BR30" s="29" t="n">
        <v>0</v>
      </c>
      <c r="BS30" s="29">
        <f>SUM(C30:BR30)</f>
        <v/>
      </c>
      <c r="BT30" s="29" t="n">
        <v>0</v>
      </c>
      <c r="BU30" s="29" t="n">
        <v>0</v>
      </c>
      <c r="BV30" s="29" t="n">
        <v>56870.98551960879</v>
      </c>
      <c r="BW30" s="29" t="n">
        <v>0</v>
      </c>
      <c r="BX30" s="29">
        <f>SUM(BT30:BW30)</f>
        <v/>
      </c>
      <c r="BY30" s="29">
        <f>BS30+BX30</f>
        <v/>
      </c>
    </row>
    <row r="31">
      <c r="A31" s="30" t="inlineStr">
        <is>
          <t>1800</t>
        </is>
      </c>
      <c r="B31" s="30" t="inlineStr">
        <is>
          <t>Impressão e reprodução de gravações</t>
        </is>
      </c>
      <c r="C31" s="31" t="n">
        <v>15.15878909352185</v>
      </c>
      <c r="D31" s="31" t="n">
        <v>2.495278738420714</v>
      </c>
      <c r="E31" s="31" t="n">
        <v>2.423136662330166</v>
      </c>
      <c r="F31" s="31" t="n">
        <v>1.800243999413632</v>
      </c>
      <c r="G31" s="31" t="n">
        <v>18.6867883262219</v>
      </c>
      <c r="H31" s="31" t="n">
        <v>32.62760148850244</v>
      </c>
      <c r="I31" s="31" t="n">
        <v>5.074848288263479</v>
      </c>
      <c r="J31" s="31" t="n">
        <v>142.1036273831139</v>
      </c>
      <c r="K31" s="31" t="n">
        <v>25.35279049429839</v>
      </c>
      <c r="L31" s="31" t="n">
        <v>155.9026569912801</v>
      </c>
      <c r="M31" s="31" t="n">
        <v>240.3286264729544</v>
      </c>
      <c r="N31" s="31" t="n">
        <v>7.282584435590284</v>
      </c>
      <c r="O31" s="31" t="n">
        <v>20.59711505553881</v>
      </c>
      <c r="P31" s="31" t="n">
        <v>22.27423450201249</v>
      </c>
      <c r="Q31" s="31" t="n">
        <v>13.37889317235167</v>
      </c>
      <c r="R31" s="31" t="n">
        <v>46.30703376938553</v>
      </c>
      <c r="S31" s="31" t="n">
        <v>254.3771309593777</v>
      </c>
      <c r="T31" s="31" t="n">
        <v>844.9754732350992</v>
      </c>
      <c r="U31" s="31" t="n">
        <v>10.09103903632639</v>
      </c>
      <c r="V31" s="31" t="n">
        <v>19.61412187258899</v>
      </c>
      <c r="W31" s="31" t="n">
        <v>18.86081210222591</v>
      </c>
      <c r="X31" s="31" t="n">
        <v>32.9115411709228</v>
      </c>
      <c r="Y31" s="31" t="n">
        <v>20.20307851865962</v>
      </c>
      <c r="Z31" s="31" t="n">
        <v>26.35400820681389</v>
      </c>
      <c r="AA31" s="31" t="n">
        <v>120.8483895661413</v>
      </c>
      <c r="AB31" s="31" t="n">
        <v>46.10753346072116</v>
      </c>
      <c r="AC31" s="31" t="n">
        <v>26.39055845744916</v>
      </c>
      <c r="AD31" s="31" t="n">
        <v>3.757768557034623</v>
      </c>
      <c r="AE31" s="31" t="n">
        <v>43.95945485215074</v>
      </c>
      <c r="AF31" s="31" t="n">
        <v>147.1933772136882</v>
      </c>
      <c r="AG31" s="31" t="n">
        <v>23.36885786647298</v>
      </c>
      <c r="AH31" s="31" t="n">
        <v>57.02666532911137</v>
      </c>
      <c r="AI31" s="31" t="n">
        <v>30.49950419868868</v>
      </c>
      <c r="AJ31" s="31" t="n">
        <v>32.63153616673009</v>
      </c>
      <c r="AK31" s="31" t="n">
        <v>5.533295579960733</v>
      </c>
      <c r="AL31" s="31" t="n">
        <v>49.5738503501311</v>
      </c>
      <c r="AM31" s="31" t="n">
        <v>13.16058722804207</v>
      </c>
      <c r="AN31" s="31" t="n">
        <v>22.10601016714024</v>
      </c>
      <c r="AO31" s="31" t="n">
        <v>15.59104854867123</v>
      </c>
      <c r="AP31" s="31" t="n">
        <v>157.2068480059161</v>
      </c>
      <c r="AQ31" s="31" t="n">
        <v>108.0090106608558</v>
      </c>
      <c r="AR31" s="31" t="n">
        <v>6562.900213952745</v>
      </c>
      <c r="AS31" s="31" t="n">
        <v>43.33445358046365</v>
      </c>
      <c r="AT31" s="31" t="n">
        <v>2.373556825282411</v>
      </c>
      <c r="AU31" s="31" t="n">
        <v>20.74441241741252</v>
      </c>
      <c r="AV31" s="31" t="n">
        <v>72.18803538801025</v>
      </c>
      <c r="AW31" s="31" t="n">
        <v>9.944775839025583</v>
      </c>
      <c r="AX31" s="31" t="n">
        <v>80.62141477463467</v>
      </c>
      <c r="AY31" s="31" t="n">
        <v>880.5813064890117</v>
      </c>
      <c r="AZ31" s="31" t="n">
        <v>150.1970157858641</v>
      </c>
      <c r="BA31" s="31" t="n">
        <v>445.7897503802875</v>
      </c>
      <c r="BB31" s="31" t="n">
        <v>556.055918775209</v>
      </c>
      <c r="BC31" s="31" t="n">
        <v>1224.386971529768</v>
      </c>
      <c r="BD31" s="31" t="n">
        <v>267.7915438465519</v>
      </c>
      <c r="BE31" s="31" t="n">
        <v>493.2371436354073</v>
      </c>
      <c r="BF31" s="31" t="n">
        <v>225.0673454075762</v>
      </c>
      <c r="BG31" s="31" t="n">
        <v>3414.891860548888</v>
      </c>
      <c r="BH31" s="31" t="n">
        <v>62.63441703750787</v>
      </c>
      <c r="BI31" s="31" t="n">
        <v>1284.65991421946</v>
      </c>
      <c r="BJ31" s="31" t="n">
        <v>3.63946792842482</v>
      </c>
      <c r="BK31" s="31" t="n">
        <v>1008.207747087803</v>
      </c>
      <c r="BL31" s="31" t="n">
        <v>213.4184525320643</v>
      </c>
      <c r="BM31" s="31" t="n">
        <v>46.35167583511625</v>
      </c>
      <c r="BN31" s="31" t="n">
        <v>126.1248322211339</v>
      </c>
      <c r="BO31" s="31" t="n">
        <v>98.95639698908974</v>
      </c>
      <c r="BP31" s="31" t="n">
        <v>279.5072170335064</v>
      </c>
      <c r="BQ31" s="31" t="n">
        <v>296.0059696016471</v>
      </c>
      <c r="BR31" s="31" t="n">
        <v>0</v>
      </c>
      <c r="BS31" s="31">
        <f>SUM(C31:BR31)</f>
        <v/>
      </c>
      <c r="BT31" s="31" t="n">
        <v>0</v>
      </c>
      <c r="BU31" s="31" t="n">
        <v>0</v>
      </c>
      <c r="BV31" s="31" t="n">
        <v>1580.183642830583</v>
      </c>
      <c r="BW31" s="31" t="n">
        <v>0</v>
      </c>
      <c r="BX31" s="31">
        <f>SUM(BT31:BW31)</f>
        <v/>
      </c>
      <c r="BY31" s="31">
        <f>BS31+BX31</f>
        <v/>
      </c>
    </row>
    <row r="32">
      <c r="A32" s="28" t="inlineStr">
        <is>
          <t>1991</t>
        </is>
      </c>
      <c r="B32" s="28" t="inlineStr">
        <is>
          <t>Refino de petróleo e coquerias</t>
        </is>
      </c>
      <c r="C32" s="29" t="n">
        <v>19848.24069018856</v>
      </c>
      <c r="D32" s="29" t="n">
        <v>7376.67626518774</v>
      </c>
      <c r="E32" s="29" t="n">
        <v>1099.800786228588</v>
      </c>
      <c r="F32" s="29" t="n">
        <v>2197.613212694755</v>
      </c>
      <c r="G32" s="29" t="n">
        <v>3991.694156682835</v>
      </c>
      <c r="H32" s="29" t="n">
        <v>13693.78359695205</v>
      </c>
      <c r="I32" s="29" t="n">
        <v>1964.796406156377</v>
      </c>
      <c r="J32" s="29" t="n">
        <v>5589.630023953268</v>
      </c>
      <c r="K32" s="29" t="n">
        <v>2677.455259089094</v>
      </c>
      <c r="L32" s="29" t="n">
        <v>6295.522933387163</v>
      </c>
      <c r="M32" s="29" t="n">
        <v>1209.890686733177</v>
      </c>
      <c r="N32" s="29" t="n">
        <v>38.71196999809432</v>
      </c>
      <c r="O32" s="29" t="n">
        <v>407.9417628323481</v>
      </c>
      <c r="P32" s="29" t="n">
        <v>154.9682543502321</v>
      </c>
      <c r="Q32" s="29" t="n">
        <v>247.0012551292614</v>
      </c>
      <c r="R32" s="29" t="n">
        <v>527.205536741469</v>
      </c>
      <c r="S32" s="29" t="n">
        <v>4086.440077901753</v>
      </c>
      <c r="T32" s="29" t="n">
        <v>43.15085334126233</v>
      </c>
      <c r="U32" s="29" t="n">
        <v>170952.0107491196</v>
      </c>
      <c r="V32" s="29" t="n">
        <v>2780.809619952751</v>
      </c>
      <c r="W32" s="29" t="n">
        <v>20290.03195089911</v>
      </c>
      <c r="X32" s="29" t="n">
        <v>1794.798636560081</v>
      </c>
      <c r="Y32" s="29" t="n">
        <v>717.1761722869228</v>
      </c>
      <c r="Z32" s="29" t="n">
        <v>306.301942251701</v>
      </c>
      <c r="AA32" s="29" t="n">
        <v>2961.085085697785</v>
      </c>
      <c r="AB32" s="29" t="n">
        <v>5950.905467432817</v>
      </c>
      <c r="AC32" s="29" t="n">
        <v>4964.240245300578</v>
      </c>
      <c r="AD32" s="29" t="n">
        <v>4487.555798296409</v>
      </c>
      <c r="AE32" s="29" t="n">
        <v>712.8280683188477</v>
      </c>
      <c r="AF32" s="29" t="n">
        <v>285.9743919771174</v>
      </c>
      <c r="AG32" s="29" t="n">
        <v>1086.055136604455</v>
      </c>
      <c r="AH32" s="29" t="n">
        <v>907.1575432019242</v>
      </c>
      <c r="AI32" s="29" t="n">
        <v>1097.364601431212</v>
      </c>
      <c r="AJ32" s="29" t="n">
        <v>569.0314016220714</v>
      </c>
      <c r="AK32" s="29" t="n">
        <v>136.3870565217039</v>
      </c>
      <c r="AL32" s="29" t="n">
        <v>479.7317292336305</v>
      </c>
      <c r="AM32" s="29" t="n">
        <v>534.5261404671063</v>
      </c>
      <c r="AN32" s="29" t="n">
        <v>7749.568690100274</v>
      </c>
      <c r="AO32" s="29" t="n">
        <v>1691.124122046454</v>
      </c>
      <c r="AP32" s="29" t="n">
        <v>10114.06472610897</v>
      </c>
      <c r="AQ32" s="29" t="n">
        <v>1222.558423020815</v>
      </c>
      <c r="AR32" s="29" t="n">
        <v>25345.49902248513</v>
      </c>
      <c r="AS32" s="29" t="n">
        <v>110552.0662047745</v>
      </c>
      <c r="AT32" s="29" t="n">
        <v>3519.238978439231</v>
      </c>
      <c r="AU32" s="29" t="n">
        <v>7749.157989638487</v>
      </c>
      <c r="AV32" s="29" t="n">
        <v>3460.587498695416</v>
      </c>
      <c r="AW32" s="29" t="n">
        <v>96.59463231234174</v>
      </c>
      <c r="AX32" s="29" t="n">
        <v>2495.521925673083</v>
      </c>
      <c r="AY32" s="29" t="n">
        <v>24.04841659616917</v>
      </c>
      <c r="AZ32" s="29" t="n">
        <v>70.97677858383568</v>
      </c>
      <c r="BA32" s="29" t="n">
        <v>104.6865320949966</v>
      </c>
      <c r="BB32" s="29" t="n">
        <v>280.6477756082672</v>
      </c>
      <c r="BC32" s="29" t="n">
        <v>765.7286260890461</v>
      </c>
      <c r="BD32" s="29" t="n">
        <v>110.2236927758494</v>
      </c>
      <c r="BE32" s="29" t="n">
        <v>859.1768979811272</v>
      </c>
      <c r="BF32" s="29" t="n">
        <v>633.4779919031495</v>
      </c>
      <c r="BG32" s="29" t="n">
        <v>208.1610574166695</v>
      </c>
      <c r="BH32" s="29" t="n">
        <v>1025.307351603993</v>
      </c>
      <c r="BI32" s="29" t="n">
        <v>680.9600632377957</v>
      </c>
      <c r="BJ32" s="29" t="n">
        <v>638.5324863533853</v>
      </c>
      <c r="BK32" s="29" t="n">
        <v>3086.502820232237</v>
      </c>
      <c r="BL32" s="29" t="n">
        <v>417.09721077027</v>
      </c>
      <c r="BM32" s="29" t="n">
        <v>201.1196228344008</v>
      </c>
      <c r="BN32" s="29" t="n">
        <v>205.4206458625105</v>
      </c>
      <c r="BO32" s="29" t="n">
        <v>361.9737411831363</v>
      </c>
      <c r="BP32" s="29" t="n">
        <v>158.7036857580947</v>
      </c>
      <c r="BQ32" s="29" t="n">
        <v>932.8510057962384</v>
      </c>
      <c r="BR32" s="29" t="n">
        <v>0</v>
      </c>
      <c r="BS32" s="29">
        <f>SUM(C32:BR32)</f>
        <v/>
      </c>
      <c r="BT32" s="29" t="n">
        <v>0</v>
      </c>
      <c r="BU32" s="29" t="n">
        <v>0</v>
      </c>
      <c r="BV32" s="29" t="n">
        <v>201092.9210926544</v>
      </c>
      <c r="BW32" s="29" t="n">
        <v>0</v>
      </c>
      <c r="BX32" s="29">
        <f>SUM(BT32:BW32)</f>
        <v/>
      </c>
      <c r="BY32" s="29">
        <f>BS32+BX32</f>
        <v/>
      </c>
    </row>
    <row r="33">
      <c r="A33" s="30" t="inlineStr">
        <is>
          <t>1992</t>
        </is>
      </c>
      <c r="B33" s="30" t="inlineStr">
        <is>
          <t>Fabricação de biocombustíveis</t>
        </is>
      </c>
      <c r="C33" s="31" t="n">
        <v>185.4524821125482</v>
      </c>
      <c r="D33" s="31" t="n">
        <v>339.9412143761497</v>
      </c>
      <c r="E33" s="31" t="n">
        <v>7.278355753818823</v>
      </c>
      <c r="F33" s="31" t="n">
        <v>6.278263614073508</v>
      </c>
      <c r="G33" s="31" t="n">
        <v>971.1334400647461</v>
      </c>
      <c r="H33" s="31" t="n">
        <v>11.08706904608568</v>
      </c>
      <c r="I33" s="31" t="n">
        <v>4.01431994391076</v>
      </c>
      <c r="J33" s="31" t="n">
        <v>1089.657914471256</v>
      </c>
      <c r="K33" s="31" t="n">
        <v>579.2698092005644</v>
      </c>
      <c r="L33" s="31" t="n">
        <v>2601.786128285258</v>
      </c>
      <c r="M33" s="31" t="n">
        <v>359.5543808032683</v>
      </c>
      <c r="N33" s="31" t="n">
        <v>1.347158438322656</v>
      </c>
      <c r="O33" s="31" t="n">
        <v>5.601305150368385</v>
      </c>
      <c r="P33" s="31" t="n">
        <v>4.957928838689813</v>
      </c>
      <c r="Q33" s="31" t="n">
        <v>5.191741373793942</v>
      </c>
      <c r="R33" s="31" t="n">
        <v>115.1554603867184</v>
      </c>
      <c r="S33" s="31" t="n">
        <v>48.39276072924152</v>
      </c>
      <c r="T33" s="31" t="n">
        <v>0.9166903485120159</v>
      </c>
      <c r="U33" s="31" t="n">
        <v>36036.75898636192</v>
      </c>
      <c r="V33" s="31" t="n">
        <v>1786.171315162901</v>
      </c>
      <c r="W33" s="31" t="n">
        <v>607.9487408477246</v>
      </c>
      <c r="X33" s="31" t="n">
        <v>591.4432572256186</v>
      </c>
      <c r="Y33" s="31" t="n">
        <v>2366.75651314702</v>
      </c>
      <c r="Z33" s="31" t="n">
        <v>1082.710859053533</v>
      </c>
      <c r="AA33" s="31" t="n">
        <v>13.97710995691546</v>
      </c>
      <c r="AB33" s="31" t="n">
        <v>11.50655788872811</v>
      </c>
      <c r="AC33" s="31" t="n">
        <v>16.09814135057967</v>
      </c>
      <c r="AD33" s="31" t="n">
        <v>5.026692346047854</v>
      </c>
      <c r="AE33" s="31" t="n">
        <v>67.34701784161334</v>
      </c>
      <c r="AF33" s="31" t="n">
        <v>4.75129440878629</v>
      </c>
      <c r="AG33" s="31" t="n">
        <v>10.66315793795555</v>
      </c>
      <c r="AH33" s="31" t="n">
        <v>43.81601589012732</v>
      </c>
      <c r="AI33" s="31" t="n">
        <v>21.33747090478338</v>
      </c>
      <c r="AJ33" s="31" t="n">
        <v>3.243014721004988</v>
      </c>
      <c r="AK33" s="31" t="n">
        <v>2.14487810494261</v>
      </c>
      <c r="AL33" s="31" t="n">
        <v>11.19190122632037</v>
      </c>
      <c r="AM33" s="31" t="n">
        <v>12.42023196055114</v>
      </c>
      <c r="AN33" s="31" t="n">
        <v>14.01013366023235</v>
      </c>
      <c r="AO33" s="31" t="n">
        <v>71.95985556159279</v>
      </c>
      <c r="AP33" s="31" t="n">
        <v>709.1713151341305</v>
      </c>
      <c r="AQ33" s="31" t="n">
        <v>700.7637431396525</v>
      </c>
      <c r="AR33" s="31" t="n">
        <v>1295.017727339044</v>
      </c>
      <c r="AS33" s="31" t="n">
        <v>1313.853562755914</v>
      </c>
      <c r="AT33" s="31" t="n">
        <v>18.06453340248828</v>
      </c>
      <c r="AU33" s="31" t="n">
        <v>46.71998893649916</v>
      </c>
      <c r="AV33" s="31" t="n">
        <v>119.9768250557488</v>
      </c>
      <c r="AW33" s="31" t="n">
        <v>27.73254211481537</v>
      </c>
      <c r="AX33" s="31" t="n">
        <v>602.886764254786</v>
      </c>
      <c r="AY33" s="31" t="n">
        <v>13.44896465441079</v>
      </c>
      <c r="AZ33" s="31" t="n">
        <v>25.05274160952402</v>
      </c>
      <c r="BA33" s="31" t="n">
        <v>65.73720675657518</v>
      </c>
      <c r="BB33" s="31" t="n">
        <v>139.6079886009964</v>
      </c>
      <c r="BC33" s="31" t="n">
        <v>215.8998834363942</v>
      </c>
      <c r="BD33" s="31" t="n">
        <v>44.52914392108048</v>
      </c>
      <c r="BE33" s="31" t="n">
        <v>250.8310378236878</v>
      </c>
      <c r="BF33" s="31" t="n">
        <v>305.138382588653</v>
      </c>
      <c r="BG33" s="31" t="n">
        <v>115.7394613573073</v>
      </c>
      <c r="BH33" s="31" t="n">
        <v>302.7614829813489</v>
      </c>
      <c r="BI33" s="31" t="n">
        <v>338.2931355731597</v>
      </c>
      <c r="BJ33" s="31" t="n">
        <v>145.7517006453852</v>
      </c>
      <c r="BK33" s="31" t="n">
        <v>836.9918908034709</v>
      </c>
      <c r="BL33" s="31" t="n">
        <v>111.565844952726</v>
      </c>
      <c r="BM33" s="31" t="n">
        <v>14.94124829118198</v>
      </c>
      <c r="BN33" s="31" t="n">
        <v>80.10187990246172</v>
      </c>
      <c r="BO33" s="31" t="n">
        <v>159.7085138314079</v>
      </c>
      <c r="BP33" s="31" t="n">
        <v>47.95346100257328</v>
      </c>
      <c r="BQ33" s="31" t="n">
        <v>319.3478111511324</v>
      </c>
      <c r="BR33" s="31" t="n">
        <v>0</v>
      </c>
      <c r="BS33" s="31">
        <f>SUM(C33:BR33)</f>
        <v/>
      </c>
      <c r="BT33" s="31" t="n">
        <v>0</v>
      </c>
      <c r="BU33" s="31" t="n">
        <v>0</v>
      </c>
      <c r="BV33" s="31" t="n">
        <v>48242.04319887192</v>
      </c>
      <c r="BW33" s="31" t="n">
        <v>0</v>
      </c>
      <c r="BX33" s="31">
        <f>SUM(BT33:BW33)</f>
        <v/>
      </c>
      <c r="BY33" s="31">
        <f>BS33+BX33</f>
        <v/>
      </c>
    </row>
    <row r="34">
      <c r="A34" s="28" t="inlineStr">
        <is>
          <t>2091</t>
        </is>
      </c>
      <c r="B34" s="28" t="inlineStr">
        <is>
          <t>Fabricação de químicos orgânicos e inorgânicos, resinas e elastômeros</t>
        </is>
      </c>
      <c r="C34" s="29" t="n">
        <v>104802.1973167649</v>
      </c>
      <c r="D34" s="29" t="n">
        <v>11390.06096075735</v>
      </c>
      <c r="E34" s="29" t="n">
        <v>720.8803077367305</v>
      </c>
      <c r="F34" s="29" t="n">
        <v>382.5874187215394</v>
      </c>
      <c r="G34" s="29" t="n">
        <v>5773.267028052762</v>
      </c>
      <c r="H34" s="29" t="n">
        <v>975.2512199598417</v>
      </c>
      <c r="I34" s="29" t="n">
        <v>225.6997413847262</v>
      </c>
      <c r="J34" s="29" t="n">
        <v>993.8043182393967</v>
      </c>
      <c r="K34" s="29" t="n">
        <v>580.1095194636032</v>
      </c>
      <c r="L34" s="29" t="n">
        <v>1660.832328968274</v>
      </c>
      <c r="M34" s="29" t="n">
        <v>133.2600709461988</v>
      </c>
      <c r="N34" s="29" t="n">
        <v>45.07389988944718</v>
      </c>
      <c r="O34" s="29" t="n">
        <v>6627.468108555342</v>
      </c>
      <c r="P34" s="29" t="n">
        <v>260.2522821330589</v>
      </c>
      <c r="Q34" s="29" t="n">
        <v>2000.881397556196</v>
      </c>
      <c r="R34" s="29" t="n">
        <v>2131.015461717254</v>
      </c>
      <c r="S34" s="29" t="n">
        <v>8957.132840680628</v>
      </c>
      <c r="T34" s="29" t="n">
        <v>97.43543168100025</v>
      </c>
      <c r="U34" s="29" t="n">
        <v>3090.793953538509</v>
      </c>
      <c r="V34" s="29" t="n">
        <v>1824.806825889951</v>
      </c>
      <c r="W34" s="29" t="n">
        <v>68811.3292000136</v>
      </c>
      <c r="X34" s="29" t="n">
        <v>23552.58325077123</v>
      </c>
      <c r="Y34" s="29" t="n">
        <v>6881.689518750959</v>
      </c>
      <c r="Z34" s="29" t="n">
        <v>2959.164394995794</v>
      </c>
      <c r="AA34" s="29" t="n">
        <v>37936.66997406328</v>
      </c>
      <c r="AB34" s="29" t="n">
        <v>4623.42052182246</v>
      </c>
      <c r="AC34" s="29" t="n">
        <v>2341.121495369932</v>
      </c>
      <c r="AD34" s="29" t="n">
        <v>1793.159068947737</v>
      </c>
      <c r="AE34" s="29" t="n">
        <v>2527.340069544665</v>
      </c>
      <c r="AF34" s="29" t="n">
        <v>309.9503618793154</v>
      </c>
      <c r="AG34" s="29" t="n">
        <v>4606.869132370914</v>
      </c>
      <c r="AH34" s="29" t="n">
        <v>457.4283781816607</v>
      </c>
      <c r="AI34" s="29" t="n">
        <v>211.8000190755563</v>
      </c>
      <c r="AJ34" s="29" t="n">
        <v>2066.565505397533</v>
      </c>
      <c r="AK34" s="29" t="n">
        <v>393.9359274936151</v>
      </c>
      <c r="AL34" s="29" t="n">
        <v>3456.041032186577</v>
      </c>
      <c r="AM34" s="29" t="n">
        <v>198.5480937555479</v>
      </c>
      <c r="AN34" s="29" t="n">
        <v>151.2109592589632</v>
      </c>
      <c r="AO34" s="29" t="n">
        <v>996.1737267046419</v>
      </c>
      <c r="AP34" s="29" t="n">
        <v>540.2289251440631</v>
      </c>
      <c r="AQ34" s="29" t="n">
        <v>122.4762290099349</v>
      </c>
      <c r="AR34" s="29" t="n">
        <v>1906.006112385143</v>
      </c>
      <c r="AS34" s="29" t="n">
        <v>175.972757050195</v>
      </c>
      <c r="AT34" s="29" t="n">
        <v>5.037779738868225</v>
      </c>
      <c r="AU34" s="29" t="n">
        <v>7.239173364740854</v>
      </c>
      <c r="AV34" s="29" t="n">
        <v>78.58682946277047</v>
      </c>
      <c r="AW34" s="29" t="n">
        <v>23.03375284016122</v>
      </c>
      <c r="AX34" s="29" t="n">
        <v>152.0435321884295</v>
      </c>
      <c r="AY34" s="29" t="n">
        <v>13.4873170661507</v>
      </c>
      <c r="AZ34" s="29" t="n">
        <v>24.91944321968567</v>
      </c>
      <c r="BA34" s="29" t="n">
        <v>96.62179532999184</v>
      </c>
      <c r="BB34" s="29" t="n">
        <v>64.48626188311904</v>
      </c>
      <c r="BC34" s="29" t="n">
        <v>86.61340171201084</v>
      </c>
      <c r="BD34" s="29" t="n">
        <v>71.82212864785227</v>
      </c>
      <c r="BE34" s="29" t="n">
        <v>112.9857635611787</v>
      </c>
      <c r="BF34" s="29" t="n">
        <v>75.49174107959351</v>
      </c>
      <c r="BG34" s="29" t="n">
        <v>56.2012247981469</v>
      </c>
      <c r="BH34" s="29" t="n">
        <v>37.79808847904968</v>
      </c>
      <c r="BI34" s="29" t="n">
        <v>268.0979143438008</v>
      </c>
      <c r="BJ34" s="29" t="n">
        <v>7.624029710713497</v>
      </c>
      <c r="BK34" s="29" t="n">
        <v>97.50316688974823</v>
      </c>
      <c r="BL34" s="29" t="n">
        <v>97.82515315820115</v>
      </c>
      <c r="BM34" s="29" t="n">
        <v>93.62134953740983</v>
      </c>
      <c r="BN34" s="29" t="n">
        <v>596.006878588894</v>
      </c>
      <c r="BO34" s="29" t="n">
        <v>665.5259792606169</v>
      </c>
      <c r="BP34" s="29" t="n">
        <v>71.47788847208322</v>
      </c>
      <c r="BQ34" s="29" t="n">
        <v>416.9351403300974</v>
      </c>
      <c r="BR34" s="29" t="n">
        <v>0</v>
      </c>
      <c r="BS34" s="29">
        <f>SUM(C34:BR34)</f>
        <v/>
      </c>
      <c r="BT34" s="29" t="n">
        <v>0</v>
      </c>
      <c r="BU34" s="29" t="n">
        <v>0</v>
      </c>
      <c r="BV34" s="29" t="n">
        <v>30242.22650926758</v>
      </c>
      <c r="BW34" s="29" t="n">
        <v>0</v>
      </c>
      <c r="BX34" s="29">
        <f>SUM(BT34:BW34)</f>
        <v/>
      </c>
      <c r="BY34" s="29">
        <f>BS34+BX34</f>
        <v/>
      </c>
    </row>
    <row r="35">
      <c r="A35" s="30" t="inlineStr">
        <is>
          <t>2092</t>
        </is>
      </c>
      <c r="B35" s="30" t="inlineStr">
        <is>
          <t>Fabricação de defensivos, desinfestantes, tintas e químicos diversos</t>
        </is>
      </c>
      <c r="C35" s="31" t="n">
        <v>38375.99398725182</v>
      </c>
      <c r="D35" s="31" t="n">
        <v>4346.375467555549</v>
      </c>
      <c r="E35" s="31" t="n">
        <v>125.1588762533629</v>
      </c>
      <c r="F35" s="31" t="n">
        <v>2719.560926153815</v>
      </c>
      <c r="G35" s="31" t="n">
        <v>626.8278542640249</v>
      </c>
      <c r="H35" s="31" t="n">
        <v>771.5655109427202</v>
      </c>
      <c r="I35" s="31" t="n">
        <v>198.316405881704</v>
      </c>
      <c r="J35" s="31" t="n">
        <v>1573.676044763346</v>
      </c>
      <c r="K35" s="31" t="n">
        <v>108.8771653688381</v>
      </c>
      <c r="L35" s="31" t="n">
        <v>3616.856009172865</v>
      </c>
      <c r="M35" s="31" t="n">
        <v>199.5205471193923</v>
      </c>
      <c r="N35" s="31" t="n">
        <v>11.6647276431964</v>
      </c>
      <c r="O35" s="31" t="n">
        <v>461.2474587922711</v>
      </c>
      <c r="P35" s="31" t="n">
        <v>74.57952261706002</v>
      </c>
      <c r="Q35" s="31" t="n">
        <v>248.039277278764</v>
      </c>
      <c r="R35" s="31" t="n">
        <v>1663.446495644006</v>
      </c>
      <c r="S35" s="31" t="n">
        <v>2829.664817969719</v>
      </c>
      <c r="T35" s="31" t="n">
        <v>987.3692127342794</v>
      </c>
      <c r="U35" s="31" t="n">
        <v>832.6262838176092</v>
      </c>
      <c r="V35" s="31" t="n">
        <v>453.8794949066056</v>
      </c>
      <c r="W35" s="31" t="n">
        <v>3683.430139129236</v>
      </c>
      <c r="X35" s="31" t="n">
        <v>16261.53266649976</v>
      </c>
      <c r="Y35" s="31" t="n">
        <v>2152.072558135222</v>
      </c>
      <c r="Z35" s="31" t="n">
        <v>1254.732020193777</v>
      </c>
      <c r="AA35" s="31" t="n">
        <v>4684.387445733932</v>
      </c>
      <c r="AB35" s="31" t="n">
        <v>1847.213469051246</v>
      </c>
      <c r="AC35" s="31" t="n">
        <v>647.8936669777211</v>
      </c>
      <c r="AD35" s="31" t="n">
        <v>138.7845856280009</v>
      </c>
      <c r="AE35" s="31" t="n">
        <v>1020.595633388728</v>
      </c>
      <c r="AF35" s="31" t="n">
        <v>294.0430685730244</v>
      </c>
      <c r="AG35" s="31" t="n">
        <v>337.366922588084</v>
      </c>
      <c r="AH35" s="31" t="n">
        <v>331.6297439531428</v>
      </c>
      <c r="AI35" s="31" t="n">
        <v>666.4596494213769</v>
      </c>
      <c r="AJ35" s="31" t="n">
        <v>327.698526794594</v>
      </c>
      <c r="AK35" s="31" t="n">
        <v>132.3824586641872</v>
      </c>
      <c r="AL35" s="31" t="n">
        <v>953.3218788638768</v>
      </c>
      <c r="AM35" s="31" t="n">
        <v>961.0946472419645</v>
      </c>
      <c r="AN35" s="31" t="n">
        <v>189.9217467023144</v>
      </c>
      <c r="AO35" s="31" t="n">
        <v>661.3406565132616</v>
      </c>
      <c r="AP35" s="31" t="n">
        <v>12121.01835060319</v>
      </c>
      <c r="AQ35" s="31" t="n">
        <v>1442.213156281771</v>
      </c>
      <c r="AR35" s="31" t="n">
        <v>2549.157554879013</v>
      </c>
      <c r="AS35" s="31" t="n">
        <v>353.4622220257663</v>
      </c>
      <c r="AT35" s="31" t="n">
        <v>2.190347737709134</v>
      </c>
      <c r="AU35" s="31" t="n">
        <v>1.88112758926954</v>
      </c>
      <c r="AV35" s="31" t="n">
        <v>86.72116680763146</v>
      </c>
      <c r="AW35" s="31" t="n">
        <v>37.00201013674837</v>
      </c>
      <c r="AX35" s="31" t="n">
        <v>69.9360120802197</v>
      </c>
      <c r="AY35" s="31" t="n">
        <v>129.9535567385446</v>
      </c>
      <c r="AZ35" s="31" t="n">
        <v>219.3520342532292</v>
      </c>
      <c r="BA35" s="31" t="n">
        <v>64.68283621864059</v>
      </c>
      <c r="BB35" s="31" t="n">
        <v>38.63268090396374</v>
      </c>
      <c r="BC35" s="31" t="n">
        <v>71.81038047843764</v>
      </c>
      <c r="BD35" s="31" t="n">
        <v>1579.041649868368</v>
      </c>
      <c r="BE35" s="31" t="n">
        <v>52.93029675656189</v>
      </c>
      <c r="BF35" s="31" t="n">
        <v>55.6801107216768</v>
      </c>
      <c r="BG35" s="31" t="n">
        <v>54.38767933215696</v>
      </c>
      <c r="BH35" s="31" t="n">
        <v>31.95544679532674</v>
      </c>
      <c r="BI35" s="31" t="n">
        <v>2526.937254515505</v>
      </c>
      <c r="BJ35" s="31" t="n">
        <v>4.077860439630872</v>
      </c>
      <c r="BK35" s="31" t="n">
        <v>306.4697110128932</v>
      </c>
      <c r="BL35" s="31" t="n">
        <v>345.63602074342</v>
      </c>
      <c r="BM35" s="31" t="n">
        <v>44.22862130113531</v>
      </c>
      <c r="BN35" s="31" t="n">
        <v>1390.632545728344</v>
      </c>
      <c r="BO35" s="31" t="n">
        <v>92.55694025891565</v>
      </c>
      <c r="BP35" s="31" t="n">
        <v>44.77202137128585</v>
      </c>
      <c r="BQ35" s="31" t="n">
        <v>180.1114567916291</v>
      </c>
      <c r="BR35" s="31" t="n">
        <v>0</v>
      </c>
      <c r="BS35" s="31">
        <f>SUM(C35:BR35)</f>
        <v/>
      </c>
      <c r="BT35" s="31" t="n">
        <v>0</v>
      </c>
      <c r="BU35" s="31" t="n">
        <v>0</v>
      </c>
      <c r="BV35" s="31" t="n">
        <v>17428.2030814118</v>
      </c>
      <c r="BW35" s="31" t="n">
        <v>0</v>
      </c>
      <c r="BX35" s="31">
        <f>SUM(BT35:BW35)</f>
        <v/>
      </c>
      <c r="BY35" s="31">
        <f>BS35+BX35</f>
        <v/>
      </c>
    </row>
    <row r="36">
      <c r="A36" s="28" t="inlineStr">
        <is>
          <t>2093</t>
        </is>
      </c>
      <c r="B36" s="28" t="inlineStr">
        <is>
          <t>Fabricação de produtos de limpeza, cosméticos/perfumaria e higiene pessoal</t>
        </is>
      </c>
      <c r="C36" s="29" t="n">
        <v>928.2457640917884</v>
      </c>
      <c r="D36" s="29" t="n">
        <v>148.3080921942042</v>
      </c>
      <c r="E36" s="29" t="n">
        <v>3.929438370386611</v>
      </c>
      <c r="F36" s="29" t="n">
        <v>74.37486534870686</v>
      </c>
      <c r="G36" s="29" t="n">
        <v>179.2422314138421</v>
      </c>
      <c r="H36" s="29" t="n">
        <v>199.678058991397</v>
      </c>
      <c r="I36" s="29" t="n">
        <v>22.94437220061125</v>
      </c>
      <c r="J36" s="29" t="n">
        <v>182.2273098636394</v>
      </c>
      <c r="K36" s="29" t="n">
        <v>29.13212987739489</v>
      </c>
      <c r="L36" s="29" t="n">
        <v>318.8047019688277</v>
      </c>
      <c r="M36" s="29" t="n">
        <v>48.38742256728526</v>
      </c>
      <c r="N36" s="29" t="n">
        <v>6.580328315876303</v>
      </c>
      <c r="O36" s="29" t="n">
        <v>119.9896817457912</v>
      </c>
      <c r="P36" s="29" t="n">
        <v>47.82251670336859</v>
      </c>
      <c r="Q36" s="29" t="n">
        <v>41.34125584797229</v>
      </c>
      <c r="R36" s="29" t="n">
        <v>92.94449401056482</v>
      </c>
      <c r="S36" s="29" t="n">
        <v>272.0936606858205</v>
      </c>
      <c r="T36" s="29" t="n">
        <v>36.76798177494246</v>
      </c>
      <c r="U36" s="29" t="n">
        <v>321.8298330010495</v>
      </c>
      <c r="V36" s="29" t="n">
        <v>61.44816648336018</v>
      </c>
      <c r="W36" s="29" t="n">
        <v>1014.343502932336</v>
      </c>
      <c r="X36" s="29" t="n">
        <v>907.3614833931894</v>
      </c>
      <c r="Y36" s="29" t="n">
        <v>1434.298289616317</v>
      </c>
      <c r="Z36" s="29" t="n">
        <v>124.6865931443868</v>
      </c>
      <c r="AA36" s="29" t="n">
        <v>413.2149180796009</v>
      </c>
      <c r="AB36" s="29" t="n">
        <v>145.8373070368515</v>
      </c>
      <c r="AC36" s="29" t="n">
        <v>71.3056688404622</v>
      </c>
      <c r="AD36" s="29" t="n">
        <v>73.36383313720685</v>
      </c>
      <c r="AE36" s="29" t="n">
        <v>572.8321230710278</v>
      </c>
      <c r="AF36" s="29" t="n">
        <v>41.10155221107843</v>
      </c>
      <c r="AG36" s="29" t="n">
        <v>59.50852248142169</v>
      </c>
      <c r="AH36" s="29" t="n">
        <v>69.62381610800328</v>
      </c>
      <c r="AI36" s="29" t="n">
        <v>43.4345906389383</v>
      </c>
      <c r="AJ36" s="29" t="n">
        <v>55.62434066454384</v>
      </c>
      <c r="AK36" s="29" t="n">
        <v>10.56896310616745</v>
      </c>
      <c r="AL36" s="29" t="n">
        <v>71.57385424813714</v>
      </c>
      <c r="AM36" s="29" t="n">
        <v>31.4545113580467</v>
      </c>
      <c r="AN36" s="29" t="n">
        <v>20.59408856837482</v>
      </c>
      <c r="AO36" s="29" t="n">
        <v>81.67076536295158</v>
      </c>
      <c r="AP36" s="29" t="n">
        <v>362.3201867839973</v>
      </c>
      <c r="AQ36" s="29" t="n">
        <v>205.8883890179216</v>
      </c>
      <c r="AR36" s="29" t="n">
        <v>2242.33107187464</v>
      </c>
      <c r="AS36" s="29" t="n">
        <v>308.8330532175157</v>
      </c>
      <c r="AT36" s="29" t="n">
        <v>9.766774346525109</v>
      </c>
      <c r="AU36" s="29" t="n">
        <v>0.5697966044851461</v>
      </c>
      <c r="AV36" s="29" t="n">
        <v>138.2730014575521</v>
      </c>
      <c r="AW36" s="29" t="n">
        <v>76.39068095267373</v>
      </c>
      <c r="AX36" s="29" t="n">
        <v>96.53296142754247</v>
      </c>
      <c r="AY36" s="29" t="n">
        <v>23.8844185480191</v>
      </c>
      <c r="AZ36" s="29" t="n">
        <v>51.20318316206559</v>
      </c>
      <c r="BA36" s="29" t="n">
        <v>101.2038156522826</v>
      </c>
      <c r="BB36" s="29" t="n">
        <v>32.46201874253799</v>
      </c>
      <c r="BC36" s="29" t="n">
        <v>51.97320955232178</v>
      </c>
      <c r="BD36" s="29" t="n">
        <v>30.54111787481808</v>
      </c>
      <c r="BE36" s="29" t="n">
        <v>297.6403718677869</v>
      </c>
      <c r="BF36" s="29" t="n">
        <v>123.3006285866659</v>
      </c>
      <c r="BG36" s="29" t="n">
        <v>405.8942561623342</v>
      </c>
      <c r="BH36" s="29" t="n">
        <v>124.1294927658737</v>
      </c>
      <c r="BI36" s="29" t="n">
        <v>1841.968392034232</v>
      </c>
      <c r="BJ36" s="29" t="n">
        <v>2.496700570461812</v>
      </c>
      <c r="BK36" s="29" t="n">
        <v>213.2205679779349</v>
      </c>
      <c r="BL36" s="29" t="n">
        <v>163.4022348914273</v>
      </c>
      <c r="BM36" s="29" t="n">
        <v>173.0409868382742</v>
      </c>
      <c r="BN36" s="29" t="n">
        <v>175.0329638450417</v>
      </c>
      <c r="BO36" s="29" t="n">
        <v>787.9903862206955</v>
      </c>
      <c r="BP36" s="29" t="n">
        <v>178.6624282814353</v>
      </c>
      <c r="BQ36" s="29" t="n">
        <v>1273.24628666796</v>
      </c>
      <c r="BR36" s="29" t="n">
        <v>0</v>
      </c>
      <c r="BS36" s="29">
        <f>SUM(C36:BR36)</f>
        <v/>
      </c>
      <c r="BT36" s="29" t="n">
        <v>0</v>
      </c>
      <c r="BU36" s="29" t="n">
        <v>0</v>
      </c>
      <c r="BV36" s="29" t="n">
        <v>50001.28129292239</v>
      </c>
      <c r="BW36" s="29" t="n">
        <v>0</v>
      </c>
      <c r="BX36" s="29">
        <f>SUM(BT36:BW36)</f>
        <v/>
      </c>
      <c r="BY36" s="29">
        <f>BS36+BX36</f>
        <v/>
      </c>
    </row>
    <row r="37">
      <c r="A37" s="30" t="inlineStr">
        <is>
          <t>2100</t>
        </is>
      </c>
      <c r="B37" s="30" t="inlineStr">
        <is>
          <t>Fabricação de produtos farmoquímicos e farmacêuticos</t>
        </is>
      </c>
      <c r="C37" s="31" t="n">
        <v>495.9091229411384</v>
      </c>
      <c r="D37" s="31" t="n">
        <v>2484.576782460314</v>
      </c>
      <c r="E37" s="31" t="n">
        <v>20.84189205933183</v>
      </c>
      <c r="F37" s="31" t="n">
        <v>9.723068143675473</v>
      </c>
      <c r="G37" s="31" t="n">
        <v>369.7321156838782</v>
      </c>
      <c r="H37" s="31" t="n">
        <v>21.45899700347232</v>
      </c>
      <c r="I37" s="31" t="n">
        <v>2.654134479736191</v>
      </c>
      <c r="J37" s="31" t="n">
        <v>253.6042621904963</v>
      </c>
      <c r="K37" s="31" t="n">
        <v>10.49072130127904</v>
      </c>
      <c r="L37" s="31" t="n">
        <v>498.2267151868314</v>
      </c>
      <c r="M37" s="31" t="n">
        <v>11.88289937983382</v>
      </c>
      <c r="N37" s="31" t="n">
        <v>4.271217855418911</v>
      </c>
      <c r="O37" s="31" t="n">
        <v>22.01177563243595</v>
      </c>
      <c r="P37" s="31" t="n">
        <v>16.88122109317087</v>
      </c>
      <c r="Q37" s="31" t="n">
        <v>17.59773799735805</v>
      </c>
      <c r="R37" s="31" t="n">
        <v>14.2268358659895</v>
      </c>
      <c r="S37" s="31" t="n">
        <v>62.92439041195635</v>
      </c>
      <c r="T37" s="31" t="n">
        <v>2.364528006013332</v>
      </c>
      <c r="U37" s="31" t="n">
        <v>12.78458719711161</v>
      </c>
      <c r="V37" s="31" t="n">
        <v>25.63062404089268</v>
      </c>
      <c r="W37" s="31" t="n">
        <v>225.0226170695569</v>
      </c>
      <c r="X37" s="31" t="n">
        <v>522.0848603292915</v>
      </c>
      <c r="Y37" s="31" t="n">
        <v>62.8431436837777</v>
      </c>
      <c r="Z37" s="31" t="n">
        <v>4646.142977762034</v>
      </c>
      <c r="AA37" s="31" t="n">
        <v>71.65914752364185</v>
      </c>
      <c r="AB37" s="31" t="n">
        <v>28.40435817253724</v>
      </c>
      <c r="AC37" s="31" t="n">
        <v>34.54447385279615</v>
      </c>
      <c r="AD37" s="31" t="n">
        <v>15.92751968504971</v>
      </c>
      <c r="AE37" s="31" t="n">
        <v>39.86603940408926</v>
      </c>
      <c r="AF37" s="31" t="n">
        <v>16.8253960620592</v>
      </c>
      <c r="AG37" s="31" t="n">
        <v>24.99112543291628</v>
      </c>
      <c r="AH37" s="31" t="n">
        <v>63.57579094833368</v>
      </c>
      <c r="AI37" s="31" t="n">
        <v>10.9270326420837</v>
      </c>
      <c r="AJ37" s="31" t="n">
        <v>6.89881292953791</v>
      </c>
      <c r="AK37" s="31" t="n">
        <v>3.202838753944602</v>
      </c>
      <c r="AL37" s="31" t="n">
        <v>20.81885133910662</v>
      </c>
      <c r="AM37" s="31" t="n">
        <v>2.656168054393963</v>
      </c>
      <c r="AN37" s="31" t="n">
        <v>3.625190820497084</v>
      </c>
      <c r="AO37" s="31" t="n">
        <v>5.393186059777917</v>
      </c>
      <c r="AP37" s="31" t="n">
        <v>13.5566126206261</v>
      </c>
      <c r="AQ37" s="31" t="n">
        <v>12.74922302503921</v>
      </c>
      <c r="AR37" s="31" t="n">
        <v>575.6055589711392</v>
      </c>
      <c r="AS37" s="31" t="n">
        <v>10.47719794002194</v>
      </c>
      <c r="AT37" s="31" t="n">
        <v>0.6630174613505576</v>
      </c>
      <c r="AU37" s="31" t="n">
        <v>0.3464238848226195</v>
      </c>
      <c r="AV37" s="31" t="n">
        <v>11.90430793486885</v>
      </c>
      <c r="AW37" s="31" t="n">
        <v>5.286378382850809</v>
      </c>
      <c r="AX37" s="31" t="n">
        <v>45.49226228567821</v>
      </c>
      <c r="AY37" s="31" t="n">
        <v>5.207270420010052</v>
      </c>
      <c r="AZ37" s="31" t="n">
        <v>9.116156592699655</v>
      </c>
      <c r="BA37" s="31" t="n">
        <v>45.15460495350187</v>
      </c>
      <c r="BB37" s="31" t="n">
        <v>19.34722929380241</v>
      </c>
      <c r="BC37" s="31" t="n">
        <v>12.71861207833571</v>
      </c>
      <c r="BD37" s="31" t="n">
        <v>4.947664827336214</v>
      </c>
      <c r="BE37" s="31" t="n">
        <v>24.2058954563723</v>
      </c>
      <c r="BF37" s="31" t="n">
        <v>35.82916226955974</v>
      </c>
      <c r="BG37" s="31" t="n">
        <v>83.2880690396953</v>
      </c>
      <c r="BH37" s="31" t="n">
        <v>6.920996715094861</v>
      </c>
      <c r="BI37" s="31" t="n">
        <v>58.96917150030568</v>
      </c>
      <c r="BJ37" s="31" t="n">
        <v>1.545849905482138</v>
      </c>
      <c r="BK37" s="31" t="n">
        <v>1478.05784812047</v>
      </c>
      <c r="BL37" s="31" t="n">
        <v>430.3346283098393</v>
      </c>
      <c r="BM37" s="31" t="n">
        <v>267.3277108425246</v>
      </c>
      <c r="BN37" s="31" t="n">
        <v>10092.00426583726</v>
      </c>
      <c r="BO37" s="31" t="n">
        <v>9760.214518706181</v>
      </c>
      <c r="BP37" s="31" t="n">
        <v>18.09709319039985</v>
      </c>
      <c r="BQ37" s="31" t="n">
        <v>708.4225437588923</v>
      </c>
      <c r="BR37" s="31" t="n">
        <v>0</v>
      </c>
      <c r="BS37" s="31">
        <f>SUM(C37:BR37)</f>
        <v/>
      </c>
      <c r="BT37" s="31" t="n">
        <v>0</v>
      </c>
      <c r="BU37" s="31" t="n">
        <v>0</v>
      </c>
      <c r="BV37" s="31" t="n">
        <v>65376.82293428094</v>
      </c>
      <c r="BW37" s="31" t="n">
        <v>0</v>
      </c>
      <c r="BX37" s="31">
        <f>SUM(BT37:BW37)</f>
        <v/>
      </c>
      <c r="BY37" s="31">
        <f>BS37+BX37</f>
        <v/>
      </c>
    </row>
    <row r="38">
      <c r="A38" s="28" t="inlineStr">
        <is>
          <t>2200</t>
        </is>
      </c>
      <c r="B38" s="28" t="inlineStr">
        <is>
          <t>Fabricação de produtos de borracha e de material plástico</t>
        </is>
      </c>
      <c r="C38" s="29" t="n">
        <v>1237.690422464262</v>
      </c>
      <c r="D38" s="29" t="n">
        <v>382.4025339366924</v>
      </c>
      <c r="E38" s="29" t="n">
        <v>82.6764770161937</v>
      </c>
      <c r="F38" s="29" t="n">
        <v>232.2926177085663</v>
      </c>
      <c r="G38" s="29" t="n">
        <v>388.9719296400816</v>
      </c>
      <c r="H38" s="29" t="n">
        <v>2032.871369886753</v>
      </c>
      <c r="I38" s="29" t="n">
        <v>126.3386249343284</v>
      </c>
      <c r="J38" s="29" t="n">
        <v>5089.663381120074</v>
      </c>
      <c r="K38" s="29" t="n">
        <v>419.494766424068</v>
      </c>
      <c r="L38" s="29" t="n">
        <v>12321.79570546462</v>
      </c>
      <c r="M38" s="29" t="n">
        <v>4402.834347670322</v>
      </c>
      <c r="N38" s="29" t="n">
        <v>18.05859851480977</v>
      </c>
      <c r="O38" s="29" t="n">
        <v>540.4820213514245</v>
      </c>
      <c r="P38" s="29" t="n">
        <v>260.2631824537824</v>
      </c>
      <c r="Q38" s="29" t="n">
        <v>903.5973279749838</v>
      </c>
      <c r="R38" s="29" t="n">
        <v>690.7477904490124</v>
      </c>
      <c r="S38" s="29" t="n">
        <v>1600.804080639043</v>
      </c>
      <c r="T38" s="29" t="n">
        <v>1093.187192619721</v>
      </c>
      <c r="U38" s="29" t="n">
        <v>186.2162712611128</v>
      </c>
      <c r="V38" s="29" t="n">
        <v>131.4619805081035</v>
      </c>
      <c r="W38" s="29" t="n">
        <v>3205.374839488309</v>
      </c>
      <c r="X38" s="29" t="n">
        <v>1273.30658312377</v>
      </c>
      <c r="Y38" s="29" t="n">
        <v>2360.580805407947</v>
      </c>
      <c r="Z38" s="29" t="n">
        <v>713.0553140723522</v>
      </c>
      <c r="AA38" s="29" t="n">
        <v>25586.43861886959</v>
      </c>
      <c r="AB38" s="29" t="n">
        <v>3813.012452695505</v>
      </c>
      <c r="AC38" s="29" t="n">
        <v>871.1317562425709</v>
      </c>
      <c r="AD38" s="29" t="n">
        <v>152.9136770278714</v>
      </c>
      <c r="AE38" s="29" t="n">
        <v>1535.400942541019</v>
      </c>
      <c r="AF38" s="29" t="n">
        <v>1573.987844900627</v>
      </c>
      <c r="AG38" s="29" t="n">
        <v>3143.801061946773</v>
      </c>
      <c r="AH38" s="29" t="n">
        <v>4088.851486958402</v>
      </c>
      <c r="AI38" s="29" t="n">
        <v>10893.49986040393</v>
      </c>
      <c r="AJ38" s="29" t="n">
        <v>5358.221465614501</v>
      </c>
      <c r="AK38" s="29" t="n">
        <v>997.1349357700444</v>
      </c>
      <c r="AL38" s="29" t="n">
        <v>3868.192690040463</v>
      </c>
      <c r="AM38" s="29" t="n">
        <v>2144.829244736069</v>
      </c>
      <c r="AN38" s="29" t="n">
        <v>441.5943931636543</v>
      </c>
      <c r="AO38" s="29" t="n">
        <v>1220.272932510506</v>
      </c>
      <c r="AP38" s="29" t="n">
        <v>24075.77930822579</v>
      </c>
      <c r="AQ38" s="29" t="n">
        <v>2936.05243543378</v>
      </c>
      <c r="AR38" s="29" t="n">
        <v>9815.773028427728</v>
      </c>
      <c r="AS38" s="29" t="n">
        <v>8842.138009119199</v>
      </c>
      <c r="AT38" s="29" t="n">
        <v>6.391297871199479</v>
      </c>
      <c r="AU38" s="29" t="n">
        <v>803.6965994553493</v>
      </c>
      <c r="AV38" s="29" t="n">
        <v>253.0416301032274</v>
      </c>
      <c r="AW38" s="29" t="n">
        <v>37.47638012775855</v>
      </c>
      <c r="AX38" s="29" t="n">
        <v>692.5659469154016</v>
      </c>
      <c r="AY38" s="29" t="n">
        <v>23.19475794464992</v>
      </c>
      <c r="AZ38" s="29" t="n">
        <v>17.73955714315857</v>
      </c>
      <c r="BA38" s="29" t="n">
        <v>72.70679054916735</v>
      </c>
      <c r="BB38" s="29" t="n">
        <v>67.87713940646873</v>
      </c>
      <c r="BC38" s="29" t="n">
        <v>151.3902854085417</v>
      </c>
      <c r="BD38" s="29" t="n">
        <v>249.0962791158626</v>
      </c>
      <c r="BE38" s="29" t="n">
        <v>730.0331800702452</v>
      </c>
      <c r="BF38" s="29" t="n">
        <v>47.35063596189281</v>
      </c>
      <c r="BG38" s="29" t="n">
        <v>60.3652030956871</v>
      </c>
      <c r="BH38" s="29" t="n">
        <v>527.9915830062521</v>
      </c>
      <c r="BI38" s="29" t="n">
        <v>959.7947908122304</v>
      </c>
      <c r="BJ38" s="29" t="n">
        <v>6.340363429175476</v>
      </c>
      <c r="BK38" s="29" t="n">
        <v>244.075958858962</v>
      </c>
      <c r="BL38" s="29" t="n">
        <v>273.0394945924207</v>
      </c>
      <c r="BM38" s="29" t="n">
        <v>72.8643625678142</v>
      </c>
      <c r="BN38" s="29" t="n">
        <v>1225.952043144818</v>
      </c>
      <c r="BO38" s="29" t="n">
        <v>739.464273356823</v>
      </c>
      <c r="BP38" s="29" t="n">
        <v>51.11448130641383</v>
      </c>
      <c r="BQ38" s="29" t="n">
        <v>253.2972398986745</v>
      </c>
      <c r="BR38" s="29" t="n">
        <v>0</v>
      </c>
      <c r="BS38" s="29">
        <f>SUM(C38:BR38)</f>
        <v/>
      </c>
      <c r="BT38" s="29" t="n">
        <v>0</v>
      </c>
      <c r="BU38" s="29" t="n">
        <v>0</v>
      </c>
      <c r="BV38" s="29" t="n">
        <v>39073.74247857648</v>
      </c>
      <c r="BW38" s="29" t="n">
        <v>0</v>
      </c>
      <c r="BX38" s="29">
        <f>SUM(BT38:BW38)</f>
        <v/>
      </c>
      <c r="BY38" s="29">
        <f>BS38+BX38</f>
        <v/>
      </c>
    </row>
    <row r="39">
      <c r="A39" s="30" t="inlineStr">
        <is>
          <t>2300</t>
        </is>
      </c>
      <c r="B39" s="30" t="inlineStr">
        <is>
          <t>Fabricação de produtos de minerais não-metálicos</t>
        </is>
      </c>
      <c r="C39" s="31" t="n">
        <v>5106.999041885923</v>
      </c>
      <c r="D39" s="31" t="n">
        <v>3089.15522873427</v>
      </c>
      <c r="E39" s="31" t="n">
        <v>101.8595401130578</v>
      </c>
      <c r="F39" s="31" t="n">
        <v>118.7072237855119</v>
      </c>
      <c r="G39" s="31" t="n">
        <v>123.55781536055</v>
      </c>
      <c r="H39" s="31" t="n">
        <v>51.90135659462466</v>
      </c>
      <c r="I39" s="31" t="n">
        <v>19.77993494083145</v>
      </c>
      <c r="J39" s="31" t="n">
        <v>158.4455126049849</v>
      </c>
      <c r="K39" s="31" t="n">
        <v>303.9686747596511</v>
      </c>
      <c r="L39" s="31" t="n">
        <v>2706.092147948072</v>
      </c>
      <c r="M39" s="31" t="n">
        <v>3201.593143091662</v>
      </c>
      <c r="N39" s="31" t="n">
        <v>4.588887062013836</v>
      </c>
      <c r="O39" s="31" t="n">
        <v>50.29565576639122</v>
      </c>
      <c r="P39" s="31" t="n">
        <v>124.9985468350444</v>
      </c>
      <c r="Q39" s="31" t="n">
        <v>36.60067382037371</v>
      </c>
      <c r="R39" s="31" t="n">
        <v>33.93764798969492</v>
      </c>
      <c r="S39" s="31" t="n">
        <v>546.9484186850249</v>
      </c>
      <c r="T39" s="31" t="n">
        <v>19.45238926544452</v>
      </c>
      <c r="U39" s="31" t="n">
        <v>26.14329450160402</v>
      </c>
      <c r="V39" s="31" t="n">
        <v>42.69480191817807</v>
      </c>
      <c r="W39" s="31" t="n">
        <v>1466.777705257572</v>
      </c>
      <c r="X39" s="31" t="n">
        <v>395.1726190844882</v>
      </c>
      <c r="Y39" s="31" t="n">
        <v>544.2031866024873</v>
      </c>
      <c r="Z39" s="31" t="n">
        <v>127.9183066328041</v>
      </c>
      <c r="AA39" s="31" t="n">
        <v>891.8509852944704</v>
      </c>
      <c r="AB39" s="31" t="n">
        <v>14318.31921879525</v>
      </c>
      <c r="AC39" s="31" t="n">
        <v>600.7492217253204</v>
      </c>
      <c r="AD39" s="31" t="n">
        <v>55.85838414007916</v>
      </c>
      <c r="AE39" s="31" t="n">
        <v>333.2332799211134</v>
      </c>
      <c r="AF39" s="31" t="n">
        <v>29.15007915317453</v>
      </c>
      <c r="AG39" s="31" t="n">
        <v>559.2599953316163</v>
      </c>
      <c r="AH39" s="31" t="n">
        <v>506.0480900651826</v>
      </c>
      <c r="AI39" s="31" t="n">
        <v>2802.603608046519</v>
      </c>
      <c r="AJ39" s="31" t="n">
        <v>240.3066352671306</v>
      </c>
      <c r="AK39" s="31" t="n">
        <v>172.0522686437747</v>
      </c>
      <c r="AL39" s="31" t="n">
        <v>833.8301405290952</v>
      </c>
      <c r="AM39" s="31" t="n">
        <v>324.4253807386553</v>
      </c>
      <c r="AN39" s="31" t="n">
        <v>1878.859534774256</v>
      </c>
      <c r="AO39" s="31" t="n">
        <v>1592.491553716451</v>
      </c>
      <c r="AP39" s="31" t="n">
        <v>70522.99208409866</v>
      </c>
      <c r="AQ39" s="31" t="n">
        <v>413.1512621458856</v>
      </c>
      <c r="AR39" s="31" t="n">
        <v>483.5784156539206</v>
      </c>
      <c r="AS39" s="31" t="n">
        <v>62.68505674522655</v>
      </c>
      <c r="AT39" s="31" t="n">
        <v>1.988675047041134</v>
      </c>
      <c r="AU39" s="31" t="n">
        <v>0.756302733765592</v>
      </c>
      <c r="AV39" s="31" t="n">
        <v>48.93169491537229</v>
      </c>
      <c r="AW39" s="31" t="n">
        <v>274.6830934911048</v>
      </c>
      <c r="AX39" s="31" t="n">
        <v>955.9240295941029</v>
      </c>
      <c r="AY39" s="31" t="n">
        <v>7.678184225001715</v>
      </c>
      <c r="AZ39" s="31" t="n">
        <v>12.3888326619296</v>
      </c>
      <c r="BA39" s="31" t="n">
        <v>46.51144077802002</v>
      </c>
      <c r="BB39" s="31" t="n">
        <v>32.03588022564882</v>
      </c>
      <c r="BC39" s="31" t="n">
        <v>38.77061802694584</v>
      </c>
      <c r="BD39" s="31" t="n">
        <v>2377.969248796003</v>
      </c>
      <c r="BE39" s="31" t="n">
        <v>50.74734578796433</v>
      </c>
      <c r="BF39" s="31" t="n">
        <v>27.04260560247203</v>
      </c>
      <c r="BG39" s="31" t="n">
        <v>18.30222496998011</v>
      </c>
      <c r="BH39" s="31" t="n">
        <v>13.12262207614145</v>
      </c>
      <c r="BI39" s="31" t="n">
        <v>170.7373205169497</v>
      </c>
      <c r="BJ39" s="31" t="n">
        <v>3.329644914185002</v>
      </c>
      <c r="BK39" s="31" t="n">
        <v>514.9110258076638</v>
      </c>
      <c r="BL39" s="31" t="n">
        <v>177.4122977291648</v>
      </c>
      <c r="BM39" s="31" t="n">
        <v>41.11155287679466</v>
      </c>
      <c r="BN39" s="31" t="n">
        <v>330.4982314577148</v>
      </c>
      <c r="BO39" s="31" t="n">
        <v>208.2344021540769</v>
      </c>
      <c r="BP39" s="31" t="n">
        <v>30.2781226619946</v>
      </c>
      <c r="BQ39" s="31" t="n">
        <v>380.6895170230869</v>
      </c>
      <c r="BR39" s="31" t="n">
        <v>0</v>
      </c>
      <c r="BS39" s="31">
        <f>SUM(C39:BR39)</f>
        <v/>
      </c>
      <c r="BT39" s="31" t="n">
        <v>0</v>
      </c>
      <c r="BU39" s="31" t="n">
        <v>0</v>
      </c>
      <c r="BV39" s="31" t="n">
        <v>22222.56333852229</v>
      </c>
      <c r="BW39" s="31" t="n">
        <v>0</v>
      </c>
      <c r="BX39" s="31">
        <f>SUM(BT39:BW39)</f>
        <v/>
      </c>
      <c r="BY39" s="31">
        <f>BS39+BX39</f>
        <v/>
      </c>
    </row>
    <row r="40">
      <c r="A40" s="28" t="inlineStr">
        <is>
          <t>2491</t>
        </is>
      </c>
      <c r="B40" s="28" t="inlineStr">
        <is>
          <t>Produção de ferro-gusa/ferroligas, siderurgia e tubos de aço sem costura</t>
        </is>
      </c>
      <c r="C40" s="29" t="n">
        <v>504.3913880499513</v>
      </c>
      <c r="D40" s="29" t="n">
        <v>764.8667783737673</v>
      </c>
      <c r="E40" s="29" t="n">
        <v>48.97614839023431</v>
      </c>
      <c r="F40" s="29" t="n">
        <v>268.150602774126</v>
      </c>
      <c r="G40" s="29" t="n">
        <v>27734.18757879084</v>
      </c>
      <c r="H40" s="29" t="n">
        <v>282.3036451858196</v>
      </c>
      <c r="I40" s="29" t="n">
        <v>215.992687098566</v>
      </c>
      <c r="J40" s="29" t="n">
        <v>929.8040325881715</v>
      </c>
      <c r="K40" s="29" t="n">
        <v>25.84180621408885</v>
      </c>
      <c r="L40" s="29" t="n">
        <v>549.789818248092</v>
      </c>
      <c r="M40" s="29" t="n">
        <v>477.8232826559362</v>
      </c>
      <c r="N40" s="29" t="n">
        <v>3.673004650683673</v>
      </c>
      <c r="O40" s="29" t="n">
        <v>51.00787079542136</v>
      </c>
      <c r="P40" s="29" t="n">
        <v>16.39151518854682</v>
      </c>
      <c r="Q40" s="29" t="n">
        <v>21.30378683118722</v>
      </c>
      <c r="R40" s="29" t="n">
        <v>107.8401887693776</v>
      </c>
      <c r="S40" s="29" t="n">
        <v>647.4791818156677</v>
      </c>
      <c r="T40" s="29" t="n">
        <v>18.85899239339765</v>
      </c>
      <c r="U40" s="29" t="n">
        <v>115.9937765339137</v>
      </c>
      <c r="V40" s="29" t="n">
        <v>26.60770584024599</v>
      </c>
      <c r="W40" s="29" t="n">
        <v>327.7341937330757</v>
      </c>
      <c r="X40" s="29" t="n">
        <v>220.7334982995773</v>
      </c>
      <c r="Y40" s="29" t="n">
        <v>152.7691148444581</v>
      </c>
      <c r="Z40" s="29" t="n">
        <v>48.30407836276601</v>
      </c>
      <c r="AA40" s="29" t="n">
        <v>2693.546034243092</v>
      </c>
      <c r="AB40" s="29" t="n">
        <v>2157.838252774527</v>
      </c>
      <c r="AC40" s="29" t="n">
        <v>31788.90669588573</v>
      </c>
      <c r="AD40" s="29" t="n">
        <v>2508.513336790341</v>
      </c>
      <c r="AE40" s="29" t="n">
        <v>50523.72030367248</v>
      </c>
      <c r="AF40" s="29" t="n">
        <v>240.4184608590934</v>
      </c>
      <c r="AG40" s="29" t="n">
        <v>7414.423154510388</v>
      </c>
      <c r="AH40" s="29" t="n">
        <v>24594.10773247911</v>
      </c>
      <c r="AI40" s="29" t="n">
        <v>12074.11014504747</v>
      </c>
      <c r="AJ40" s="29" t="n">
        <v>18683.46995385482</v>
      </c>
      <c r="AK40" s="29" t="n">
        <v>1601.844586392994</v>
      </c>
      <c r="AL40" s="29" t="n">
        <v>3281.586488295064</v>
      </c>
      <c r="AM40" s="29" t="n">
        <v>2824.0365173978</v>
      </c>
      <c r="AN40" s="29" t="n">
        <v>549.6439886549085</v>
      </c>
      <c r="AO40" s="29" t="n">
        <v>325.5262115178825</v>
      </c>
      <c r="AP40" s="29" t="n">
        <v>28290.89121349835</v>
      </c>
      <c r="AQ40" s="29" t="n">
        <v>134.2893208787946</v>
      </c>
      <c r="AR40" s="29" t="n">
        <v>4343.749327367395</v>
      </c>
      <c r="AS40" s="29" t="n">
        <v>113.6545488418062</v>
      </c>
      <c r="AT40" s="29" t="n">
        <v>2.280585515555607</v>
      </c>
      <c r="AU40" s="29" t="n">
        <v>1.527320172497061</v>
      </c>
      <c r="AV40" s="29" t="n">
        <v>68.95454531260681</v>
      </c>
      <c r="AW40" s="29" t="n">
        <v>27.19336654664596</v>
      </c>
      <c r="AX40" s="29" t="n">
        <v>223.846639642688</v>
      </c>
      <c r="AY40" s="29" t="n">
        <v>3.122220646188497</v>
      </c>
      <c r="AZ40" s="29" t="n">
        <v>8.495368647538363</v>
      </c>
      <c r="BA40" s="29" t="n">
        <v>37.03670786332534</v>
      </c>
      <c r="BB40" s="29" t="n">
        <v>128.3198967193012</v>
      </c>
      <c r="BC40" s="29" t="n">
        <v>66.38498404668479</v>
      </c>
      <c r="BD40" s="29" t="n">
        <v>58.50247911125594</v>
      </c>
      <c r="BE40" s="29" t="n">
        <v>83.88042828321628</v>
      </c>
      <c r="BF40" s="29" t="n">
        <v>51.70028063090182</v>
      </c>
      <c r="BG40" s="29" t="n">
        <v>23.68030233221123</v>
      </c>
      <c r="BH40" s="29" t="n">
        <v>561.1383697497403</v>
      </c>
      <c r="BI40" s="29" t="n">
        <v>85.57500030743014</v>
      </c>
      <c r="BJ40" s="29" t="n">
        <v>14.50854866647594</v>
      </c>
      <c r="BK40" s="29" t="n">
        <v>308.7020664589248</v>
      </c>
      <c r="BL40" s="29" t="n">
        <v>59.37571380297943</v>
      </c>
      <c r="BM40" s="29" t="n">
        <v>73.69091226286281</v>
      </c>
      <c r="BN40" s="29" t="n">
        <v>52.84584153397468</v>
      </c>
      <c r="BO40" s="29" t="n">
        <v>46.07942027391473</v>
      </c>
      <c r="BP40" s="29" t="n">
        <v>53.32572006054536</v>
      </c>
      <c r="BQ40" s="29" t="n">
        <v>60.15450105015098</v>
      </c>
      <c r="BR40" s="29" t="n">
        <v>0</v>
      </c>
      <c r="BS40" s="29">
        <f>SUM(C40:BR40)</f>
        <v/>
      </c>
      <c r="BT40" s="29" t="n">
        <v>0</v>
      </c>
      <c r="BU40" s="29" t="n">
        <v>0</v>
      </c>
      <c r="BV40" s="29" t="n">
        <v>75809.54711595274</v>
      </c>
      <c r="BW40" s="29" t="n">
        <v>0</v>
      </c>
      <c r="BX40" s="29">
        <f>SUM(BT40:BW40)</f>
        <v/>
      </c>
      <c r="BY40" s="29">
        <f>BS40+BX40</f>
        <v/>
      </c>
    </row>
    <row r="41">
      <c r="A41" s="30" t="inlineStr">
        <is>
          <t>2492</t>
        </is>
      </c>
      <c r="B41" s="30" t="inlineStr">
        <is>
          <t>Metalurgia de metais não-ferrosos e a fundição de metais</t>
        </is>
      </c>
      <c r="C41" s="31" t="n">
        <v>435.0279751493217</v>
      </c>
      <c r="D41" s="31" t="n">
        <v>108.1803023255577</v>
      </c>
      <c r="E41" s="31" t="n">
        <v>6.561878181056948</v>
      </c>
      <c r="F41" s="31" t="n">
        <v>7.450321240288755</v>
      </c>
      <c r="G41" s="31" t="n">
        <v>214.1521347074202</v>
      </c>
      <c r="H41" s="31" t="n">
        <v>94.45022239396889</v>
      </c>
      <c r="I41" s="31" t="n">
        <v>164.0099188397256</v>
      </c>
      <c r="J41" s="31" t="n">
        <v>759.6844008076889</v>
      </c>
      <c r="K41" s="31" t="n">
        <v>27.81166620039444</v>
      </c>
      <c r="L41" s="31" t="n">
        <v>1092.824630408955</v>
      </c>
      <c r="M41" s="31" t="n">
        <v>132.5973279931018</v>
      </c>
      <c r="N41" s="31" t="n">
        <v>5.004588093614258</v>
      </c>
      <c r="O41" s="31" t="n">
        <v>25.13187592228936</v>
      </c>
      <c r="P41" s="31" t="n">
        <v>20.31574576341368</v>
      </c>
      <c r="Q41" s="31" t="n">
        <v>20.86573921242729</v>
      </c>
      <c r="R41" s="31" t="n">
        <v>33.65005245397955</v>
      </c>
      <c r="S41" s="31" t="n">
        <v>717.4600729227084</v>
      </c>
      <c r="T41" s="31" t="n">
        <v>439.1662300163968</v>
      </c>
      <c r="U41" s="31" t="n">
        <v>27.01410697524179</v>
      </c>
      <c r="V41" s="31" t="n">
        <v>23.62592094665623</v>
      </c>
      <c r="W41" s="31" t="n">
        <v>1996.924728436726</v>
      </c>
      <c r="X41" s="31" t="n">
        <v>545.2914681029742</v>
      </c>
      <c r="Y41" s="31" t="n">
        <v>76.20185142409683</v>
      </c>
      <c r="Z41" s="31" t="n">
        <v>56.348318834403</v>
      </c>
      <c r="AA41" s="31" t="n">
        <v>249.0535855895239</v>
      </c>
      <c r="AB41" s="31" t="n">
        <v>339.442350951178</v>
      </c>
      <c r="AC41" s="31" t="n">
        <v>3495.989728247306</v>
      </c>
      <c r="AD41" s="31" t="n">
        <v>23504.41294243786</v>
      </c>
      <c r="AE41" s="31" t="n">
        <v>4952.781916284331</v>
      </c>
      <c r="AF41" s="31" t="n">
        <v>329.4133284832326</v>
      </c>
      <c r="AG41" s="31" t="n">
        <v>13598.07026341423</v>
      </c>
      <c r="AH41" s="31" t="n">
        <v>4013.552986252248</v>
      </c>
      <c r="AI41" s="31" t="n">
        <v>1322.722260188014</v>
      </c>
      <c r="AJ41" s="31" t="n">
        <v>6844.789430648123</v>
      </c>
      <c r="AK41" s="31" t="n">
        <v>1248.716712638612</v>
      </c>
      <c r="AL41" s="31" t="n">
        <v>4251.333053703811</v>
      </c>
      <c r="AM41" s="31" t="n">
        <v>2031.497640140122</v>
      </c>
      <c r="AN41" s="31" t="n">
        <v>92.50233483448172</v>
      </c>
      <c r="AO41" s="31" t="n">
        <v>221.7091848959313</v>
      </c>
      <c r="AP41" s="31" t="n">
        <v>4678.007781196117</v>
      </c>
      <c r="AQ41" s="31" t="n">
        <v>743.8968960451454</v>
      </c>
      <c r="AR41" s="31" t="n">
        <v>932.5116504795477</v>
      </c>
      <c r="AS41" s="31" t="n">
        <v>95.76671599067198</v>
      </c>
      <c r="AT41" s="31" t="n">
        <v>2.709490387281738</v>
      </c>
      <c r="AU41" s="31" t="n">
        <v>1.46767224908469</v>
      </c>
      <c r="AV41" s="31" t="n">
        <v>63.09970067614511</v>
      </c>
      <c r="AW41" s="31" t="n">
        <v>21.01615578685895</v>
      </c>
      <c r="AX41" s="31" t="n">
        <v>121.2259953124618</v>
      </c>
      <c r="AY41" s="31" t="n">
        <v>7.60947067264731</v>
      </c>
      <c r="AZ41" s="31" t="n">
        <v>14.76294426146466</v>
      </c>
      <c r="BA41" s="31" t="n">
        <v>70.82675741031764</v>
      </c>
      <c r="BB41" s="31" t="n">
        <v>54.51000490786638</v>
      </c>
      <c r="BC41" s="31" t="n">
        <v>77.93252715273263</v>
      </c>
      <c r="BD41" s="31" t="n">
        <v>97.44323898378987</v>
      </c>
      <c r="BE41" s="31" t="n">
        <v>96.1702086736798</v>
      </c>
      <c r="BF41" s="31" t="n">
        <v>19.89012604279742</v>
      </c>
      <c r="BG41" s="31" t="n">
        <v>31.49526503070368</v>
      </c>
      <c r="BH41" s="31" t="n">
        <v>21.46783446917246</v>
      </c>
      <c r="BI41" s="31" t="n">
        <v>79.59240651068394</v>
      </c>
      <c r="BJ41" s="31" t="n">
        <v>8.622965273977826</v>
      </c>
      <c r="BK41" s="31" t="n">
        <v>80.56488871408295</v>
      </c>
      <c r="BL41" s="31" t="n">
        <v>16.54970817894728</v>
      </c>
      <c r="BM41" s="31" t="n">
        <v>86.58992003341521</v>
      </c>
      <c r="BN41" s="31" t="n">
        <v>28.67039862132268</v>
      </c>
      <c r="BO41" s="31" t="n">
        <v>74.44721513181882</v>
      </c>
      <c r="BP41" s="31" t="n">
        <v>62.54760663926242</v>
      </c>
      <c r="BQ41" s="31" t="n">
        <v>79.54241924321435</v>
      </c>
      <c r="BR41" s="31" t="n">
        <v>0</v>
      </c>
      <c r="BS41" s="31">
        <f>SUM(C41:BR41)</f>
        <v/>
      </c>
      <c r="BT41" s="31" t="n">
        <v>0</v>
      </c>
      <c r="BU41" s="31" t="n">
        <v>0</v>
      </c>
      <c r="BV41" s="31" t="n">
        <v>40010.1429376052</v>
      </c>
      <c r="BW41" s="31" t="n">
        <v>0</v>
      </c>
      <c r="BX41" s="31">
        <f>SUM(BT41:BW41)</f>
        <v/>
      </c>
      <c r="BY41" s="31">
        <f>BS41+BX41</f>
        <v/>
      </c>
    </row>
    <row r="42">
      <c r="A42" s="28" t="inlineStr">
        <is>
          <t>2500</t>
        </is>
      </c>
      <c r="B42" s="28" t="inlineStr">
        <is>
          <t>Fabricação de produtos de metal, exceto máquinas e equipamentos</t>
        </is>
      </c>
      <c r="C42" s="29" t="n">
        <v>782.7109519598483</v>
      </c>
      <c r="D42" s="29" t="n">
        <v>1030.010904652463</v>
      </c>
      <c r="E42" s="29" t="n">
        <v>91.83102822138376</v>
      </c>
      <c r="F42" s="29" t="n">
        <v>111.0955097509628</v>
      </c>
      <c r="G42" s="29" t="n">
        <v>3718.983941404587</v>
      </c>
      <c r="H42" s="29" t="n">
        <v>3504.385098056284</v>
      </c>
      <c r="I42" s="29" t="n">
        <v>493.1968275842284</v>
      </c>
      <c r="J42" s="29" t="n">
        <v>5581.342431793725</v>
      </c>
      <c r="K42" s="29" t="n">
        <v>268.6862616804863</v>
      </c>
      <c r="L42" s="29" t="n">
        <v>4700.299584228452</v>
      </c>
      <c r="M42" s="29" t="n">
        <v>7217.077096077162</v>
      </c>
      <c r="N42" s="29" t="n">
        <v>39.9526544119099</v>
      </c>
      <c r="O42" s="29" t="n">
        <v>152.7270628310401</v>
      </c>
      <c r="P42" s="29" t="n">
        <v>147.6640793657102</v>
      </c>
      <c r="Q42" s="29" t="n">
        <v>92.68817522026855</v>
      </c>
      <c r="R42" s="29" t="n">
        <v>1352.016859415233</v>
      </c>
      <c r="S42" s="29" t="n">
        <v>374.4598725898502</v>
      </c>
      <c r="T42" s="29" t="n">
        <v>44.0731812692612</v>
      </c>
      <c r="U42" s="29" t="n">
        <v>825.4491713968969</v>
      </c>
      <c r="V42" s="29" t="n">
        <v>217.8886202594395</v>
      </c>
      <c r="W42" s="29" t="n">
        <v>1318.097978937667</v>
      </c>
      <c r="X42" s="29" t="n">
        <v>1872.055495810762</v>
      </c>
      <c r="Y42" s="29" t="n">
        <v>1658.574319947244</v>
      </c>
      <c r="Z42" s="29" t="n">
        <v>293.5873392608724</v>
      </c>
      <c r="AA42" s="29" t="n">
        <v>667.4832662641919</v>
      </c>
      <c r="AB42" s="29" t="n">
        <v>491.9377416483067</v>
      </c>
      <c r="AC42" s="29" t="n">
        <v>4372.987420810116</v>
      </c>
      <c r="AD42" s="29" t="n">
        <v>739.2370661377224</v>
      </c>
      <c r="AE42" s="29" t="n">
        <v>17049.52542639737</v>
      </c>
      <c r="AF42" s="29" t="n">
        <v>1644.026133435573</v>
      </c>
      <c r="AG42" s="29" t="n">
        <v>4947.036314885138</v>
      </c>
      <c r="AH42" s="29" t="n">
        <v>12002.37216503584</v>
      </c>
      <c r="AI42" s="29" t="n">
        <v>7405.339571415678</v>
      </c>
      <c r="AJ42" s="29" t="n">
        <v>4433.724711605156</v>
      </c>
      <c r="AK42" s="29" t="n">
        <v>2317.963166331087</v>
      </c>
      <c r="AL42" s="29" t="n">
        <v>2628.051282310857</v>
      </c>
      <c r="AM42" s="29" t="n">
        <v>5216.578535306748</v>
      </c>
      <c r="AN42" s="29" t="n">
        <v>3009.89070651767</v>
      </c>
      <c r="AO42" s="29" t="n">
        <v>936.9580387978943</v>
      </c>
      <c r="AP42" s="29" t="n">
        <v>31435.98424173767</v>
      </c>
      <c r="AQ42" s="29" t="n">
        <v>718.9732655725497</v>
      </c>
      <c r="AR42" s="29" t="n">
        <v>3158.001244137415</v>
      </c>
      <c r="AS42" s="29" t="n">
        <v>312.9082950176891</v>
      </c>
      <c r="AT42" s="29" t="n">
        <v>9.047819123370186</v>
      </c>
      <c r="AU42" s="29" t="n">
        <v>4.184965826443762</v>
      </c>
      <c r="AV42" s="29" t="n">
        <v>71.78937424456879</v>
      </c>
      <c r="AW42" s="29" t="n">
        <v>215.7833223267201</v>
      </c>
      <c r="AX42" s="29" t="n">
        <v>2577.666848062276</v>
      </c>
      <c r="AY42" s="29" t="n">
        <v>6.230665686825557</v>
      </c>
      <c r="AZ42" s="29" t="n">
        <v>26.78978800589248</v>
      </c>
      <c r="BA42" s="29" t="n">
        <v>85.6539830255941</v>
      </c>
      <c r="BB42" s="29" t="n">
        <v>51.1169548182984</v>
      </c>
      <c r="BC42" s="29" t="n">
        <v>57.30188084785484</v>
      </c>
      <c r="BD42" s="29" t="n">
        <v>462.3496095332976</v>
      </c>
      <c r="BE42" s="29" t="n">
        <v>83.02432816246831</v>
      </c>
      <c r="BF42" s="29" t="n">
        <v>47.23618740408381</v>
      </c>
      <c r="BG42" s="29" t="n">
        <v>26.08723418745238</v>
      </c>
      <c r="BH42" s="29" t="n">
        <v>36.60893283631069</v>
      </c>
      <c r="BI42" s="29" t="n">
        <v>415.1259070084422</v>
      </c>
      <c r="BJ42" s="29" t="n">
        <v>174.603216267565</v>
      </c>
      <c r="BK42" s="29" t="n">
        <v>1393.816664517639</v>
      </c>
      <c r="BL42" s="29" t="n">
        <v>110.7171674051346</v>
      </c>
      <c r="BM42" s="29" t="n">
        <v>60.95973873611511</v>
      </c>
      <c r="BN42" s="29" t="n">
        <v>229.6286558258092</v>
      </c>
      <c r="BO42" s="29" t="n">
        <v>109.9245367368766</v>
      </c>
      <c r="BP42" s="29" t="n">
        <v>46.92087888039164</v>
      </c>
      <c r="BQ42" s="29" t="n">
        <v>172.3180516439899</v>
      </c>
      <c r="BR42" s="29" t="n">
        <v>0</v>
      </c>
      <c r="BS42" s="29">
        <f>SUM(C42:BR42)</f>
        <v/>
      </c>
      <c r="BT42" s="29" t="n">
        <v>0</v>
      </c>
      <c r="BU42" s="29" t="n">
        <v>0</v>
      </c>
      <c r="BV42" s="29" t="n">
        <v>43808.15431781544</v>
      </c>
      <c r="BW42" s="29" t="n">
        <v>0</v>
      </c>
      <c r="BX42" s="29">
        <f>SUM(BT42:BW42)</f>
        <v/>
      </c>
      <c r="BY42" s="29">
        <f>BS42+BX42</f>
        <v/>
      </c>
    </row>
    <row r="43">
      <c r="A43" s="30" t="inlineStr">
        <is>
          <t>2600</t>
        </is>
      </c>
      <c r="B43" s="30" t="inlineStr">
        <is>
          <t>Fabricação de equipamentos de informática, produtos eletrônicos e ópticos</t>
        </is>
      </c>
      <c r="C43" s="31" t="n">
        <v>7.335706381419977</v>
      </c>
      <c r="D43" s="31" t="n">
        <v>7.263099383900701</v>
      </c>
      <c r="E43" s="31" t="n">
        <v>1.502152055783041</v>
      </c>
      <c r="F43" s="31" t="n">
        <v>20.27321349567329</v>
      </c>
      <c r="G43" s="31" t="n">
        <v>731.0264034901904</v>
      </c>
      <c r="H43" s="31" t="n">
        <v>397.802910979862</v>
      </c>
      <c r="I43" s="31" t="n">
        <v>43.29594732753447</v>
      </c>
      <c r="J43" s="31" t="n">
        <v>439.9898727554217</v>
      </c>
      <c r="K43" s="31" t="n">
        <v>30.78625075044933</v>
      </c>
      <c r="L43" s="31" t="n">
        <v>268.4655236379161</v>
      </c>
      <c r="M43" s="31" t="n">
        <v>27.15989986918335</v>
      </c>
      <c r="N43" s="31" t="n">
        <v>11.60815029666728</v>
      </c>
      <c r="O43" s="31" t="n">
        <v>37.52367211282488</v>
      </c>
      <c r="P43" s="31" t="n">
        <v>43.34354741822311</v>
      </c>
      <c r="Q43" s="31" t="n">
        <v>40.05509600090173</v>
      </c>
      <c r="R43" s="31" t="n">
        <v>46.11056880184593</v>
      </c>
      <c r="S43" s="31" t="n">
        <v>143.3325181134616</v>
      </c>
      <c r="T43" s="31" t="n">
        <v>324.4766161993905</v>
      </c>
      <c r="U43" s="31" t="n">
        <v>36.80059041951917</v>
      </c>
      <c r="V43" s="31" t="n">
        <v>45.53165575584959</v>
      </c>
      <c r="W43" s="31" t="n">
        <v>101.0103473414149</v>
      </c>
      <c r="X43" s="31" t="n">
        <v>85.21326330702416</v>
      </c>
      <c r="Y43" s="31" t="n">
        <v>18.80368191121861</v>
      </c>
      <c r="Z43" s="31" t="n">
        <v>77.66472215214792</v>
      </c>
      <c r="AA43" s="31" t="n">
        <v>162.8178399073627</v>
      </c>
      <c r="AB43" s="31" t="n">
        <v>89.22433296082805</v>
      </c>
      <c r="AC43" s="31" t="n">
        <v>116.9913096971165</v>
      </c>
      <c r="AD43" s="31" t="n">
        <v>45.09365191151117</v>
      </c>
      <c r="AE43" s="31" t="n">
        <v>100.2018279949133</v>
      </c>
      <c r="AF43" s="31" t="n">
        <v>22733.43465511929</v>
      </c>
      <c r="AG43" s="31" t="n">
        <v>969.2285712185497</v>
      </c>
      <c r="AH43" s="31" t="n">
        <v>1979.702836442606</v>
      </c>
      <c r="AI43" s="31" t="n">
        <v>378.2001935286661</v>
      </c>
      <c r="AJ43" s="31" t="n">
        <v>328.1011441632288</v>
      </c>
      <c r="AK43" s="31" t="n">
        <v>100.163403773469</v>
      </c>
      <c r="AL43" s="31" t="n">
        <v>157.5568130633944</v>
      </c>
      <c r="AM43" s="31" t="n">
        <v>1325.765240370667</v>
      </c>
      <c r="AN43" s="31" t="n">
        <v>339.0998023989893</v>
      </c>
      <c r="AO43" s="31" t="n">
        <v>43.22838258523986</v>
      </c>
      <c r="AP43" s="31" t="n">
        <v>888.4379307943443</v>
      </c>
      <c r="AQ43" s="31" t="n">
        <v>70.12370093583466</v>
      </c>
      <c r="AR43" s="31" t="n">
        <v>917.5655284782864</v>
      </c>
      <c r="AS43" s="31" t="n">
        <v>100.8144605516682</v>
      </c>
      <c r="AT43" s="31" t="n">
        <v>16.32672684692414</v>
      </c>
      <c r="AU43" s="31" t="n">
        <v>7.220782924969445</v>
      </c>
      <c r="AV43" s="31" t="n">
        <v>399.2135279094322</v>
      </c>
      <c r="AW43" s="31" t="n">
        <v>4.564587086429944</v>
      </c>
      <c r="AX43" s="31" t="n">
        <v>14.52553010200464</v>
      </c>
      <c r="AY43" s="31" t="n">
        <v>17.85660447640188</v>
      </c>
      <c r="AZ43" s="31" t="n">
        <v>449.9074123697664</v>
      </c>
      <c r="BA43" s="31" t="n">
        <v>487.8842555144698</v>
      </c>
      <c r="BB43" s="31" t="n">
        <v>5554.511357693021</v>
      </c>
      <c r="BC43" s="31" t="n">
        <v>668.998230848385</v>
      </c>
      <c r="BD43" s="31" t="n">
        <v>24.34716557276965</v>
      </c>
      <c r="BE43" s="31" t="n">
        <v>662.1246872996866</v>
      </c>
      <c r="BF43" s="31" t="n">
        <v>1431.650994264799</v>
      </c>
      <c r="BG43" s="31" t="n">
        <v>368.9362370536678</v>
      </c>
      <c r="BH43" s="31" t="n">
        <v>99.13897557583915</v>
      </c>
      <c r="BI43" s="31" t="n">
        <v>2347.962587379599</v>
      </c>
      <c r="BJ43" s="31" t="n">
        <v>235.1924885960425</v>
      </c>
      <c r="BK43" s="31" t="n">
        <v>401.936255403066</v>
      </c>
      <c r="BL43" s="31" t="n">
        <v>793.571534732832</v>
      </c>
      <c r="BM43" s="31" t="n">
        <v>253.7145411048086</v>
      </c>
      <c r="BN43" s="31" t="n">
        <v>548.4864936911856</v>
      </c>
      <c r="BO43" s="31" t="n">
        <v>324.4107702791132</v>
      </c>
      <c r="BP43" s="31" t="n">
        <v>99.02840645093629</v>
      </c>
      <c r="BQ43" s="31" t="n">
        <v>1295.791314985167</v>
      </c>
      <c r="BR43" s="31" t="n">
        <v>0</v>
      </c>
      <c r="BS43" s="31">
        <f>SUM(C43:BR43)</f>
        <v/>
      </c>
      <c r="BT43" s="31" t="n">
        <v>0</v>
      </c>
      <c r="BU43" s="31" t="n">
        <v>0</v>
      </c>
      <c r="BV43" s="31" t="n">
        <v>96036.03486071233</v>
      </c>
      <c r="BW43" s="31" t="n">
        <v>0</v>
      </c>
      <c r="BX43" s="31">
        <f>SUM(BT43:BW43)</f>
        <v/>
      </c>
      <c r="BY43" s="31">
        <f>BS43+BX43</f>
        <v/>
      </c>
    </row>
    <row r="44">
      <c r="A44" s="28" t="inlineStr">
        <is>
          <t>2700</t>
        </is>
      </c>
      <c r="B44" s="28" t="inlineStr">
        <is>
          <t>Fabricação de máquinas e equipamentos elétricos</t>
        </is>
      </c>
      <c r="C44" s="29" t="n">
        <v>83.79698304296029</v>
      </c>
      <c r="D44" s="29" t="n">
        <v>154.7422142859168</v>
      </c>
      <c r="E44" s="29" t="n">
        <v>11.67330451787078</v>
      </c>
      <c r="F44" s="29" t="n">
        <v>47.85516049988048</v>
      </c>
      <c r="G44" s="29" t="n">
        <v>729.6381732855323</v>
      </c>
      <c r="H44" s="29" t="n">
        <v>268.8775579119201</v>
      </c>
      <c r="I44" s="29" t="n">
        <v>43.19971789571624</v>
      </c>
      <c r="J44" s="29" t="n">
        <v>247.1048765209988</v>
      </c>
      <c r="K44" s="29" t="n">
        <v>66.0767567010725</v>
      </c>
      <c r="L44" s="29" t="n">
        <v>252.80240941221</v>
      </c>
      <c r="M44" s="29" t="n">
        <v>97.87092459246767</v>
      </c>
      <c r="N44" s="29" t="n">
        <v>6.857613837394463</v>
      </c>
      <c r="O44" s="29" t="n">
        <v>73.85418458302394</v>
      </c>
      <c r="P44" s="29" t="n">
        <v>16.6922208938178</v>
      </c>
      <c r="Q44" s="29" t="n">
        <v>20.95691512632428</v>
      </c>
      <c r="R44" s="29" t="n">
        <v>84.38103619702427</v>
      </c>
      <c r="S44" s="29" t="n">
        <v>166.962813945412</v>
      </c>
      <c r="T44" s="29" t="n">
        <v>22.49097894542583</v>
      </c>
      <c r="U44" s="29" t="n">
        <v>29.34361945602635</v>
      </c>
      <c r="V44" s="29" t="n">
        <v>39.96395791793879</v>
      </c>
      <c r="W44" s="29" t="n">
        <v>288.2154599386715</v>
      </c>
      <c r="X44" s="29" t="n">
        <v>68.32587227054921</v>
      </c>
      <c r="Y44" s="29" t="n">
        <v>44.68459517152189</v>
      </c>
      <c r="Z44" s="29" t="n">
        <v>39.3804512257714</v>
      </c>
      <c r="AA44" s="29" t="n">
        <v>271.8185949442691</v>
      </c>
      <c r="AB44" s="29" t="n">
        <v>311.2398803566458</v>
      </c>
      <c r="AC44" s="29" t="n">
        <v>234.7370128248149</v>
      </c>
      <c r="AD44" s="29" t="n">
        <v>351.1670450908375</v>
      </c>
      <c r="AE44" s="29" t="n">
        <v>446.3780726640363</v>
      </c>
      <c r="AF44" s="29" t="n">
        <v>2821.336967859893</v>
      </c>
      <c r="AG44" s="29" t="n">
        <v>16028.02771009036</v>
      </c>
      <c r="AH44" s="29" t="n">
        <v>5928.687371642825</v>
      </c>
      <c r="AI44" s="29" t="n">
        <v>1454.682362991844</v>
      </c>
      <c r="AJ44" s="29" t="n">
        <v>2005.15316566208</v>
      </c>
      <c r="AK44" s="29" t="n">
        <v>430.554633350835</v>
      </c>
      <c r="AL44" s="29" t="n">
        <v>515.7152598770593</v>
      </c>
      <c r="AM44" s="29" t="n">
        <v>3882.489506227103</v>
      </c>
      <c r="AN44" s="29" t="n">
        <v>7056.107722721278</v>
      </c>
      <c r="AO44" s="29" t="n">
        <v>420.804581063956</v>
      </c>
      <c r="AP44" s="29" t="n">
        <v>13539.11446578425</v>
      </c>
      <c r="AQ44" s="29" t="n">
        <v>663.7613636472504</v>
      </c>
      <c r="AR44" s="29" t="n">
        <v>1848.049370449301</v>
      </c>
      <c r="AS44" s="29" t="n">
        <v>2099.059195151232</v>
      </c>
      <c r="AT44" s="29" t="n">
        <v>41.04905723634615</v>
      </c>
      <c r="AU44" s="29" t="n">
        <v>1.491971521011051</v>
      </c>
      <c r="AV44" s="29" t="n">
        <v>176.5236039029501</v>
      </c>
      <c r="AW44" s="29" t="n">
        <v>45.88411314107397</v>
      </c>
      <c r="AX44" s="29" t="n">
        <v>75.94745760761187</v>
      </c>
      <c r="AY44" s="29" t="n">
        <v>9.47988073061261</v>
      </c>
      <c r="AZ44" s="29" t="n">
        <v>96.94613469675573</v>
      </c>
      <c r="BA44" s="29" t="n">
        <v>1183.509578449812</v>
      </c>
      <c r="BB44" s="29" t="n">
        <v>89.01658275040964</v>
      </c>
      <c r="BC44" s="29" t="n">
        <v>117.8058342408456</v>
      </c>
      <c r="BD44" s="29" t="n">
        <v>616.9433008235271</v>
      </c>
      <c r="BE44" s="29" t="n">
        <v>877.8540471891442</v>
      </c>
      <c r="BF44" s="29" t="n">
        <v>105.0557804993922</v>
      </c>
      <c r="BG44" s="29" t="n">
        <v>94.34939491108909</v>
      </c>
      <c r="BH44" s="29" t="n">
        <v>63.03471754739204</v>
      </c>
      <c r="BI44" s="29" t="n">
        <v>1052.638364131985</v>
      </c>
      <c r="BJ44" s="29" t="n">
        <v>6.677109968302123</v>
      </c>
      <c r="BK44" s="29" t="n">
        <v>154.5911180046399</v>
      </c>
      <c r="BL44" s="29" t="n">
        <v>71.82723225232921</v>
      </c>
      <c r="BM44" s="29" t="n">
        <v>36.7534479891404</v>
      </c>
      <c r="BN44" s="29" t="n">
        <v>41.47684360229931</v>
      </c>
      <c r="BO44" s="29" t="n">
        <v>31.01831109069346</v>
      </c>
      <c r="BP44" s="29" t="n">
        <v>101.9634366627809</v>
      </c>
      <c r="BQ44" s="29" t="n">
        <v>1373.77506878692</v>
      </c>
      <c r="BR44" s="29" t="n">
        <v>0</v>
      </c>
      <c r="BS44" s="29">
        <f>SUM(C44:BR44)</f>
        <v/>
      </c>
      <c r="BT44" s="29" t="n">
        <v>0</v>
      </c>
      <c r="BU44" s="29" t="n">
        <v>0</v>
      </c>
      <c r="BV44" s="29" t="n">
        <v>67987.63969218479</v>
      </c>
      <c r="BW44" s="29" t="n">
        <v>0</v>
      </c>
      <c r="BX44" s="29">
        <f>SUM(BT44:BW44)</f>
        <v/>
      </c>
      <c r="BY44" s="29">
        <f>BS44+BX44</f>
        <v/>
      </c>
    </row>
    <row r="45">
      <c r="A45" s="30" t="inlineStr">
        <is>
          <t>2800</t>
        </is>
      </c>
      <c r="B45" s="30" t="inlineStr">
        <is>
          <t>Fabricação de máquinas e equipamentos mecânicos</t>
        </is>
      </c>
      <c r="C45" s="31" t="n">
        <v>68.59196881497705</v>
      </c>
      <c r="D45" s="31" t="n">
        <v>68.20598133116046</v>
      </c>
      <c r="E45" s="31" t="n">
        <v>11.0608334972975</v>
      </c>
      <c r="F45" s="31" t="n">
        <v>210.8497257529986</v>
      </c>
      <c r="G45" s="31" t="n">
        <v>7819.29996478982</v>
      </c>
      <c r="H45" s="31" t="n">
        <v>9971.564951297738</v>
      </c>
      <c r="I45" s="31" t="n">
        <v>1167.649701607609</v>
      </c>
      <c r="J45" s="31" t="n">
        <v>437.1115325515036</v>
      </c>
      <c r="K45" s="31" t="n">
        <v>52.98829740374163</v>
      </c>
      <c r="L45" s="31" t="n">
        <v>334.7016224600617</v>
      </c>
      <c r="M45" s="31" t="n">
        <v>192.3899898304808</v>
      </c>
      <c r="N45" s="31" t="n">
        <v>9.402924821979482</v>
      </c>
      <c r="O45" s="31" t="n">
        <v>55.03047974931638</v>
      </c>
      <c r="P45" s="31" t="n">
        <v>39.7359937418666</v>
      </c>
      <c r="Q45" s="31" t="n">
        <v>40.39146518178196</v>
      </c>
      <c r="R45" s="31" t="n">
        <v>191.9234921375753</v>
      </c>
      <c r="S45" s="31" t="n">
        <v>195.6758940934517</v>
      </c>
      <c r="T45" s="31" t="n">
        <v>42.64086464992834</v>
      </c>
      <c r="U45" s="31" t="n">
        <v>68.40029079299887</v>
      </c>
      <c r="V45" s="31" t="n">
        <v>59.11456589440166</v>
      </c>
      <c r="W45" s="31" t="n">
        <v>151.2070114347419</v>
      </c>
      <c r="X45" s="31" t="n">
        <v>111.5799535697962</v>
      </c>
      <c r="Y45" s="31" t="n">
        <v>56.48193733699508</v>
      </c>
      <c r="Z45" s="31" t="n">
        <v>77.39107344870672</v>
      </c>
      <c r="AA45" s="31" t="n">
        <v>276.7093344478546</v>
      </c>
      <c r="AB45" s="31" t="n">
        <v>171.1830591089625</v>
      </c>
      <c r="AC45" s="31" t="n">
        <v>398.1964502888098</v>
      </c>
      <c r="AD45" s="31" t="n">
        <v>182.1835525246843</v>
      </c>
      <c r="AE45" s="31" t="n">
        <v>516.1807072485499</v>
      </c>
      <c r="AF45" s="31" t="n">
        <v>269.6613350281658</v>
      </c>
      <c r="AG45" s="31" t="n">
        <v>1121.951920315154</v>
      </c>
      <c r="AH45" s="31" t="n">
        <v>30669.56425955314</v>
      </c>
      <c r="AI45" s="31" t="n">
        <v>2083.214696878968</v>
      </c>
      <c r="AJ45" s="31" t="n">
        <v>436.6007770213255</v>
      </c>
      <c r="AK45" s="31" t="n">
        <v>439.3088469011886</v>
      </c>
      <c r="AL45" s="31" t="n">
        <v>169.0283554640949</v>
      </c>
      <c r="AM45" s="31" t="n">
        <v>11864.9244713549</v>
      </c>
      <c r="AN45" s="31" t="n">
        <v>323.079239962637</v>
      </c>
      <c r="AO45" s="31" t="n">
        <v>153.7461671096285</v>
      </c>
      <c r="AP45" s="31" t="n">
        <v>4650.387849003241</v>
      </c>
      <c r="AQ45" s="31" t="n">
        <v>632.6301932593732</v>
      </c>
      <c r="AR45" s="31" t="n">
        <v>937.6918528126334</v>
      </c>
      <c r="AS45" s="31" t="n">
        <v>359.9812953653678</v>
      </c>
      <c r="AT45" s="31" t="n">
        <v>244.6367186043244</v>
      </c>
      <c r="AU45" s="31" t="n">
        <v>9.972611334360804</v>
      </c>
      <c r="AV45" s="31" t="n">
        <v>327.9005367305128</v>
      </c>
      <c r="AW45" s="31" t="n">
        <v>14.28990799253846</v>
      </c>
      <c r="AX45" s="31" t="n">
        <v>70.9831157797677</v>
      </c>
      <c r="AY45" s="31" t="n">
        <v>20.41798511060841</v>
      </c>
      <c r="AZ45" s="31" t="n">
        <v>23.84260223442685</v>
      </c>
      <c r="BA45" s="31" t="n">
        <v>160.7726586453555</v>
      </c>
      <c r="BB45" s="31" t="n">
        <v>104.4233610917419</v>
      </c>
      <c r="BC45" s="31" t="n">
        <v>25.8217077014932</v>
      </c>
      <c r="BD45" s="31" t="n">
        <v>37.74828989384282</v>
      </c>
      <c r="BE45" s="31" t="n">
        <v>72.36075252476348</v>
      </c>
      <c r="BF45" s="31" t="n">
        <v>67.55701312685871</v>
      </c>
      <c r="BG45" s="31" t="n">
        <v>26.43699914355488</v>
      </c>
      <c r="BH45" s="31" t="n">
        <v>43.63384631187878</v>
      </c>
      <c r="BI45" s="31" t="n">
        <v>1561.322981452151</v>
      </c>
      <c r="BJ45" s="31" t="n">
        <v>12.09938527834439</v>
      </c>
      <c r="BK45" s="31" t="n">
        <v>152.6590101562822</v>
      </c>
      <c r="BL45" s="31" t="n">
        <v>30.40147033555738</v>
      </c>
      <c r="BM45" s="31" t="n">
        <v>8.020669165117896</v>
      </c>
      <c r="BN45" s="31" t="n">
        <v>253.1164938669997</v>
      </c>
      <c r="BO45" s="31" t="n">
        <v>64.11946056107966</v>
      </c>
      <c r="BP45" s="31" t="n">
        <v>22.50860307285047</v>
      </c>
      <c r="BQ45" s="31" t="n">
        <v>84.58279833629939</v>
      </c>
      <c r="BR45" s="31" t="n">
        <v>0</v>
      </c>
      <c r="BS45" s="31">
        <f>SUM(C45:BR45)</f>
        <v/>
      </c>
      <c r="BT45" s="31" t="n">
        <v>0</v>
      </c>
      <c r="BU45" s="31" t="n">
        <v>0</v>
      </c>
      <c r="BV45" s="31" t="n">
        <v>162453.3893166174</v>
      </c>
      <c r="BW45" s="31" t="n">
        <v>0</v>
      </c>
      <c r="BX45" s="31">
        <f>SUM(BT45:BW45)</f>
        <v/>
      </c>
      <c r="BY45" s="31">
        <f>BS45+BX45</f>
        <v/>
      </c>
    </row>
    <row r="46">
      <c r="A46" s="28" t="inlineStr">
        <is>
          <t>2991</t>
        </is>
      </c>
      <c r="B46" s="28" t="inlineStr">
        <is>
          <t>Fabricação de automóveis, caminhões e ônibus, exceto peças</t>
        </is>
      </c>
      <c r="C46" s="29" t="n">
        <v>6.42018902171656</v>
      </c>
      <c r="D46" s="29" t="n">
        <v>4.118154421437051</v>
      </c>
      <c r="E46" s="29" t="n">
        <v>0.5347667736717806</v>
      </c>
      <c r="F46" s="29" t="n">
        <v>2.528023645515424</v>
      </c>
      <c r="G46" s="29" t="n">
        <v>69.66610644001814</v>
      </c>
      <c r="H46" s="29" t="n">
        <v>94.15424708527846</v>
      </c>
      <c r="I46" s="29" t="n">
        <v>7.603469889682496</v>
      </c>
      <c r="J46" s="29" t="n">
        <v>11.8424256882054</v>
      </c>
      <c r="K46" s="29" t="n">
        <v>137.8737884991126</v>
      </c>
      <c r="L46" s="29" t="n">
        <v>15.52978512580867</v>
      </c>
      <c r="M46" s="29" t="n">
        <v>9.707974728216621</v>
      </c>
      <c r="N46" s="29" t="n">
        <v>0.841321485265441</v>
      </c>
      <c r="O46" s="29" t="n">
        <v>8.87288126903392</v>
      </c>
      <c r="P46" s="29" t="n">
        <v>2.063864112211485</v>
      </c>
      <c r="Q46" s="29" t="n">
        <v>2.812054006044048</v>
      </c>
      <c r="R46" s="29" t="n">
        <v>3.635214295925265</v>
      </c>
      <c r="S46" s="29" t="n">
        <v>5.242479542024343</v>
      </c>
      <c r="T46" s="29" t="n">
        <v>1.088136788080634</v>
      </c>
      <c r="U46" s="29" t="n">
        <v>0.888335660352526</v>
      </c>
      <c r="V46" s="29" t="n">
        <v>1.008709116916508</v>
      </c>
      <c r="W46" s="29" t="n">
        <v>10.61184388857052</v>
      </c>
      <c r="X46" s="29" t="n">
        <v>41.77992040457634</v>
      </c>
      <c r="Y46" s="29" t="n">
        <v>4.654576294292704</v>
      </c>
      <c r="Z46" s="29" t="n">
        <v>8.889902724888753</v>
      </c>
      <c r="AA46" s="29" t="n">
        <v>25.85144682426481</v>
      </c>
      <c r="AB46" s="29" t="n">
        <v>13.72750566372052</v>
      </c>
      <c r="AC46" s="29" t="n">
        <v>8.757771175092801</v>
      </c>
      <c r="AD46" s="29" t="n">
        <v>7.924805475612192</v>
      </c>
      <c r="AE46" s="29" t="n">
        <v>19.47622449709027</v>
      </c>
      <c r="AF46" s="29" t="n">
        <v>54.81806679336012</v>
      </c>
      <c r="AG46" s="29" t="n">
        <v>278.7363513390121</v>
      </c>
      <c r="AH46" s="29" t="n">
        <v>333.198650369931</v>
      </c>
      <c r="AI46" s="29" t="n">
        <v>9547.384340962284</v>
      </c>
      <c r="AJ46" s="29" t="n">
        <v>388.4968860585856</v>
      </c>
      <c r="AK46" s="29" t="n">
        <v>211.6718901305308</v>
      </c>
      <c r="AL46" s="29" t="n">
        <v>14.05955012373574</v>
      </c>
      <c r="AM46" s="29" t="n">
        <v>190.6927889721525</v>
      </c>
      <c r="AN46" s="29" t="n">
        <v>132.0985152634817</v>
      </c>
      <c r="AO46" s="29" t="n">
        <v>19.62897722418786</v>
      </c>
      <c r="AP46" s="29" t="n">
        <v>302.2511555626399</v>
      </c>
      <c r="AQ46" s="29" t="n">
        <v>904.3438212927761</v>
      </c>
      <c r="AR46" s="29" t="n">
        <v>116.6850746161261</v>
      </c>
      <c r="AS46" s="29" t="n">
        <v>1327.860108339597</v>
      </c>
      <c r="AT46" s="29" t="n">
        <v>2.618514436643589</v>
      </c>
      <c r="AU46" s="29" t="n">
        <v>0.0850400106996123</v>
      </c>
      <c r="AV46" s="29" t="n">
        <v>12.41463599961061</v>
      </c>
      <c r="AW46" s="29" t="n">
        <v>1.990977732368243</v>
      </c>
      <c r="AX46" s="29" t="n">
        <v>6.378226713263024</v>
      </c>
      <c r="AY46" s="29" t="n">
        <v>0.3070675780117783</v>
      </c>
      <c r="AZ46" s="29" t="n">
        <v>2.401063872377336</v>
      </c>
      <c r="BA46" s="29" t="n">
        <v>24.1093675708361</v>
      </c>
      <c r="BB46" s="29" t="n">
        <v>7.575098801340292</v>
      </c>
      <c r="BC46" s="29" t="n">
        <v>5.722533695372715</v>
      </c>
      <c r="BD46" s="29" t="n">
        <v>12.63654278459543</v>
      </c>
      <c r="BE46" s="29" t="n">
        <v>19.16278547342121</v>
      </c>
      <c r="BF46" s="29" t="n">
        <v>44.27308999756315</v>
      </c>
      <c r="BG46" s="29" t="n">
        <v>2.874499520556731</v>
      </c>
      <c r="BH46" s="29" t="n">
        <v>18.9867319053188</v>
      </c>
      <c r="BI46" s="29" t="n">
        <v>33.87567597524228</v>
      </c>
      <c r="BJ46" s="29" t="n">
        <v>2.215897467132408</v>
      </c>
      <c r="BK46" s="29" t="n">
        <v>67.21174773743901</v>
      </c>
      <c r="BL46" s="29" t="n">
        <v>10.54136831437407</v>
      </c>
      <c r="BM46" s="29" t="n">
        <v>3.656937523475928</v>
      </c>
      <c r="BN46" s="29" t="n">
        <v>21.21407419728484</v>
      </c>
      <c r="BO46" s="29" t="n">
        <v>8.943211208338141</v>
      </c>
      <c r="BP46" s="29" t="n">
        <v>4.462183641315547</v>
      </c>
      <c r="BQ46" s="29" t="n">
        <v>19.42960768921906</v>
      </c>
      <c r="BR46" s="29" t="n">
        <v>0</v>
      </c>
      <c r="BS46" s="29">
        <f>SUM(C46:BR46)</f>
        <v/>
      </c>
      <c r="BT46" s="29" t="n">
        <v>0</v>
      </c>
      <c r="BU46" s="29" t="n">
        <v>0</v>
      </c>
      <c r="BV46" s="29" t="n">
        <v>226999.8810185631</v>
      </c>
      <c r="BW46" s="29" t="n">
        <v>0</v>
      </c>
      <c r="BX46" s="29">
        <f>SUM(BT46:BW46)</f>
        <v/>
      </c>
      <c r="BY46" s="29">
        <f>BS46+BX46</f>
        <v/>
      </c>
    </row>
    <row r="47">
      <c r="A47" s="30" t="inlineStr">
        <is>
          <t>2992</t>
        </is>
      </c>
      <c r="B47" s="30" t="inlineStr">
        <is>
          <t>Fabricação de peças e acessórios para veículos automotores</t>
        </is>
      </c>
      <c r="C47" s="31" t="n">
        <v>38.32430334344073</v>
      </c>
      <c r="D47" s="31" t="n">
        <v>24.95852927750304</v>
      </c>
      <c r="E47" s="31" t="n">
        <v>1.846206358450636</v>
      </c>
      <c r="F47" s="31" t="n">
        <v>15.06722844569324</v>
      </c>
      <c r="G47" s="31" t="n">
        <v>235.8196684525832</v>
      </c>
      <c r="H47" s="31" t="n">
        <v>258.8017682161533</v>
      </c>
      <c r="I47" s="31" t="n">
        <v>30.10149670778344</v>
      </c>
      <c r="J47" s="31" t="n">
        <v>74.60736856809736</v>
      </c>
      <c r="K47" s="31" t="n">
        <v>8.83551069618726</v>
      </c>
      <c r="L47" s="31" t="n">
        <v>109.2366802438454</v>
      </c>
      <c r="M47" s="31" t="n">
        <v>89.69543259004323</v>
      </c>
      <c r="N47" s="31" t="n">
        <v>1.059244913608274</v>
      </c>
      <c r="O47" s="31" t="n">
        <v>13.00917057247853</v>
      </c>
      <c r="P47" s="31" t="n">
        <v>5.051897558226457</v>
      </c>
      <c r="Q47" s="31" t="n">
        <v>9.084850804275629</v>
      </c>
      <c r="R47" s="31" t="n">
        <v>20.07737606785968</v>
      </c>
      <c r="S47" s="31" t="n">
        <v>19.68763557925364</v>
      </c>
      <c r="T47" s="31" t="n">
        <v>10.0354056715138</v>
      </c>
      <c r="U47" s="31" t="n">
        <v>19.09703057642854</v>
      </c>
      <c r="V47" s="31" t="n">
        <v>5.550388289270739</v>
      </c>
      <c r="W47" s="31" t="n">
        <v>36.43137874677856</v>
      </c>
      <c r="X47" s="31" t="n">
        <v>34.98500743147494</v>
      </c>
      <c r="Y47" s="31" t="n">
        <v>29.56345614557327</v>
      </c>
      <c r="Z47" s="31" t="n">
        <v>15.78140447453524</v>
      </c>
      <c r="AA47" s="31" t="n">
        <v>117.7273540125811</v>
      </c>
      <c r="AB47" s="31" t="n">
        <v>60.95518530405248</v>
      </c>
      <c r="AC47" s="31" t="n">
        <v>79.24025321166435</v>
      </c>
      <c r="AD47" s="31" t="n">
        <v>64.04446697927695</v>
      </c>
      <c r="AE47" s="31" t="n">
        <v>212.3746224247293</v>
      </c>
      <c r="AF47" s="31" t="n">
        <v>114.8357944970627</v>
      </c>
      <c r="AG47" s="31" t="n">
        <v>235.0504799898983</v>
      </c>
      <c r="AH47" s="31" t="n">
        <v>817.8935545213342</v>
      </c>
      <c r="AI47" s="31" t="n">
        <v>58609.88624361283</v>
      </c>
      <c r="AJ47" s="31" t="n">
        <v>16563.92934661697</v>
      </c>
      <c r="AK47" s="31" t="n">
        <v>144.6075355028784</v>
      </c>
      <c r="AL47" s="31" t="n">
        <v>55.9555007587466</v>
      </c>
      <c r="AM47" s="31" t="n">
        <v>356.5315640351117</v>
      </c>
      <c r="AN47" s="31" t="n">
        <v>83.68238871854271</v>
      </c>
      <c r="AO47" s="31" t="n">
        <v>31.98562330921189</v>
      </c>
      <c r="AP47" s="31" t="n">
        <v>711.6752767147924</v>
      </c>
      <c r="AQ47" s="31" t="n">
        <v>25663.10886381863</v>
      </c>
      <c r="AR47" s="31" t="n">
        <v>365.172680032517</v>
      </c>
      <c r="AS47" s="31" t="n">
        <v>17652.28085449637</v>
      </c>
      <c r="AT47" s="31" t="n">
        <v>6.246365625215418</v>
      </c>
      <c r="AU47" s="31" t="n">
        <v>3.492338097005152</v>
      </c>
      <c r="AV47" s="31" t="n">
        <v>35.04410173087258</v>
      </c>
      <c r="AW47" s="31" t="n">
        <v>9.273404048200852</v>
      </c>
      <c r="AX47" s="31" t="n">
        <v>52.23471866126262</v>
      </c>
      <c r="AY47" s="31" t="n">
        <v>1.221610918817147</v>
      </c>
      <c r="AZ47" s="31" t="n">
        <v>4.252867177160851</v>
      </c>
      <c r="BA47" s="31" t="n">
        <v>20.95628995456656</v>
      </c>
      <c r="BB47" s="31" t="n">
        <v>22.16382054813689</v>
      </c>
      <c r="BC47" s="31" t="n">
        <v>26.31347229653709</v>
      </c>
      <c r="BD47" s="31" t="n">
        <v>24.34099936197674</v>
      </c>
      <c r="BE47" s="31" t="n">
        <v>36.51378029655335</v>
      </c>
      <c r="BF47" s="31" t="n">
        <v>70.41171445201627</v>
      </c>
      <c r="BG47" s="31" t="n">
        <v>9.646056222527342</v>
      </c>
      <c r="BH47" s="31" t="n">
        <v>325.0974012380407</v>
      </c>
      <c r="BI47" s="31" t="n">
        <v>68.77462344558199</v>
      </c>
      <c r="BJ47" s="31" t="n">
        <v>5.22845261474135</v>
      </c>
      <c r="BK47" s="31" t="n">
        <v>1197.045631672464</v>
      </c>
      <c r="BL47" s="31" t="n">
        <v>308.1540246884175</v>
      </c>
      <c r="BM47" s="31" t="n">
        <v>27.21457282375442</v>
      </c>
      <c r="BN47" s="31" t="n">
        <v>312.9145676513247</v>
      </c>
      <c r="BO47" s="31" t="n">
        <v>25.77721583020123</v>
      </c>
      <c r="BP47" s="31" t="n">
        <v>20.94315979735777</v>
      </c>
      <c r="BQ47" s="31" t="n">
        <v>31.02193445519726</v>
      </c>
      <c r="BR47" s="31" t="n">
        <v>0</v>
      </c>
      <c r="BS47" s="31">
        <f>SUM(C47:BR47)</f>
        <v/>
      </c>
      <c r="BT47" s="31" t="n">
        <v>0</v>
      </c>
      <c r="BU47" s="31" t="n">
        <v>0</v>
      </c>
      <c r="BV47" s="31" t="n">
        <v>19831.07084810379</v>
      </c>
      <c r="BW47" s="31" t="n">
        <v>0</v>
      </c>
      <c r="BX47" s="31">
        <f>SUM(BT47:BW47)</f>
        <v/>
      </c>
      <c r="BY47" s="31">
        <f>BS47+BX47</f>
        <v/>
      </c>
    </row>
    <row r="48">
      <c r="A48" s="28" t="inlineStr">
        <is>
          <t>3000</t>
        </is>
      </c>
      <c r="B48" s="28" t="inlineStr">
        <is>
          <t>Fabricação de outros equipamentos de transporte, exceto veículos automotores</t>
        </is>
      </c>
      <c r="C48" s="29" t="n">
        <v>2.867040405723017</v>
      </c>
      <c r="D48" s="29" t="n">
        <v>2.038361427023508</v>
      </c>
      <c r="E48" s="29" t="n">
        <v>1.132345914263109</v>
      </c>
      <c r="F48" s="29" t="n">
        <v>8.869932681655026</v>
      </c>
      <c r="G48" s="29" t="n">
        <v>70.69192448635395</v>
      </c>
      <c r="H48" s="29" t="n">
        <v>81.15892557356248</v>
      </c>
      <c r="I48" s="29" t="n">
        <v>11.56005820811522</v>
      </c>
      <c r="J48" s="29" t="n">
        <v>53.94729206904424</v>
      </c>
      <c r="K48" s="29" t="n">
        <v>10.71393153049888</v>
      </c>
      <c r="L48" s="29" t="n">
        <v>37.26933323260233</v>
      </c>
      <c r="M48" s="29" t="n">
        <v>16.87661306024551</v>
      </c>
      <c r="N48" s="29" t="n">
        <v>1.524601827685599</v>
      </c>
      <c r="O48" s="29" t="n">
        <v>4.721069019586429</v>
      </c>
      <c r="P48" s="29" t="n">
        <v>13.90762247476673</v>
      </c>
      <c r="Q48" s="29" t="n">
        <v>6.11652175731499</v>
      </c>
      <c r="R48" s="29" t="n">
        <v>12.44403440046292</v>
      </c>
      <c r="S48" s="29" t="n">
        <v>39.4858580784525</v>
      </c>
      <c r="T48" s="29" t="n">
        <v>9.764776736997089</v>
      </c>
      <c r="U48" s="29" t="n">
        <v>13.15109111366742</v>
      </c>
      <c r="V48" s="29" t="n">
        <v>11.76911177516426</v>
      </c>
      <c r="W48" s="29" t="n">
        <v>28.19466689922934</v>
      </c>
      <c r="X48" s="29" t="n">
        <v>14.14977173516093</v>
      </c>
      <c r="Y48" s="29" t="n">
        <v>6.549420608894745</v>
      </c>
      <c r="Z48" s="29" t="n">
        <v>16.26131746720005</v>
      </c>
      <c r="AA48" s="29" t="n">
        <v>26.11493319076185</v>
      </c>
      <c r="AB48" s="29" t="n">
        <v>29.53515374540787</v>
      </c>
      <c r="AC48" s="29" t="n">
        <v>84.03262389804792</v>
      </c>
      <c r="AD48" s="29" t="n">
        <v>23.63995423392007</v>
      </c>
      <c r="AE48" s="29" t="n">
        <v>37.67598840996418</v>
      </c>
      <c r="AF48" s="29" t="n">
        <v>8.390028895426269</v>
      </c>
      <c r="AG48" s="29" t="n">
        <v>31.8959915328073</v>
      </c>
      <c r="AH48" s="29" t="n">
        <v>173.4488868695792</v>
      </c>
      <c r="AI48" s="29" t="n">
        <v>85.81917321038608</v>
      </c>
      <c r="AJ48" s="29" t="n">
        <v>35.50820178038401</v>
      </c>
      <c r="AK48" s="29" t="n">
        <v>5921.861641846668</v>
      </c>
      <c r="AL48" s="29" t="n">
        <v>20.44974930368627</v>
      </c>
      <c r="AM48" s="29" t="n">
        <v>1411.944642206886</v>
      </c>
      <c r="AN48" s="29" t="n">
        <v>20.15912549617607</v>
      </c>
      <c r="AO48" s="29" t="n">
        <v>13.17921406636144</v>
      </c>
      <c r="AP48" s="29" t="n">
        <v>91.24060242008026</v>
      </c>
      <c r="AQ48" s="29" t="n">
        <v>119.1843750120175</v>
      </c>
      <c r="AR48" s="29" t="n">
        <v>98.76596386180712</v>
      </c>
      <c r="AS48" s="29" t="n">
        <v>550.1633046427519</v>
      </c>
      <c r="AT48" s="29" t="n">
        <v>8.090517395434263</v>
      </c>
      <c r="AU48" s="29" t="n">
        <v>1.448153906278399</v>
      </c>
      <c r="AV48" s="29" t="n">
        <v>30.3630037223197</v>
      </c>
      <c r="AW48" s="29" t="n">
        <v>0.8159777558695213</v>
      </c>
      <c r="AX48" s="29" t="n">
        <v>7.711401661159355</v>
      </c>
      <c r="AY48" s="29" t="n">
        <v>4.349627519006643</v>
      </c>
      <c r="AZ48" s="29" t="n">
        <v>3.165709968467454</v>
      </c>
      <c r="BA48" s="29" t="n">
        <v>14.69595244946472</v>
      </c>
      <c r="BB48" s="29" t="n">
        <v>20.94787687986597</v>
      </c>
      <c r="BC48" s="29" t="n">
        <v>5.972638713467039</v>
      </c>
      <c r="BD48" s="29" t="n">
        <v>3.595076485140763</v>
      </c>
      <c r="BE48" s="29" t="n">
        <v>12.84448335395748</v>
      </c>
      <c r="BF48" s="29" t="n">
        <v>21.35139690131715</v>
      </c>
      <c r="BG48" s="29" t="n">
        <v>5.59017525300865</v>
      </c>
      <c r="BH48" s="29" t="n">
        <v>13.34435348549424</v>
      </c>
      <c r="BI48" s="29" t="n">
        <v>22.74944283502954</v>
      </c>
      <c r="BJ48" s="29" t="n">
        <v>2.544991164373708</v>
      </c>
      <c r="BK48" s="29" t="n">
        <v>113.9964560406162</v>
      </c>
      <c r="BL48" s="29" t="n">
        <v>6.071143114307597</v>
      </c>
      <c r="BM48" s="29" t="n">
        <v>2.480783526007533</v>
      </c>
      <c r="BN48" s="29" t="n">
        <v>29.04828493709741</v>
      </c>
      <c r="BO48" s="29" t="n">
        <v>62.49931681359633</v>
      </c>
      <c r="BP48" s="29" t="n">
        <v>6.211288800166038</v>
      </c>
      <c r="BQ48" s="29" t="n">
        <v>65.6129632639953</v>
      </c>
      <c r="BR48" s="29" t="n">
        <v>0</v>
      </c>
      <c r="BS48" s="29">
        <f>SUM(C48:BR48)</f>
        <v/>
      </c>
      <c r="BT48" s="29" t="n">
        <v>0</v>
      </c>
      <c r="BU48" s="29" t="n">
        <v>0</v>
      </c>
      <c r="BV48" s="29" t="n">
        <v>40801.27992834821</v>
      </c>
      <c r="BW48" s="29" t="n">
        <v>0</v>
      </c>
      <c r="BX48" s="29">
        <f>SUM(BT48:BW48)</f>
        <v/>
      </c>
      <c r="BY48" s="29">
        <f>BS48+BX48</f>
        <v/>
      </c>
    </row>
    <row r="49">
      <c r="A49" s="30" t="inlineStr">
        <is>
          <t>3180</t>
        </is>
      </c>
      <c r="B49" s="30" t="inlineStr">
        <is>
          <t>Fabricação de móveis e de produtos de indústrias diversas</t>
        </is>
      </c>
      <c r="C49" s="31" t="n">
        <v>60.92813625792599</v>
      </c>
      <c r="D49" s="31" t="n">
        <v>44.71963915295225</v>
      </c>
      <c r="E49" s="31" t="n">
        <v>10.63575118109821</v>
      </c>
      <c r="F49" s="31" t="n">
        <v>10.04972556849292</v>
      </c>
      <c r="G49" s="31" t="n">
        <v>139.1814552168177</v>
      </c>
      <c r="H49" s="31" t="n">
        <v>133.5990994453282</v>
      </c>
      <c r="I49" s="31" t="n">
        <v>15.85337333686491</v>
      </c>
      <c r="J49" s="31" t="n">
        <v>189.4954637466308</v>
      </c>
      <c r="K49" s="31" t="n">
        <v>22.46153245800054</v>
      </c>
      <c r="L49" s="31" t="n">
        <v>217.7954660708262</v>
      </c>
      <c r="M49" s="31" t="n">
        <v>107.6587164879385</v>
      </c>
      <c r="N49" s="31" t="n">
        <v>4.224439791567209</v>
      </c>
      <c r="O49" s="31" t="n">
        <v>113.1671453162051</v>
      </c>
      <c r="P49" s="31" t="n">
        <v>1147.841264483902</v>
      </c>
      <c r="Q49" s="31" t="n">
        <v>197.6698593116429</v>
      </c>
      <c r="R49" s="31" t="n">
        <v>69.4726315817541</v>
      </c>
      <c r="S49" s="31" t="n">
        <v>77.21184246643114</v>
      </c>
      <c r="T49" s="31" t="n">
        <v>18.52178020909699</v>
      </c>
      <c r="U49" s="31" t="n">
        <v>32.99653673729596</v>
      </c>
      <c r="V49" s="31" t="n">
        <v>15.82375514880045</v>
      </c>
      <c r="W49" s="31" t="n">
        <v>209.5787416020261</v>
      </c>
      <c r="X49" s="31" t="n">
        <v>104.7937239842595</v>
      </c>
      <c r="Y49" s="31" t="n">
        <v>45.85090700245739</v>
      </c>
      <c r="Z49" s="31" t="n">
        <v>105.912946944365</v>
      </c>
      <c r="AA49" s="31" t="n">
        <v>304.9501122345944</v>
      </c>
      <c r="AB49" s="31" t="n">
        <v>203.0379563397505</v>
      </c>
      <c r="AC49" s="31" t="n">
        <v>69.44588624078843</v>
      </c>
      <c r="AD49" s="31" t="n">
        <v>37.18200148658349</v>
      </c>
      <c r="AE49" s="31" t="n">
        <v>160.7363282072953</v>
      </c>
      <c r="AF49" s="31" t="n">
        <v>122.1621408180045</v>
      </c>
      <c r="AG49" s="31" t="n">
        <v>132.7603593467747</v>
      </c>
      <c r="AH49" s="31" t="n">
        <v>747.7028171356745</v>
      </c>
      <c r="AI49" s="31" t="n">
        <v>315.5810356491513</v>
      </c>
      <c r="AJ49" s="31" t="n">
        <v>622.3117046609466</v>
      </c>
      <c r="AK49" s="31" t="n">
        <v>58.46880045213026</v>
      </c>
      <c r="AL49" s="31" t="n">
        <v>3180.821697312765</v>
      </c>
      <c r="AM49" s="31" t="n">
        <v>225.1070736839626</v>
      </c>
      <c r="AN49" s="31" t="n">
        <v>70.82464139015879</v>
      </c>
      <c r="AO49" s="31" t="n">
        <v>56.56736497736965</v>
      </c>
      <c r="AP49" s="31" t="n">
        <v>1174.500389238386</v>
      </c>
      <c r="AQ49" s="31" t="n">
        <v>73.72884192096822</v>
      </c>
      <c r="AR49" s="31" t="n">
        <v>716.3421181979566</v>
      </c>
      <c r="AS49" s="31" t="n">
        <v>117.6849213324193</v>
      </c>
      <c r="AT49" s="31" t="n">
        <v>110.8808228822402</v>
      </c>
      <c r="AU49" s="31" t="n">
        <v>1.91517669806221</v>
      </c>
      <c r="AV49" s="31" t="n">
        <v>206.3407887461799</v>
      </c>
      <c r="AW49" s="31" t="n">
        <v>12.98998541678142</v>
      </c>
      <c r="AX49" s="31" t="n">
        <v>46.74870356227925</v>
      </c>
      <c r="AY49" s="31" t="n">
        <v>6.214345638622995</v>
      </c>
      <c r="AZ49" s="31" t="n">
        <v>42.05224679622914</v>
      </c>
      <c r="BA49" s="31" t="n">
        <v>33.57260155140366</v>
      </c>
      <c r="BB49" s="31" t="n">
        <v>112.9104385951155</v>
      </c>
      <c r="BC49" s="31" t="n">
        <v>150.4665884296056</v>
      </c>
      <c r="BD49" s="31" t="n">
        <v>134.825281025662</v>
      </c>
      <c r="BE49" s="31" t="n">
        <v>240.3161077637319</v>
      </c>
      <c r="BF49" s="31" t="n">
        <v>361.6963199649635</v>
      </c>
      <c r="BG49" s="31" t="n">
        <v>354.5647059231925</v>
      </c>
      <c r="BH49" s="31" t="n">
        <v>479.2511190168505</v>
      </c>
      <c r="BI49" s="31" t="n">
        <v>183.3336400577988</v>
      </c>
      <c r="BJ49" s="31" t="n">
        <v>18.94302776276731</v>
      </c>
      <c r="BK49" s="31" t="n">
        <v>703.5928472129544</v>
      </c>
      <c r="BL49" s="31" t="n">
        <v>849.50887335536</v>
      </c>
      <c r="BM49" s="31" t="n">
        <v>38.60753542736104</v>
      </c>
      <c r="BN49" s="31" t="n">
        <v>3568.113547407767</v>
      </c>
      <c r="BO49" s="31" t="n">
        <v>11505.84177062556</v>
      </c>
      <c r="BP49" s="31" t="n">
        <v>129.9582618807732</v>
      </c>
      <c r="BQ49" s="31" t="n">
        <v>122.4222698253977</v>
      </c>
      <c r="BR49" s="31" t="n">
        <v>0</v>
      </c>
      <c r="BS49" s="31">
        <f>SUM(C49:BR49)</f>
        <v/>
      </c>
      <c r="BT49" s="31" t="n">
        <v>0</v>
      </c>
      <c r="BU49" s="31" t="n">
        <v>0</v>
      </c>
      <c r="BV49" s="31" t="n">
        <v>82156.4425508643</v>
      </c>
      <c r="BW49" s="31" t="n">
        <v>0</v>
      </c>
      <c r="BX49" s="31">
        <f>SUM(BT49:BW49)</f>
        <v/>
      </c>
      <c r="BY49" s="31">
        <f>BS49+BX49</f>
        <v/>
      </c>
    </row>
    <row r="50">
      <c r="A50" s="28" t="inlineStr">
        <is>
          <t>3300</t>
        </is>
      </c>
      <c r="B50" s="28" t="inlineStr">
        <is>
          <t>Manutenção, reparação e instalação de máquinas e equipamentos</t>
        </is>
      </c>
      <c r="C50" s="29" t="n">
        <v>174.3151466939137</v>
      </c>
      <c r="D50" s="29" t="n">
        <v>65.10505772200685</v>
      </c>
      <c r="E50" s="29" t="n">
        <v>138.7435897911961</v>
      </c>
      <c r="F50" s="29" t="n">
        <v>1154.276141199971</v>
      </c>
      <c r="G50" s="29" t="n">
        <v>3782.558616716327</v>
      </c>
      <c r="H50" s="29" t="n">
        <v>3286.829157796049</v>
      </c>
      <c r="I50" s="29" t="n">
        <v>792.8334566271981</v>
      </c>
      <c r="J50" s="29" t="n">
        <v>1682.652958801606</v>
      </c>
      <c r="K50" s="29" t="n">
        <v>1177.801920645741</v>
      </c>
      <c r="L50" s="29" t="n">
        <v>903.4095955078261</v>
      </c>
      <c r="M50" s="29" t="n">
        <v>564.6977977039162</v>
      </c>
      <c r="N50" s="29" t="n">
        <v>20.25732281929375</v>
      </c>
      <c r="O50" s="29" t="n">
        <v>192.2784604834281</v>
      </c>
      <c r="P50" s="29" t="n">
        <v>294.4328451897863</v>
      </c>
      <c r="Q50" s="29" t="n">
        <v>173.6758721074813</v>
      </c>
      <c r="R50" s="29" t="n">
        <v>1146.587056264152</v>
      </c>
      <c r="S50" s="29" t="n">
        <v>4329.308894148617</v>
      </c>
      <c r="T50" s="29" t="n">
        <v>1362.600386209768</v>
      </c>
      <c r="U50" s="29" t="n">
        <v>1489.461228051305</v>
      </c>
      <c r="V50" s="29" t="n">
        <v>1248.332375369611</v>
      </c>
      <c r="W50" s="29" t="n">
        <v>2600.175382039399</v>
      </c>
      <c r="X50" s="29" t="n">
        <v>905.6232305680359</v>
      </c>
      <c r="Y50" s="29" t="n">
        <v>254.6658291290339</v>
      </c>
      <c r="Z50" s="29" t="n">
        <v>811.781420538976</v>
      </c>
      <c r="AA50" s="29" t="n">
        <v>767.9760430537183</v>
      </c>
      <c r="AB50" s="29" t="n">
        <v>3150.826545886996</v>
      </c>
      <c r="AC50" s="29" t="n">
        <v>10742.29651379757</v>
      </c>
      <c r="AD50" s="29" t="n">
        <v>2818.745478216269</v>
      </c>
      <c r="AE50" s="29" t="n">
        <v>970.86104155563</v>
      </c>
      <c r="AF50" s="29" t="n">
        <v>140.7779244796714</v>
      </c>
      <c r="AG50" s="29" t="n">
        <v>684.2556829335869</v>
      </c>
      <c r="AH50" s="29" t="n">
        <v>2545.382229231636</v>
      </c>
      <c r="AI50" s="29" t="n">
        <v>237.5189317130591</v>
      </c>
      <c r="AJ50" s="29" t="n">
        <v>781.2430088803737</v>
      </c>
      <c r="AK50" s="29" t="n">
        <v>211.9252834793279</v>
      </c>
      <c r="AL50" s="29" t="n">
        <v>958.5741497793084</v>
      </c>
      <c r="AM50" s="29" t="n">
        <v>1152.650112305549</v>
      </c>
      <c r="AN50" s="29" t="n">
        <v>1862.570654377995</v>
      </c>
      <c r="AO50" s="29" t="n">
        <v>1581.521993156555</v>
      </c>
      <c r="AP50" s="29" t="n">
        <v>2380.823480027344</v>
      </c>
      <c r="AQ50" s="29" t="n">
        <v>837.7334573211912</v>
      </c>
      <c r="AR50" s="29" t="n">
        <v>6250.762476733994</v>
      </c>
      <c r="AS50" s="29" t="n">
        <v>689.6668893615986</v>
      </c>
      <c r="AT50" s="29" t="n">
        <v>978.2770644190782</v>
      </c>
      <c r="AU50" s="29" t="n">
        <v>215.3925827965348</v>
      </c>
      <c r="AV50" s="29" t="n">
        <v>4091.897755747729</v>
      </c>
      <c r="AW50" s="29" t="n">
        <v>9.242062272765006</v>
      </c>
      <c r="AX50" s="29" t="n">
        <v>376.3665033928816</v>
      </c>
      <c r="AY50" s="29" t="n">
        <v>480.8140902196932</v>
      </c>
      <c r="AZ50" s="29" t="n">
        <v>166.3965164527045</v>
      </c>
      <c r="BA50" s="29" t="n">
        <v>491.359302197062</v>
      </c>
      <c r="BB50" s="29" t="n">
        <v>2153.869177838169</v>
      </c>
      <c r="BC50" s="29" t="n">
        <v>441.6610861609734</v>
      </c>
      <c r="BD50" s="29" t="n">
        <v>207.461547941518</v>
      </c>
      <c r="BE50" s="29" t="n">
        <v>1139.606029408184</v>
      </c>
      <c r="BF50" s="29" t="n">
        <v>265.4525012461081</v>
      </c>
      <c r="BG50" s="29" t="n">
        <v>331.8507049868406</v>
      </c>
      <c r="BH50" s="29" t="n">
        <v>1445.045874143637</v>
      </c>
      <c r="BI50" s="29" t="n">
        <v>1531.559324348003</v>
      </c>
      <c r="BJ50" s="29" t="n">
        <v>300.5020291099497</v>
      </c>
      <c r="BK50" s="29" t="n">
        <v>1373.474071594049</v>
      </c>
      <c r="BL50" s="29" t="n">
        <v>160.5165896030729</v>
      </c>
      <c r="BM50" s="29" t="n">
        <v>1.595927654045995</v>
      </c>
      <c r="BN50" s="29" t="n">
        <v>1561.968744453544</v>
      </c>
      <c r="BO50" s="29" t="n">
        <v>933.8068156346692</v>
      </c>
      <c r="BP50" s="29" t="n">
        <v>600.4916569184526</v>
      </c>
      <c r="BQ50" s="29" t="n">
        <v>822.7617192639603</v>
      </c>
      <c r="BR50" s="29" t="n">
        <v>0</v>
      </c>
      <c r="BS50" s="29">
        <f>SUM(C50:BR50)</f>
        <v/>
      </c>
      <c r="BT50" s="29" t="n">
        <v>0</v>
      </c>
      <c r="BU50" s="29" t="n">
        <v>0</v>
      </c>
      <c r="BV50" s="29" t="n">
        <v>20539.02802354624</v>
      </c>
      <c r="BW50" s="29" t="n">
        <v>0</v>
      </c>
      <c r="BX50" s="29">
        <f>SUM(BT50:BW50)</f>
        <v/>
      </c>
      <c r="BY50" s="29">
        <f>BS50+BX50</f>
        <v/>
      </c>
    </row>
    <row r="51">
      <c r="A51" s="30" t="inlineStr">
        <is>
          <t>3500</t>
        </is>
      </c>
      <c r="B51" s="30" t="inlineStr">
        <is>
          <t>Energia elétrica, gás natural e outras utilidades</t>
        </is>
      </c>
      <c r="C51" s="31" t="n">
        <v>10066.65664726921</v>
      </c>
      <c r="D51" s="31" t="n">
        <v>6320.311152399359</v>
      </c>
      <c r="E51" s="31" t="n">
        <v>596.0356897017516</v>
      </c>
      <c r="F51" s="31" t="n">
        <v>914.3717239518808</v>
      </c>
      <c r="G51" s="31" t="n">
        <v>398.3250334421265</v>
      </c>
      <c r="H51" s="31" t="n">
        <v>2297.27457876604</v>
      </c>
      <c r="I51" s="31" t="n">
        <v>415.2886029974867</v>
      </c>
      <c r="J51" s="31" t="n">
        <v>2194.256935878794</v>
      </c>
      <c r="K51" s="31" t="n">
        <v>117.788033159998</v>
      </c>
      <c r="L51" s="31" t="n">
        <v>3955.475491994159</v>
      </c>
      <c r="M51" s="31" t="n">
        <v>829.7074281745965</v>
      </c>
      <c r="N51" s="31" t="n">
        <v>77.72196493274095</v>
      </c>
      <c r="O51" s="31" t="n">
        <v>1708.842406064513</v>
      </c>
      <c r="P51" s="31" t="n">
        <v>246.6718632056614</v>
      </c>
      <c r="Q51" s="31" t="n">
        <v>265.4773936781127</v>
      </c>
      <c r="R51" s="31" t="n">
        <v>1520.608782298499</v>
      </c>
      <c r="S51" s="31" t="n">
        <v>3085.363295503783</v>
      </c>
      <c r="T51" s="31" t="n">
        <v>135.5812540304469</v>
      </c>
      <c r="U51" s="31" t="n">
        <v>71.01422805385455</v>
      </c>
      <c r="V51" s="31" t="n">
        <v>600.9559498201392</v>
      </c>
      <c r="W51" s="31" t="n">
        <v>7456.557622719805</v>
      </c>
      <c r="X51" s="31" t="n">
        <v>897.1261299313527</v>
      </c>
      <c r="Y51" s="31" t="n">
        <v>240.2644073323028</v>
      </c>
      <c r="Z51" s="31" t="n">
        <v>374.6396824496128</v>
      </c>
      <c r="AA51" s="31" t="n">
        <v>2873.597054617161</v>
      </c>
      <c r="AB51" s="31" t="n">
        <v>4731.381181579284</v>
      </c>
      <c r="AC51" s="31" t="n">
        <v>3704.504416598522</v>
      </c>
      <c r="AD51" s="31" t="n">
        <v>3668.339421339966</v>
      </c>
      <c r="AE51" s="31" t="n">
        <v>1523.975895061926</v>
      </c>
      <c r="AF51" s="31" t="n">
        <v>192.0761817725768</v>
      </c>
      <c r="AG51" s="31" t="n">
        <v>700.8086842866154</v>
      </c>
      <c r="AH51" s="31" t="n">
        <v>882.6287883159956</v>
      </c>
      <c r="AI51" s="31" t="n">
        <v>586.5171219267346</v>
      </c>
      <c r="AJ51" s="31" t="n">
        <v>1328.179866186653</v>
      </c>
      <c r="AK51" s="31" t="n">
        <v>211.9019996745484</v>
      </c>
      <c r="AL51" s="31" t="n">
        <v>474.3174073428814</v>
      </c>
      <c r="AM51" s="31" t="n">
        <v>267.6427573550226</v>
      </c>
      <c r="AN51" s="31" t="n">
        <v>158253.0369836194</v>
      </c>
      <c r="AO51" s="31" t="n">
        <v>4853.059745042725</v>
      </c>
      <c r="AP51" s="31" t="n">
        <v>773.5764862007577</v>
      </c>
      <c r="AQ51" s="31" t="n">
        <v>2227.252710323588</v>
      </c>
      <c r="AR51" s="31" t="n">
        <v>29845.23930980514</v>
      </c>
      <c r="AS51" s="31" t="n">
        <v>2129.521899503518</v>
      </c>
      <c r="AT51" s="31" t="n">
        <v>86.1890015068365</v>
      </c>
      <c r="AU51" s="31" t="n">
        <v>45.9630012984635</v>
      </c>
      <c r="AV51" s="31" t="n">
        <v>2035.585773837702</v>
      </c>
      <c r="AW51" s="31" t="n">
        <v>2111.307357915163</v>
      </c>
      <c r="AX51" s="31" t="n">
        <v>2222.664207471248</v>
      </c>
      <c r="AY51" s="31" t="n">
        <v>150.3985097141429</v>
      </c>
      <c r="AZ51" s="31" t="n">
        <v>582.7950686093407</v>
      </c>
      <c r="BA51" s="31" t="n">
        <v>2549.419333649687</v>
      </c>
      <c r="BB51" s="31" t="n">
        <v>1427.212717534626</v>
      </c>
      <c r="BC51" s="31" t="n">
        <v>2985.135182033465</v>
      </c>
      <c r="BD51" s="31" t="n">
        <v>1257.96973915293</v>
      </c>
      <c r="BE51" s="31" t="n">
        <v>1951.307681712517</v>
      </c>
      <c r="BF51" s="31" t="n">
        <v>450.9064349828918</v>
      </c>
      <c r="BG51" s="31" t="n">
        <v>537.4763862424372</v>
      </c>
      <c r="BH51" s="31" t="n">
        <v>314.2219353610939</v>
      </c>
      <c r="BI51" s="31" t="n">
        <v>9661.322673496154</v>
      </c>
      <c r="BJ51" s="31" t="n">
        <v>146.6730618873166</v>
      </c>
      <c r="BK51" s="31" t="n">
        <v>6294.426017497407</v>
      </c>
      <c r="BL51" s="31" t="n">
        <v>1963.015831238902</v>
      </c>
      <c r="BM51" s="31" t="n">
        <v>3751.233662791392</v>
      </c>
      <c r="BN51" s="31" t="n">
        <v>1694.592611123708</v>
      </c>
      <c r="BO51" s="31" t="n">
        <v>2254.595351358264</v>
      </c>
      <c r="BP51" s="31" t="n">
        <v>1564.368029146996</v>
      </c>
      <c r="BQ51" s="31" t="n">
        <v>3919.250667446914</v>
      </c>
      <c r="BR51" s="31" t="n">
        <v>0</v>
      </c>
      <c r="BS51" s="31">
        <f>SUM(C51:BR51)</f>
        <v/>
      </c>
      <c r="BT51" s="31" t="n">
        <v>0</v>
      </c>
      <c r="BU51" s="31" t="n">
        <v>0</v>
      </c>
      <c r="BV51" s="31" t="n">
        <v>141724.0303949607</v>
      </c>
      <c r="BW51" s="31" t="n">
        <v>0</v>
      </c>
      <c r="BX51" s="31">
        <f>SUM(BT51:BW51)</f>
        <v/>
      </c>
      <c r="BY51" s="31">
        <f>BS51+BX51</f>
        <v/>
      </c>
    </row>
    <row r="52">
      <c r="A52" s="28" t="inlineStr">
        <is>
          <t>3680</t>
        </is>
      </c>
      <c r="B52" s="28" t="inlineStr">
        <is>
          <t>Água, esgoto e gestão de resíduos</t>
        </is>
      </c>
      <c r="C52" s="29" t="n">
        <v>23.19714347873856</v>
      </c>
      <c r="D52" s="29" t="n">
        <v>3.040256487590122</v>
      </c>
      <c r="E52" s="29" t="n">
        <v>2.536229474718827</v>
      </c>
      <c r="F52" s="29" t="n">
        <v>43.20622808304801</v>
      </c>
      <c r="G52" s="29" t="n">
        <v>112.2769131861497</v>
      </c>
      <c r="H52" s="29" t="n">
        <v>647.9154005395494</v>
      </c>
      <c r="I52" s="29" t="n">
        <v>80.2170576873519</v>
      </c>
      <c r="J52" s="29" t="n">
        <v>267.0935999697193</v>
      </c>
      <c r="K52" s="29" t="n">
        <v>96.72199895254417</v>
      </c>
      <c r="L52" s="29" t="n">
        <v>541.8187609216778</v>
      </c>
      <c r="M52" s="29" t="n">
        <v>695.5700791518096</v>
      </c>
      <c r="N52" s="29" t="n">
        <v>1.309901850198211</v>
      </c>
      <c r="O52" s="29" t="n">
        <v>101.9066974098469</v>
      </c>
      <c r="P52" s="29" t="n">
        <v>37.37472389881095</v>
      </c>
      <c r="Q52" s="29" t="n">
        <v>35.92625297937374</v>
      </c>
      <c r="R52" s="29" t="n">
        <v>477.1174039591836</v>
      </c>
      <c r="S52" s="29" t="n">
        <v>693.6217994642311</v>
      </c>
      <c r="T52" s="29" t="n">
        <v>7.697247881449893</v>
      </c>
      <c r="U52" s="29" t="n">
        <v>654.2279026263985</v>
      </c>
      <c r="V52" s="29" t="n">
        <v>203.3678969008965</v>
      </c>
      <c r="W52" s="29" t="n">
        <v>1314.758308871547</v>
      </c>
      <c r="X52" s="29" t="n">
        <v>650.3077684889342</v>
      </c>
      <c r="Y52" s="29" t="n">
        <v>191.0121834484751</v>
      </c>
      <c r="Z52" s="29" t="n">
        <v>113.4481655631905</v>
      </c>
      <c r="AA52" s="29" t="n">
        <v>774.6138115971105</v>
      </c>
      <c r="AB52" s="29" t="n">
        <v>1438.593274334457</v>
      </c>
      <c r="AC52" s="29" t="n">
        <v>6404.286808888955</v>
      </c>
      <c r="AD52" s="29" t="n">
        <v>2925.65354949474</v>
      </c>
      <c r="AE52" s="29" t="n">
        <v>253.3341853130504</v>
      </c>
      <c r="AF52" s="29" t="n">
        <v>28.11264613682412</v>
      </c>
      <c r="AG52" s="29" t="n">
        <v>80.31391659709891</v>
      </c>
      <c r="AH52" s="29" t="n">
        <v>138.5651785513163</v>
      </c>
      <c r="AI52" s="29" t="n">
        <v>140.7625862441372</v>
      </c>
      <c r="AJ52" s="29" t="n">
        <v>433.5238702878214</v>
      </c>
      <c r="AK52" s="29" t="n">
        <v>103.7256761896566</v>
      </c>
      <c r="AL52" s="29" t="n">
        <v>111.5620891632043</v>
      </c>
      <c r="AM52" s="29" t="n">
        <v>29.25542902924482</v>
      </c>
      <c r="AN52" s="29" t="n">
        <v>155.6430100450453</v>
      </c>
      <c r="AO52" s="29" t="n">
        <v>1494.534993474664</v>
      </c>
      <c r="AP52" s="29" t="n">
        <v>360.1555964542604</v>
      </c>
      <c r="AQ52" s="29" t="n">
        <v>645.9574700157231</v>
      </c>
      <c r="AR52" s="29" t="n">
        <v>6216.224122396686</v>
      </c>
      <c r="AS52" s="29" t="n">
        <v>580.0709269629161</v>
      </c>
      <c r="AT52" s="29" t="n">
        <v>14.85799216445613</v>
      </c>
      <c r="AU52" s="29" t="n">
        <v>8.274936208555925</v>
      </c>
      <c r="AV52" s="29" t="n">
        <v>1247.357805313937</v>
      </c>
      <c r="AW52" s="29" t="n">
        <v>711.319705329919</v>
      </c>
      <c r="AX52" s="29" t="n">
        <v>1239.809671152752</v>
      </c>
      <c r="AY52" s="29" t="n">
        <v>34.34262261823341</v>
      </c>
      <c r="AZ52" s="29" t="n">
        <v>94.46859648484352</v>
      </c>
      <c r="BA52" s="29" t="n">
        <v>68.32435137200773</v>
      </c>
      <c r="BB52" s="29" t="n">
        <v>272.5252258227976</v>
      </c>
      <c r="BC52" s="29" t="n">
        <v>780.4230321208777</v>
      </c>
      <c r="BD52" s="29" t="n">
        <v>539.5666178717121</v>
      </c>
      <c r="BE52" s="29" t="n">
        <v>1025.665573469055</v>
      </c>
      <c r="BF52" s="29" t="n">
        <v>126.7438227688663</v>
      </c>
      <c r="BG52" s="29" t="n">
        <v>94.2721988630589</v>
      </c>
      <c r="BH52" s="29" t="n">
        <v>94.5474182443122</v>
      </c>
      <c r="BI52" s="29" t="n">
        <v>6884.202433812753</v>
      </c>
      <c r="BJ52" s="29" t="n">
        <v>42.22215920936593</v>
      </c>
      <c r="BK52" s="29" t="n">
        <v>11624.68167699163</v>
      </c>
      <c r="BL52" s="29" t="n">
        <v>1561.025989243587</v>
      </c>
      <c r="BM52" s="29" t="n">
        <v>402.647195396667</v>
      </c>
      <c r="BN52" s="29" t="n">
        <v>2234.416954859895</v>
      </c>
      <c r="BO52" s="29" t="n">
        <v>2560.326026359681</v>
      </c>
      <c r="BP52" s="29" t="n">
        <v>171.5305918190363</v>
      </c>
      <c r="BQ52" s="29" t="n">
        <v>2778.587283016194</v>
      </c>
      <c r="BR52" s="29" t="n">
        <v>0</v>
      </c>
      <c r="BS52" s="29">
        <f>SUM(C52:BR52)</f>
        <v/>
      </c>
      <c r="BT52" s="29" t="n">
        <v>0</v>
      </c>
      <c r="BU52" s="29" t="n">
        <v>0</v>
      </c>
      <c r="BV52" s="29" t="n">
        <v>43165.30105703346</v>
      </c>
      <c r="BW52" s="29" t="n">
        <v>0</v>
      </c>
      <c r="BX52" s="29">
        <f>SUM(BT52:BW52)</f>
        <v/>
      </c>
      <c r="BY52" s="29">
        <f>BS52+BX52</f>
        <v/>
      </c>
    </row>
    <row r="53">
      <c r="A53" s="30" t="inlineStr">
        <is>
          <t>4180</t>
        </is>
      </c>
      <c r="B53" s="30" t="inlineStr">
        <is>
          <t>Construção</t>
        </is>
      </c>
      <c r="C53" s="31" t="n">
        <v>110.0018940275804</v>
      </c>
      <c r="D53" s="31" t="n">
        <v>197.9089784286833</v>
      </c>
      <c r="E53" s="31" t="n">
        <v>13.43244274525033</v>
      </c>
      <c r="F53" s="31" t="n">
        <v>7.103887271006675</v>
      </c>
      <c r="G53" s="31" t="n">
        <v>1804.852842698409</v>
      </c>
      <c r="H53" s="31" t="n">
        <v>5002.571257154178</v>
      </c>
      <c r="I53" s="31" t="n">
        <v>353.2948617382663</v>
      </c>
      <c r="J53" s="31" t="n">
        <v>19.90273105455643</v>
      </c>
      <c r="K53" s="31" t="n">
        <v>15.03205367743311</v>
      </c>
      <c r="L53" s="31" t="n">
        <v>30.06566473334812</v>
      </c>
      <c r="M53" s="31" t="n">
        <v>6.318105340582654</v>
      </c>
      <c r="N53" s="31" t="n">
        <v>1.346661525384386</v>
      </c>
      <c r="O53" s="31" t="n">
        <v>33.09905939139997</v>
      </c>
      <c r="P53" s="31" t="n">
        <v>7.572898103196788</v>
      </c>
      <c r="Q53" s="31" t="n">
        <v>2.110765905490612</v>
      </c>
      <c r="R53" s="31" t="n">
        <v>3.523803241585683</v>
      </c>
      <c r="S53" s="31" t="n">
        <v>55.26862897585382</v>
      </c>
      <c r="T53" s="31" t="n">
        <v>19.56804961907405</v>
      </c>
      <c r="U53" s="31" t="n">
        <v>50.72254828596803</v>
      </c>
      <c r="V53" s="31" t="n">
        <v>72.00045518082895</v>
      </c>
      <c r="W53" s="31" t="n">
        <v>107.5840472610412</v>
      </c>
      <c r="X53" s="31" t="n">
        <v>11.22492811307706</v>
      </c>
      <c r="Y53" s="31" t="n">
        <v>4.013973862941115</v>
      </c>
      <c r="Z53" s="31" t="n">
        <v>7.38888373751079</v>
      </c>
      <c r="AA53" s="31" t="n">
        <v>18.95263694718587</v>
      </c>
      <c r="AB53" s="31" t="n">
        <v>43.05085409256791</v>
      </c>
      <c r="AC53" s="31" t="n">
        <v>140.7822448634988</v>
      </c>
      <c r="AD53" s="31" t="n">
        <v>2756.308333129841</v>
      </c>
      <c r="AE53" s="31" t="n">
        <v>89.68966885854225</v>
      </c>
      <c r="AF53" s="31" t="n">
        <v>79.76047986754722</v>
      </c>
      <c r="AG53" s="31" t="n">
        <v>13.38129642572456</v>
      </c>
      <c r="AH53" s="31" t="n">
        <v>103.0439980423953</v>
      </c>
      <c r="AI53" s="31" t="n">
        <v>229.1819314888647</v>
      </c>
      <c r="AJ53" s="31" t="n">
        <v>43.28811414505702</v>
      </c>
      <c r="AK53" s="31" t="n">
        <v>216.0622410814355</v>
      </c>
      <c r="AL53" s="31" t="n">
        <v>24.17421124799474</v>
      </c>
      <c r="AM53" s="31" t="n">
        <v>6.074245567977923</v>
      </c>
      <c r="AN53" s="31" t="n">
        <v>16.60047390484111</v>
      </c>
      <c r="AO53" s="31" t="n">
        <v>4201.123491842206</v>
      </c>
      <c r="AP53" s="31" t="n">
        <v>59469.09655615449</v>
      </c>
      <c r="AQ53" s="31" t="n">
        <v>608.0411664684198</v>
      </c>
      <c r="AR53" s="31" t="n">
        <v>1646.138939158468</v>
      </c>
      <c r="AS53" s="31" t="n">
        <v>345.0107740174407</v>
      </c>
      <c r="AT53" s="31" t="n">
        <v>24.40601026250013</v>
      </c>
      <c r="AU53" s="31" t="n">
        <v>26.1400329992886</v>
      </c>
      <c r="AV53" s="31" t="n">
        <v>1944.483006258011</v>
      </c>
      <c r="AW53" s="31" t="n">
        <v>297.7770094577559</v>
      </c>
      <c r="AX53" s="31" t="n">
        <v>530.3474379304809</v>
      </c>
      <c r="AY53" s="31" t="n">
        <v>14.78267769927453</v>
      </c>
      <c r="AZ53" s="31" t="n">
        <v>222.6698062502389</v>
      </c>
      <c r="BA53" s="31" t="n">
        <v>3667.525331853189</v>
      </c>
      <c r="BB53" s="31" t="n">
        <v>1438.702302958057</v>
      </c>
      <c r="BC53" s="31" t="n">
        <v>1056.102805766918</v>
      </c>
      <c r="BD53" s="31" t="n">
        <v>1608.327980923881</v>
      </c>
      <c r="BE53" s="31" t="n">
        <v>406.684065072134</v>
      </c>
      <c r="BF53" s="31" t="n">
        <v>912.7384814307374</v>
      </c>
      <c r="BG53" s="31" t="n">
        <v>37.3460360740152</v>
      </c>
      <c r="BH53" s="31" t="n">
        <v>264.2039309741783</v>
      </c>
      <c r="BI53" s="31" t="n">
        <v>2794.073301737853</v>
      </c>
      <c r="BJ53" s="31" t="n">
        <v>18.19683414370376</v>
      </c>
      <c r="BK53" s="31" t="n">
        <v>14919.18129938094</v>
      </c>
      <c r="BL53" s="31" t="n">
        <v>1745.912681960075</v>
      </c>
      <c r="BM53" s="31" t="n">
        <v>553.2782135781331</v>
      </c>
      <c r="BN53" s="31" t="n">
        <v>4857.118534381485</v>
      </c>
      <c r="BO53" s="31" t="n">
        <v>52.84657446699801</v>
      </c>
      <c r="BP53" s="31" t="n">
        <v>176.4271235742919</v>
      </c>
      <c r="BQ53" s="31" t="n">
        <v>385.6550147665976</v>
      </c>
      <c r="BR53" s="31" t="n">
        <v>0</v>
      </c>
      <c r="BS53" s="31">
        <f>SUM(C53:BR53)</f>
        <v/>
      </c>
      <c r="BT53" s="31" t="n">
        <v>0</v>
      </c>
      <c r="BU53" s="31" t="n">
        <v>0</v>
      </c>
      <c r="BV53" s="31" t="n">
        <v>588400.4024267221</v>
      </c>
      <c r="BW53" s="31" t="n">
        <v>0</v>
      </c>
      <c r="BX53" s="31">
        <f>SUM(BT53:BW53)</f>
        <v/>
      </c>
      <c r="BY53" s="31">
        <f>BS53+BX53</f>
        <v/>
      </c>
    </row>
    <row r="54">
      <c r="A54" s="28" t="inlineStr">
        <is>
          <t>4500</t>
        </is>
      </c>
      <c r="B54" s="28" t="inlineStr">
        <is>
          <t>Comércio e reparação de veículos automotores e motocicletas</t>
        </is>
      </c>
      <c r="C54" s="29" t="n">
        <v>691.9605421841703</v>
      </c>
      <c r="D54" s="29" t="n">
        <v>134.9266188545308</v>
      </c>
      <c r="E54" s="29" t="n">
        <v>48.84755953266131</v>
      </c>
      <c r="F54" s="29" t="n">
        <v>190.9924024247807</v>
      </c>
      <c r="G54" s="29" t="n">
        <v>328.5764492872545</v>
      </c>
      <c r="H54" s="29" t="n">
        <v>6025.866034963751</v>
      </c>
      <c r="I54" s="29" t="n">
        <v>273.9813618668818</v>
      </c>
      <c r="J54" s="29" t="n">
        <v>62.00222191642305</v>
      </c>
      <c r="K54" s="29" t="n">
        <v>25.35159186932359</v>
      </c>
      <c r="L54" s="29" t="n">
        <v>80.04545881022452</v>
      </c>
      <c r="M54" s="29" t="n">
        <v>95.34673250451527</v>
      </c>
      <c r="N54" s="29" t="n">
        <v>1.003792386916489</v>
      </c>
      <c r="O54" s="29" t="n">
        <v>10.52333339580689</v>
      </c>
      <c r="P54" s="29" t="n">
        <v>2.267115959355721</v>
      </c>
      <c r="Q54" s="29" t="n">
        <v>8.502793971212402</v>
      </c>
      <c r="R54" s="29" t="n">
        <v>3.921373948600654</v>
      </c>
      <c r="S54" s="29" t="n">
        <v>18.48347364794935</v>
      </c>
      <c r="T54" s="29" t="n">
        <v>1.313477787698496</v>
      </c>
      <c r="U54" s="29" t="n">
        <v>9.042126664969407</v>
      </c>
      <c r="V54" s="29" t="n">
        <v>31.61681346522155</v>
      </c>
      <c r="W54" s="29" t="n">
        <v>13.63699473015386</v>
      </c>
      <c r="X54" s="29" t="n">
        <v>37.9818426260916</v>
      </c>
      <c r="Y54" s="29" t="n">
        <v>2.348833456027858</v>
      </c>
      <c r="Z54" s="29" t="n">
        <v>138.3792226274781</v>
      </c>
      <c r="AA54" s="29" t="n">
        <v>682.1171444571935</v>
      </c>
      <c r="AB54" s="29" t="n">
        <v>1091.819821881928</v>
      </c>
      <c r="AC54" s="29" t="n">
        <v>31.28233439230216</v>
      </c>
      <c r="AD54" s="29" t="n">
        <v>177.7427572944429</v>
      </c>
      <c r="AE54" s="29" t="n">
        <v>13.71397539581268</v>
      </c>
      <c r="AF54" s="29" t="n">
        <v>1168.799614135398</v>
      </c>
      <c r="AG54" s="29" t="n">
        <v>77.47322095953541</v>
      </c>
      <c r="AH54" s="29" t="n">
        <v>9073.143726877597</v>
      </c>
      <c r="AI54" s="29" t="n">
        <v>1460.174046228758</v>
      </c>
      <c r="AJ54" s="29" t="n">
        <v>171.3677389484441</v>
      </c>
      <c r="AK54" s="29" t="n">
        <v>4.629626182244617</v>
      </c>
      <c r="AL54" s="29" t="n">
        <v>136.4544199133009</v>
      </c>
      <c r="AM54" s="29" t="n">
        <v>173.1600222665244</v>
      </c>
      <c r="AN54" s="29" t="n">
        <v>586.2258268489691</v>
      </c>
      <c r="AO54" s="29" t="n">
        <v>2472.767625821434</v>
      </c>
      <c r="AP54" s="29" t="n">
        <v>1111.892278167359</v>
      </c>
      <c r="AQ54" s="29" t="n">
        <v>3714.729579549958</v>
      </c>
      <c r="AR54" s="29" t="n">
        <v>10881.68541899964</v>
      </c>
      <c r="AS54" s="29" t="n">
        <v>18648.9590839643</v>
      </c>
      <c r="AT54" s="29" t="n">
        <v>24.34720842195518</v>
      </c>
      <c r="AU54" s="29" t="n">
        <v>31.61454395902243</v>
      </c>
      <c r="AV54" s="29" t="n">
        <v>1324.005636373753</v>
      </c>
      <c r="AW54" s="29" t="n">
        <v>0.8373420642501641</v>
      </c>
      <c r="AX54" s="29" t="n">
        <v>246.8348287941052</v>
      </c>
      <c r="AY54" s="29" t="n">
        <v>12.75246413463043</v>
      </c>
      <c r="AZ54" s="29" t="n">
        <v>137.9346936732962</v>
      </c>
      <c r="BA54" s="29" t="n">
        <v>74.69619162834761</v>
      </c>
      <c r="BB54" s="29" t="n">
        <v>37.40751381150599</v>
      </c>
      <c r="BC54" s="29" t="n">
        <v>202.9764029581233</v>
      </c>
      <c r="BD54" s="29" t="n">
        <v>59.48271294587146</v>
      </c>
      <c r="BE54" s="29" t="n">
        <v>5.877282435438937</v>
      </c>
      <c r="BF54" s="29" t="n">
        <v>287.326591650861</v>
      </c>
      <c r="BG54" s="29" t="n">
        <v>91.3778283180133</v>
      </c>
      <c r="BH54" s="29" t="n">
        <v>2678.139895650556</v>
      </c>
      <c r="BI54" s="29" t="n">
        <v>183.0582904493212</v>
      </c>
      <c r="BJ54" s="29" t="n">
        <v>481.2251643590476</v>
      </c>
      <c r="BK54" s="29" t="n">
        <v>4111.349263003932</v>
      </c>
      <c r="BL54" s="29" t="n">
        <v>858.8583649913825</v>
      </c>
      <c r="BM54" s="29" t="n">
        <v>12.72188182061914</v>
      </c>
      <c r="BN54" s="29" t="n">
        <v>3282.682560797275</v>
      </c>
      <c r="BO54" s="29" t="n">
        <v>1555.331499766369</v>
      </c>
      <c r="BP54" s="29" t="n">
        <v>120.0981039478852</v>
      </c>
      <c r="BQ54" s="29" t="n">
        <v>112.4556909609969</v>
      </c>
      <c r="BR54" s="29" t="n">
        <v>0</v>
      </c>
      <c r="BS54" s="29">
        <f>SUM(C54:BR54)</f>
        <v/>
      </c>
      <c r="BT54" s="29" t="n">
        <v>0</v>
      </c>
      <c r="BU54" s="29" t="n">
        <v>0</v>
      </c>
      <c r="BV54" s="29" t="n">
        <v>149968.5290144375</v>
      </c>
      <c r="BW54" s="29" t="n">
        <v>0</v>
      </c>
      <c r="BX54" s="29">
        <f>SUM(BT54:BW54)</f>
        <v/>
      </c>
      <c r="BY54" s="29">
        <f>BS54+BX54</f>
        <v/>
      </c>
    </row>
    <row r="55">
      <c r="A55" s="30" t="inlineStr">
        <is>
          <t>4680</t>
        </is>
      </c>
      <c r="B55" s="30" t="inlineStr">
        <is>
          <t>Comércio por atacado e a varejo, exceto veículos automotores</t>
        </is>
      </c>
      <c r="C55" s="31" t="n">
        <v>2335.206903607372</v>
      </c>
      <c r="D55" s="31" t="n">
        <v>1299.60713993174</v>
      </c>
      <c r="E55" s="31" t="n">
        <v>68.62242197550171</v>
      </c>
      <c r="F55" s="31" t="n">
        <v>1136.862747219683</v>
      </c>
      <c r="G55" s="31" t="n">
        <v>3135.207354986082</v>
      </c>
      <c r="H55" s="31" t="n">
        <v>5131.816541852346</v>
      </c>
      <c r="I55" s="31" t="n">
        <v>1400.297124469912</v>
      </c>
      <c r="J55" s="31" t="n">
        <v>211349.7309834958</v>
      </c>
      <c r="K55" s="31" t="n">
        <v>13218.00235337373</v>
      </c>
      <c r="L55" s="31" t="n">
        <v>124134.2942465487</v>
      </c>
      <c r="M55" s="31" t="n">
        <v>5346.565261031012</v>
      </c>
      <c r="N55" s="31" t="n">
        <v>5554.935009387053</v>
      </c>
      <c r="O55" s="31" t="n">
        <v>15403.87485678752</v>
      </c>
      <c r="P55" s="31" t="n">
        <v>17772.06408401369</v>
      </c>
      <c r="Q55" s="31" t="n">
        <v>18712.91285676604</v>
      </c>
      <c r="R55" s="31" t="n">
        <v>14055.89028833144</v>
      </c>
      <c r="S55" s="31" t="n">
        <v>60815.32415714447</v>
      </c>
      <c r="T55" s="31" t="n">
        <v>1527.567277184609</v>
      </c>
      <c r="U55" s="31" t="n">
        <v>19245.0989371192</v>
      </c>
      <c r="V55" s="31" t="n">
        <v>21775.92406504338</v>
      </c>
      <c r="W55" s="31" t="n">
        <v>34141.77727294459</v>
      </c>
      <c r="X55" s="31" t="n">
        <v>31401.41457112903</v>
      </c>
      <c r="Y55" s="31" t="n">
        <v>2412.319680175334</v>
      </c>
      <c r="Z55" s="31" t="n">
        <v>34313.33323740785</v>
      </c>
      <c r="AA55" s="31" t="n">
        <v>43309.42164606812</v>
      </c>
      <c r="AB55" s="31" t="n">
        <v>32509.91592195326</v>
      </c>
      <c r="AC55" s="31" t="n">
        <v>40979.33678745947</v>
      </c>
      <c r="AD55" s="31" t="n">
        <v>12768.57309158061</v>
      </c>
      <c r="AE55" s="31" t="n">
        <v>37521.1678025674</v>
      </c>
      <c r="AF55" s="31" t="n">
        <v>18923.40933202876</v>
      </c>
      <c r="AG55" s="31" t="n">
        <v>26657.74026858357</v>
      </c>
      <c r="AH55" s="31" t="n">
        <v>85644.38290506533</v>
      </c>
      <c r="AI55" s="31" t="n">
        <v>3264.84482715479</v>
      </c>
      <c r="AJ55" s="31" t="n">
        <v>930.7374579081127</v>
      </c>
      <c r="AK55" s="31" t="n">
        <v>3122.700440280788</v>
      </c>
      <c r="AL55" s="31" t="n">
        <v>19150.37334705143</v>
      </c>
      <c r="AM55" s="31" t="n">
        <v>652.9876062921381</v>
      </c>
      <c r="AN55" s="31" t="n">
        <v>460.1001977503107</v>
      </c>
      <c r="AO55" s="31" t="n">
        <v>598.9215462110927</v>
      </c>
      <c r="AP55" s="31" t="n">
        <v>2182.582518868955</v>
      </c>
      <c r="AQ55" s="31" t="n">
        <v>312.1959506963601</v>
      </c>
      <c r="AR55" s="31" t="n">
        <v>152617.7485475236</v>
      </c>
      <c r="AS55" s="31" t="n">
        <v>945.0611999520343</v>
      </c>
      <c r="AT55" s="31" t="n">
        <v>216.135990714432</v>
      </c>
      <c r="AU55" s="31" t="n">
        <v>207.2441117216811</v>
      </c>
      <c r="AV55" s="31" t="n">
        <v>736.2742794883651</v>
      </c>
      <c r="AW55" s="31" t="n">
        <v>133.2439382282433</v>
      </c>
      <c r="AX55" s="31" t="n">
        <v>3025.185816654001</v>
      </c>
      <c r="AY55" s="31" t="n">
        <v>7332.02351264617</v>
      </c>
      <c r="AZ55" s="31" t="n">
        <v>11245.51908814122</v>
      </c>
      <c r="BA55" s="31" t="n">
        <v>59238.42681058167</v>
      </c>
      <c r="BB55" s="31" t="n">
        <v>14619.4315042042</v>
      </c>
      <c r="BC55" s="31" t="n">
        <v>2422.005221321774</v>
      </c>
      <c r="BD55" s="31" t="n">
        <v>157.8695519465878</v>
      </c>
      <c r="BE55" s="31" t="n">
        <v>9457.37837796386</v>
      </c>
      <c r="BF55" s="31" t="n">
        <v>1287.587402741343</v>
      </c>
      <c r="BG55" s="31" t="n">
        <v>7158.353352111298</v>
      </c>
      <c r="BH55" s="31" t="n">
        <v>308.8143225221656</v>
      </c>
      <c r="BI55" s="31" t="n">
        <v>12320.53981303901</v>
      </c>
      <c r="BJ55" s="31" t="n">
        <v>1334.390862397197</v>
      </c>
      <c r="BK55" s="31" t="n">
        <v>1697.131458521798</v>
      </c>
      <c r="BL55" s="31" t="n">
        <v>590.5018472868906</v>
      </c>
      <c r="BM55" s="31" t="n">
        <v>794.2534686418572</v>
      </c>
      <c r="BN55" s="31" t="n">
        <v>2622.661536355534</v>
      </c>
      <c r="BO55" s="31" t="n">
        <v>2146.976052734666</v>
      </c>
      <c r="BP55" s="31" t="n">
        <v>583.3445252487118</v>
      </c>
      <c r="BQ55" s="31" t="n">
        <v>1034.375077094085</v>
      </c>
      <c r="BR55" s="31" t="n">
        <v>0</v>
      </c>
      <c r="BS55" s="31">
        <f>SUM(C55:BR55)</f>
        <v/>
      </c>
      <c r="BT55" s="31" t="n">
        <v>0</v>
      </c>
      <c r="BU55" s="31" t="n">
        <v>0</v>
      </c>
      <c r="BV55" s="31" t="n">
        <v>173189.0966544009</v>
      </c>
      <c r="BW55" s="31" t="n">
        <v>0</v>
      </c>
      <c r="BX55" s="31">
        <f>SUM(BT55:BW55)</f>
        <v/>
      </c>
      <c r="BY55" s="31">
        <f>BS55+BX55</f>
        <v/>
      </c>
    </row>
    <row r="56">
      <c r="A56" s="28" t="inlineStr">
        <is>
          <t>4900</t>
        </is>
      </c>
      <c r="B56" s="28" t="inlineStr">
        <is>
          <t>Transporte terrestre</t>
        </is>
      </c>
      <c r="C56" s="29" t="n">
        <v>13378.35494854071</v>
      </c>
      <c r="D56" s="29" t="n">
        <v>1939.852625799456</v>
      </c>
      <c r="E56" s="29" t="n">
        <v>1485.37182963008</v>
      </c>
      <c r="F56" s="29" t="n">
        <v>1701.769519018294</v>
      </c>
      <c r="G56" s="29" t="n">
        <v>8555.149944579493</v>
      </c>
      <c r="H56" s="29" t="n">
        <v>8702.867838104612</v>
      </c>
      <c r="I56" s="29" t="n">
        <v>1267.150916955737</v>
      </c>
      <c r="J56" s="29" t="n">
        <v>24940.32905434077</v>
      </c>
      <c r="K56" s="29" t="n">
        <v>6689.500691357674</v>
      </c>
      <c r="L56" s="29" t="n">
        <v>26230.99192589703</v>
      </c>
      <c r="M56" s="29" t="n">
        <v>6281.14430890014</v>
      </c>
      <c r="N56" s="29" t="n">
        <v>332.9689848026696</v>
      </c>
      <c r="O56" s="29" t="n">
        <v>1703.571403924618</v>
      </c>
      <c r="P56" s="29" t="n">
        <v>1245.233695045545</v>
      </c>
      <c r="Q56" s="29" t="n">
        <v>1397.884503686743</v>
      </c>
      <c r="R56" s="29" t="n">
        <v>3176.257002313315</v>
      </c>
      <c r="S56" s="29" t="n">
        <v>8442.706894336008</v>
      </c>
      <c r="T56" s="29" t="n">
        <v>477.0486338419562</v>
      </c>
      <c r="U56" s="29" t="n">
        <v>6715.435209704579</v>
      </c>
      <c r="V56" s="29" t="n">
        <v>3898.984497403078</v>
      </c>
      <c r="W56" s="29" t="n">
        <v>13439.21083436109</v>
      </c>
      <c r="X56" s="29" t="n">
        <v>4499.749847437093</v>
      </c>
      <c r="Y56" s="29" t="n">
        <v>2707.923314458761</v>
      </c>
      <c r="Z56" s="29" t="n">
        <v>5995.996229970349</v>
      </c>
      <c r="AA56" s="29" t="n">
        <v>5820.084068156547</v>
      </c>
      <c r="AB56" s="29" t="n">
        <v>5523.226652228437</v>
      </c>
      <c r="AC56" s="29" t="n">
        <v>9238.419580704478</v>
      </c>
      <c r="AD56" s="29" t="n">
        <v>1421.403097139457</v>
      </c>
      <c r="AE56" s="29" t="n">
        <v>5145.725050344181</v>
      </c>
      <c r="AF56" s="29" t="n">
        <v>2060.348558642564</v>
      </c>
      <c r="AG56" s="29" t="n">
        <v>2534.621438996413</v>
      </c>
      <c r="AH56" s="29" t="n">
        <v>4500.154566397719</v>
      </c>
      <c r="AI56" s="29" t="n">
        <v>5881.988690044015</v>
      </c>
      <c r="AJ56" s="29" t="n">
        <v>3251.390183924196</v>
      </c>
      <c r="AK56" s="29" t="n">
        <v>936.4847697193925</v>
      </c>
      <c r="AL56" s="29" t="n">
        <v>2676.998647427361</v>
      </c>
      <c r="AM56" s="29" t="n">
        <v>246.8672691775247</v>
      </c>
      <c r="AN56" s="29" t="n">
        <v>6573.537540551688</v>
      </c>
      <c r="AO56" s="29" t="n">
        <v>762.3875690078002</v>
      </c>
      <c r="AP56" s="29" t="n">
        <v>2923.28887316181</v>
      </c>
      <c r="AQ56" s="29" t="n">
        <v>2347.236392707493</v>
      </c>
      <c r="AR56" s="29" t="n">
        <v>88647.80652555209</v>
      </c>
      <c r="AS56" s="29" t="n">
        <v>83784.74892776602</v>
      </c>
      <c r="AT56" s="29" t="n">
        <v>709.4169180185605</v>
      </c>
      <c r="AU56" s="29" t="n">
        <v>293.2281639558765</v>
      </c>
      <c r="AV56" s="29" t="n">
        <v>12411.21950271645</v>
      </c>
      <c r="AW56" s="29" t="n">
        <v>107.0513684426005</v>
      </c>
      <c r="AX56" s="29" t="n">
        <v>1675.982094367502</v>
      </c>
      <c r="AY56" s="29" t="n">
        <v>562.7756713579138</v>
      </c>
      <c r="AZ56" s="29" t="n">
        <v>553.1586801273697</v>
      </c>
      <c r="BA56" s="29" t="n">
        <v>676.9428121166909</v>
      </c>
      <c r="BB56" s="29" t="n">
        <v>1304.391570192696</v>
      </c>
      <c r="BC56" s="29" t="n">
        <v>2324.561844834182</v>
      </c>
      <c r="BD56" s="29" t="n">
        <v>195.2547739873536</v>
      </c>
      <c r="BE56" s="29" t="n">
        <v>1656.684332717979</v>
      </c>
      <c r="BF56" s="29" t="n">
        <v>1670.358411986422</v>
      </c>
      <c r="BG56" s="29" t="n">
        <v>643.3807416782205</v>
      </c>
      <c r="BH56" s="29" t="n">
        <v>972.9073952587771</v>
      </c>
      <c r="BI56" s="29" t="n">
        <v>893.1746148564802</v>
      </c>
      <c r="BJ56" s="29" t="n">
        <v>211.35086416019</v>
      </c>
      <c r="BK56" s="29" t="n">
        <v>3389.005431377907</v>
      </c>
      <c r="BL56" s="29" t="n">
        <v>1612.554828756191</v>
      </c>
      <c r="BM56" s="29" t="n">
        <v>1896.412121020265</v>
      </c>
      <c r="BN56" s="29" t="n">
        <v>1888.869578236263</v>
      </c>
      <c r="BO56" s="29" t="n">
        <v>41.04586342619604</v>
      </c>
      <c r="BP56" s="29" t="n">
        <v>368.6386887638965</v>
      </c>
      <c r="BQ56" s="29" t="n">
        <v>2828.610674634459</v>
      </c>
      <c r="BR56" s="29" t="n">
        <v>0</v>
      </c>
      <c r="BS56" s="29">
        <f>SUM(C56:BR56)</f>
        <v/>
      </c>
      <c r="BT56" s="29" t="n">
        <v>0</v>
      </c>
      <c r="BU56" s="29" t="n">
        <v>0</v>
      </c>
      <c r="BV56" s="29" t="n">
        <v>77994.64749721362</v>
      </c>
      <c r="BW56" s="29" t="n">
        <v>0</v>
      </c>
      <c r="BX56" s="29">
        <f>SUM(BT56:BW56)</f>
        <v/>
      </c>
      <c r="BY56" s="29">
        <f>BS56+BX56</f>
        <v/>
      </c>
    </row>
    <row r="57">
      <c r="A57" s="30" t="inlineStr">
        <is>
          <t>5000</t>
        </is>
      </c>
      <c r="B57" s="30" t="inlineStr">
        <is>
          <t>Transporte aquaviário</t>
        </is>
      </c>
      <c r="C57" s="31" t="n">
        <v>0.03319414327624751</v>
      </c>
      <c r="D57" s="31" t="n">
        <v>0.02715884449874796</v>
      </c>
      <c r="E57" s="31" t="n">
        <v>0.03017649388749773</v>
      </c>
      <c r="F57" s="31" t="n">
        <v>0.1176883261612411</v>
      </c>
      <c r="G57" s="31" t="n">
        <v>7942.431954260366</v>
      </c>
      <c r="H57" s="31" t="n">
        <v>0.3832414723712212</v>
      </c>
      <c r="I57" s="31" t="n">
        <v>19.47216562065589</v>
      </c>
      <c r="J57" s="31" t="n">
        <v>2644.322104670935</v>
      </c>
      <c r="K57" s="31" t="n">
        <v>256.2660916488079</v>
      </c>
      <c r="L57" s="31" t="n">
        <v>792.1830259839728</v>
      </c>
      <c r="M57" s="31" t="n">
        <v>1.759347589178005</v>
      </c>
      <c r="N57" s="31" t="n">
        <v>0.8374267031465057</v>
      </c>
      <c r="O57" s="31" t="n">
        <v>12.86168565914663</v>
      </c>
      <c r="P57" s="31" t="n">
        <v>18.87005757429498</v>
      </c>
      <c r="Q57" s="31" t="n">
        <v>7.517254605060121</v>
      </c>
      <c r="R57" s="31" t="n">
        <v>438.8835501883332</v>
      </c>
      <c r="S57" s="31" t="n">
        <v>3024.819450482262</v>
      </c>
      <c r="T57" s="31" t="n">
        <v>21.72492788266293</v>
      </c>
      <c r="U57" s="31" t="n">
        <v>115.0027023763533</v>
      </c>
      <c r="V57" s="31" t="n">
        <v>27.38319447317941</v>
      </c>
      <c r="W57" s="31" t="n">
        <v>1637.477463208954</v>
      </c>
      <c r="X57" s="31" t="n">
        <v>20.58419841817862</v>
      </c>
      <c r="Y57" s="31" t="n">
        <v>56.66164674910434</v>
      </c>
      <c r="Z57" s="31" t="n">
        <v>3.381363133399452</v>
      </c>
      <c r="AA57" s="31" t="n">
        <v>70.95375621405526</v>
      </c>
      <c r="AB57" s="31" t="n">
        <v>211.0432798742862</v>
      </c>
      <c r="AC57" s="31" t="n">
        <v>576.3460070712784</v>
      </c>
      <c r="AD57" s="31" t="n">
        <v>20.12853336047741</v>
      </c>
      <c r="AE57" s="31" t="n">
        <v>55.01241436484725</v>
      </c>
      <c r="AF57" s="31" t="n">
        <v>45.20316805572636</v>
      </c>
      <c r="AG57" s="31" t="n">
        <v>60.77185920319219</v>
      </c>
      <c r="AH57" s="31" t="n">
        <v>505.1492430881235</v>
      </c>
      <c r="AI57" s="31" t="n">
        <v>198.9752360043808</v>
      </c>
      <c r="AJ57" s="31" t="n">
        <v>116.3335437523288</v>
      </c>
      <c r="AK57" s="31" t="n">
        <v>132.7864641662352</v>
      </c>
      <c r="AL57" s="31" t="n">
        <v>1.84532159898893</v>
      </c>
      <c r="AM57" s="31" t="n">
        <v>13.85608812604501</v>
      </c>
      <c r="AN57" s="31" t="n">
        <v>2.92410225769853</v>
      </c>
      <c r="AO57" s="31" t="n">
        <v>1.578230630316131</v>
      </c>
      <c r="AP57" s="31" t="n">
        <v>8.772480759706252</v>
      </c>
      <c r="AQ57" s="31" t="n">
        <v>17.60200688011431</v>
      </c>
      <c r="AR57" s="31" t="n">
        <v>1909.23831829888</v>
      </c>
      <c r="AS57" s="31" t="n">
        <v>1132.439641166067</v>
      </c>
      <c r="AT57" s="31" t="n">
        <v>2304.01720709862</v>
      </c>
      <c r="AU57" s="31" t="n">
        <v>0.3832414723712212</v>
      </c>
      <c r="AV57" s="31" t="n">
        <v>108.6526981293704</v>
      </c>
      <c r="AW57" s="31" t="n">
        <v>4.586827070899655</v>
      </c>
      <c r="AX57" s="31" t="n">
        <v>38.26904566764134</v>
      </c>
      <c r="AY57" s="31" t="n">
        <v>0.7151829051336962</v>
      </c>
      <c r="AZ57" s="31" t="n">
        <v>4.810249116740913</v>
      </c>
      <c r="BA57" s="31" t="n">
        <v>8.50675362688561</v>
      </c>
      <c r="BB57" s="31" t="n">
        <v>40.53120885103595</v>
      </c>
      <c r="BC57" s="31" t="n">
        <v>20.03417429190975</v>
      </c>
      <c r="BD57" s="31" t="n">
        <v>8.576159562826854</v>
      </c>
      <c r="BE57" s="31" t="n">
        <v>24.01297400874476</v>
      </c>
      <c r="BF57" s="31" t="n">
        <v>6.907515441922006</v>
      </c>
      <c r="BG57" s="31" t="n">
        <v>6.976805386789476</v>
      </c>
      <c r="BH57" s="31" t="n">
        <v>4.985156790214625</v>
      </c>
      <c r="BI57" s="31" t="n">
        <v>315.883091007666</v>
      </c>
      <c r="BJ57" s="31" t="n">
        <v>2.008274665981418</v>
      </c>
      <c r="BK57" s="31" t="n">
        <v>9.783219318326765</v>
      </c>
      <c r="BL57" s="31" t="n">
        <v>2.362819471391072</v>
      </c>
      <c r="BM57" s="31" t="n">
        <v>22.6444410131783</v>
      </c>
      <c r="BN57" s="31" t="n">
        <v>2.006736843518599</v>
      </c>
      <c r="BO57" s="31" t="n">
        <v>11.92876803372785</v>
      </c>
      <c r="BP57" s="31" t="n">
        <v>17.04823921951029</v>
      </c>
      <c r="BQ57" s="31" t="n">
        <v>15.47752371489759</v>
      </c>
      <c r="BR57" s="31" t="n">
        <v>0</v>
      </c>
      <c r="BS57" s="31">
        <f>SUM(C57:BR57)</f>
        <v/>
      </c>
      <c r="BT57" s="31" t="n">
        <v>0</v>
      </c>
      <c r="BU57" s="31" t="n">
        <v>0</v>
      </c>
      <c r="BV57" s="31" t="n">
        <v>9600.900921909762</v>
      </c>
      <c r="BW57" s="31" t="n">
        <v>0</v>
      </c>
      <c r="BX57" s="31">
        <f>SUM(BT57:BW57)</f>
        <v/>
      </c>
      <c r="BY57" s="31">
        <f>BS57+BX57</f>
        <v/>
      </c>
    </row>
    <row r="58">
      <c r="A58" s="28" t="inlineStr">
        <is>
          <t>5100</t>
        </is>
      </c>
      <c r="B58" s="28" t="inlineStr">
        <is>
          <t>Transporte aéreo</t>
        </is>
      </c>
      <c r="C58" s="29" t="n">
        <v>1.718996500255876</v>
      </c>
      <c r="D58" s="29" t="n">
        <v>0.01395286315203024</v>
      </c>
      <c r="E58" s="29" t="n">
        <v>3.411872152329491</v>
      </c>
      <c r="F58" s="29" t="n">
        <v>1.802154554741948</v>
      </c>
      <c r="G58" s="29" t="n">
        <v>2196.44645890609</v>
      </c>
      <c r="H58" s="29" t="n">
        <v>20.7833031985727</v>
      </c>
      <c r="I58" s="29" t="n">
        <v>26.45801750758205</v>
      </c>
      <c r="J58" s="29" t="n">
        <v>318.0243103105997</v>
      </c>
      <c r="K58" s="29" t="n">
        <v>6.245090522355119</v>
      </c>
      <c r="L58" s="29" t="n">
        <v>242.4123820405741</v>
      </c>
      <c r="M58" s="29" t="n">
        <v>43.70929193690562</v>
      </c>
      <c r="N58" s="29" t="n">
        <v>24.12429278628982</v>
      </c>
      <c r="O58" s="29" t="n">
        <v>25.18057428147624</v>
      </c>
      <c r="P58" s="29" t="n">
        <v>24.56914344272573</v>
      </c>
      <c r="Q58" s="29" t="n">
        <v>26.58938565640347</v>
      </c>
      <c r="R58" s="29" t="n">
        <v>61.98859744647095</v>
      </c>
      <c r="S58" s="29" t="n">
        <v>107.9881656973877</v>
      </c>
      <c r="T58" s="29" t="n">
        <v>9.513849407394437</v>
      </c>
      <c r="U58" s="29" t="n">
        <v>50.51701232372388</v>
      </c>
      <c r="V58" s="29" t="n">
        <v>14.49578230752913</v>
      </c>
      <c r="W58" s="29" t="n">
        <v>350.5926247501158</v>
      </c>
      <c r="X58" s="29" t="n">
        <v>271.1454424358342</v>
      </c>
      <c r="Y58" s="29" t="n">
        <v>10.63450059872013</v>
      </c>
      <c r="Z58" s="29" t="n">
        <v>123.7397244193011</v>
      </c>
      <c r="AA58" s="29" t="n">
        <v>44.75022022294279</v>
      </c>
      <c r="AB58" s="29" t="n">
        <v>106.5896646825561</v>
      </c>
      <c r="AC58" s="29" t="n">
        <v>84.26414001981139</v>
      </c>
      <c r="AD58" s="29" t="n">
        <v>13.4038319320421</v>
      </c>
      <c r="AE58" s="29" t="n">
        <v>47.46760683657152</v>
      </c>
      <c r="AF58" s="29" t="n">
        <v>149.1139561844026</v>
      </c>
      <c r="AG58" s="29" t="n">
        <v>139.2325481282362</v>
      </c>
      <c r="AH58" s="29" t="n">
        <v>178.2045884044902</v>
      </c>
      <c r="AI58" s="29" t="n">
        <v>129.4905996040692</v>
      </c>
      <c r="AJ58" s="29" t="n">
        <v>69.27007973281314</v>
      </c>
      <c r="AK58" s="29" t="n">
        <v>18.08129533195237</v>
      </c>
      <c r="AL58" s="29" t="n">
        <v>33.73609233642009</v>
      </c>
      <c r="AM58" s="29" t="n">
        <v>49.40126006775905</v>
      </c>
      <c r="AN58" s="29" t="n">
        <v>351.3421574013846</v>
      </c>
      <c r="AO58" s="29" t="n">
        <v>44.88844269812652</v>
      </c>
      <c r="AP58" s="29" t="n">
        <v>772.6041888090599</v>
      </c>
      <c r="AQ58" s="29" t="n">
        <v>151.5286036122379</v>
      </c>
      <c r="AR58" s="29" t="n">
        <v>3060.49852426926</v>
      </c>
      <c r="AS58" s="29" t="n">
        <v>172.4544063704774</v>
      </c>
      <c r="AT58" s="29" t="n">
        <v>109.8153208393969</v>
      </c>
      <c r="AU58" s="29" t="n">
        <v>7.814916656738014</v>
      </c>
      <c r="AV58" s="29" t="n">
        <v>587.4169660587847</v>
      </c>
      <c r="AW58" s="29" t="n">
        <v>45.34299202105599</v>
      </c>
      <c r="AX58" s="29" t="n">
        <v>48.00357661766319</v>
      </c>
      <c r="AY58" s="29" t="n">
        <v>10.87634779516068</v>
      </c>
      <c r="AZ58" s="29" t="n">
        <v>96.57452308746883</v>
      </c>
      <c r="BA58" s="29" t="n">
        <v>120.5298976317939</v>
      </c>
      <c r="BB58" s="29" t="n">
        <v>756.1154141228801</v>
      </c>
      <c r="BC58" s="29" t="n">
        <v>1437.136443329221</v>
      </c>
      <c r="BD58" s="29" t="n">
        <v>47.09137578281274</v>
      </c>
      <c r="BE58" s="29" t="n">
        <v>644.5065373207307</v>
      </c>
      <c r="BF58" s="29" t="n">
        <v>245.6770814833039</v>
      </c>
      <c r="BG58" s="29" t="n">
        <v>511.502885053924</v>
      </c>
      <c r="BH58" s="29" t="n">
        <v>88.85031334519945</v>
      </c>
      <c r="BI58" s="29" t="n">
        <v>276.7477879315578</v>
      </c>
      <c r="BJ58" s="29" t="n">
        <v>21.02147678121814</v>
      </c>
      <c r="BK58" s="29" t="n">
        <v>914.2753365876674</v>
      </c>
      <c r="BL58" s="29" t="n">
        <v>178.6148388472172</v>
      </c>
      <c r="BM58" s="29" t="n">
        <v>1571.617867533362</v>
      </c>
      <c r="BN58" s="29" t="n">
        <v>450.3505291173188</v>
      </c>
      <c r="BO58" s="29" t="n">
        <v>5.227958404103197</v>
      </c>
      <c r="BP58" s="29" t="n">
        <v>77.70097705190376</v>
      </c>
      <c r="BQ58" s="29" t="n">
        <v>4741.966440253075</v>
      </c>
      <c r="BR58" s="29" t="n">
        <v>0</v>
      </c>
      <c r="BS58" s="29">
        <f>SUM(C58:BR58)</f>
        <v/>
      </c>
      <c r="BT58" s="29" t="n">
        <v>0</v>
      </c>
      <c r="BU58" s="29" t="n">
        <v>0</v>
      </c>
      <c r="BV58" s="29" t="n">
        <v>13175.78058371744</v>
      </c>
      <c r="BW58" s="29" t="n">
        <v>0</v>
      </c>
      <c r="BX58" s="29">
        <f>SUM(BT58:BW58)</f>
        <v/>
      </c>
      <c r="BY58" s="29">
        <f>BS58+BX58</f>
        <v/>
      </c>
    </row>
    <row r="59">
      <c r="A59" s="30" t="inlineStr">
        <is>
          <t>5280</t>
        </is>
      </c>
      <c r="B59" s="30" t="inlineStr">
        <is>
          <t>Armazenamento, atividades auxiliares dos transportes e correio</t>
        </is>
      </c>
      <c r="C59" s="31" t="n">
        <v>3936.419889845226</v>
      </c>
      <c r="D59" s="31" t="n">
        <v>83.60957811441543</v>
      </c>
      <c r="E59" s="31" t="n">
        <v>396.4524087361314</v>
      </c>
      <c r="F59" s="31" t="n">
        <v>60.0540540277636</v>
      </c>
      <c r="G59" s="31" t="n">
        <v>5232.490880029923</v>
      </c>
      <c r="H59" s="31" t="n">
        <v>6125.116002333005</v>
      </c>
      <c r="I59" s="31" t="n">
        <v>628.4048652841626</v>
      </c>
      <c r="J59" s="31" t="n">
        <v>4884.11893040732</v>
      </c>
      <c r="K59" s="31" t="n">
        <v>4308.605913907768</v>
      </c>
      <c r="L59" s="31" t="n">
        <v>4948.73127151246</v>
      </c>
      <c r="M59" s="31" t="n">
        <v>2855.062286137977</v>
      </c>
      <c r="N59" s="31" t="n">
        <v>50.24559737135647</v>
      </c>
      <c r="O59" s="31" t="n">
        <v>244.6596522799604</v>
      </c>
      <c r="P59" s="31" t="n">
        <v>157.2235541433397</v>
      </c>
      <c r="Q59" s="31" t="n">
        <v>183.5652651016384</v>
      </c>
      <c r="R59" s="31" t="n">
        <v>546.3453677891222</v>
      </c>
      <c r="S59" s="31" t="n">
        <v>2683.229939557498</v>
      </c>
      <c r="T59" s="31" t="n">
        <v>204.4102200813447</v>
      </c>
      <c r="U59" s="31" t="n">
        <v>1276.487457437496</v>
      </c>
      <c r="V59" s="31" t="n">
        <v>2394.941151022167</v>
      </c>
      <c r="W59" s="31" t="n">
        <v>2058.430224053699</v>
      </c>
      <c r="X59" s="31" t="n">
        <v>1220.163376916994</v>
      </c>
      <c r="Y59" s="31" t="n">
        <v>501.0464939709228</v>
      </c>
      <c r="Z59" s="31" t="n">
        <v>888.7887533020444</v>
      </c>
      <c r="AA59" s="31" t="n">
        <v>379.382593532919</v>
      </c>
      <c r="AB59" s="31" t="n">
        <v>542.0173064351866</v>
      </c>
      <c r="AC59" s="31" t="n">
        <v>4283.929227945311</v>
      </c>
      <c r="AD59" s="31" t="n">
        <v>227.2106159349597</v>
      </c>
      <c r="AE59" s="31" t="n">
        <v>1373.532283174438</v>
      </c>
      <c r="AF59" s="31" t="n">
        <v>809.6604125666674</v>
      </c>
      <c r="AG59" s="31" t="n">
        <v>1209.662063776069</v>
      </c>
      <c r="AH59" s="31" t="n">
        <v>527.6036294429981</v>
      </c>
      <c r="AI59" s="31" t="n">
        <v>3350.450526205471</v>
      </c>
      <c r="AJ59" s="31" t="n">
        <v>861.2039681829451</v>
      </c>
      <c r="AK59" s="31" t="n">
        <v>305.3524479342133</v>
      </c>
      <c r="AL59" s="31" t="n">
        <v>539.0876305084183</v>
      </c>
      <c r="AM59" s="31" t="n">
        <v>258.3739913156036</v>
      </c>
      <c r="AN59" s="31" t="n">
        <v>548.1358855120857</v>
      </c>
      <c r="AO59" s="31" t="n">
        <v>35.40054628079859</v>
      </c>
      <c r="AP59" s="31" t="n">
        <v>744.7198208361547</v>
      </c>
      <c r="AQ59" s="31" t="n">
        <v>937.3369785847383</v>
      </c>
      <c r="AR59" s="31" t="n">
        <v>24379.32557434587</v>
      </c>
      <c r="AS59" s="31" t="n">
        <v>11722.72814808482</v>
      </c>
      <c r="AT59" s="31" t="n">
        <v>4775.158620906176</v>
      </c>
      <c r="AU59" s="31" t="n">
        <v>5956.854080885395</v>
      </c>
      <c r="AV59" s="31" t="n">
        <v>7948.763975613293</v>
      </c>
      <c r="AW59" s="31" t="n">
        <v>81.68305024568302</v>
      </c>
      <c r="AX59" s="31" t="n">
        <v>346.0383337312728</v>
      </c>
      <c r="AY59" s="31" t="n">
        <v>62.268231659125</v>
      </c>
      <c r="AZ59" s="31" t="n">
        <v>96.85616912334025</v>
      </c>
      <c r="BA59" s="31" t="n">
        <v>604.9113744083051</v>
      </c>
      <c r="BB59" s="31" t="n">
        <v>335.8578141080897</v>
      </c>
      <c r="BC59" s="31" t="n">
        <v>4131.397842272404</v>
      </c>
      <c r="BD59" s="31" t="n">
        <v>225.024993506087</v>
      </c>
      <c r="BE59" s="31" t="n">
        <v>883.8419645191904</v>
      </c>
      <c r="BF59" s="31" t="n">
        <v>320.6292173269917</v>
      </c>
      <c r="BG59" s="31" t="n">
        <v>446.4666937912953</v>
      </c>
      <c r="BH59" s="31" t="n">
        <v>343.3536019833811</v>
      </c>
      <c r="BI59" s="31" t="n">
        <v>1174.547023647969</v>
      </c>
      <c r="BJ59" s="31" t="n">
        <v>110.5868574694866</v>
      </c>
      <c r="BK59" s="31" t="n">
        <v>3989.950511107705</v>
      </c>
      <c r="BL59" s="31" t="n">
        <v>380.9270211932466</v>
      </c>
      <c r="BM59" s="31" t="n">
        <v>681.8051110090574</v>
      </c>
      <c r="BN59" s="31" t="n">
        <v>602.8074920664627</v>
      </c>
      <c r="BO59" s="31" t="n">
        <v>381.4621378255951</v>
      </c>
      <c r="BP59" s="31" t="n">
        <v>105.3526493131824</v>
      </c>
      <c r="BQ59" s="31" t="n">
        <v>1814.206702466057</v>
      </c>
      <c r="BR59" s="31" t="n">
        <v>0</v>
      </c>
      <c r="BS59" s="31">
        <f>SUM(C59:BR59)</f>
        <v/>
      </c>
      <c r="BT59" s="31" t="n">
        <v>0</v>
      </c>
      <c r="BU59" s="31" t="n">
        <v>0</v>
      </c>
      <c r="BV59" s="31" t="n">
        <v>53307.52779678385</v>
      </c>
      <c r="BW59" s="31" t="n">
        <v>0</v>
      </c>
      <c r="BX59" s="31">
        <f>SUM(BT59:BW59)</f>
        <v/>
      </c>
      <c r="BY59" s="31">
        <f>BS59+BX59</f>
        <v/>
      </c>
    </row>
    <row r="60">
      <c r="A60" s="28" t="inlineStr">
        <is>
          <t>5500</t>
        </is>
      </c>
      <c r="B60" s="28" t="inlineStr">
        <is>
          <t>Alojamento</t>
        </is>
      </c>
      <c r="C60" s="29" t="n">
        <v>4.236121384080954</v>
      </c>
      <c r="D60" s="29" t="n">
        <v>0.7100966146714648</v>
      </c>
      <c r="E60" s="29" t="n">
        <v>3.526365513244984</v>
      </c>
      <c r="F60" s="29" t="n">
        <v>13.44952128790668</v>
      </c>
      <c r="G60" s="29" t="n">
        <v>330.7354941492432</v>
      </c>
      <c r="H60" s="29" t="n">
        <v>184.8322792845798</v>
      </c>
      <c r="I60" s="29" t="n">
        <v>19.80371586166887</v>
      </c>
      <c r="J60" s="29" t="n">
        <v>433.8621262759415</v>
      </c>
      <c r="K60" s="29" t="n">
        <v>55.72767603084576</v>
      </c>
      <c r="L60" s="29" t="n">
        <v>382.9521705347857</v>
      </c>
      <c r="M60" s="29" t="n">
        <v>65.7815445170577</v>
      </c>
      <c r="N60" s="29" t="n">
        <v>43.96063024755523</v>
      </c>
      <c r="O60" s="29" t="n">
        <v>33.33770987523155</v>
      </c>
      <c r="P60" s="29" t="n">
        <v>25.73850333948544</v>
      </c>
      <c r="Q60" s="29" t="n">
        <v>27.71987378721061</v>
      </c>
      <c r="R60" s="29" t="n">
        <v>16.20320044765772</v>
      </c>
      <c r="S60" s="29" t="n">
        <v>124.212217221304</v>
      </c>
      <c r="T60" s="29" t="n">
        <v>8.550287979394623</v>
      </c>
      <c r="U60" s="29" t="n">
        <v>40.33474697662906</v>
      </c>
      <c r="V60" s="29" t="n">
        <v>35.74260213527198</v>
      </c>
      <c r="W60" s="29" t="n">
        <v>200.4456397619291</v>
      </c>
      <c r="X60" s="29" t="n">
        <v>184.0284982226923</v>
      </c>
      <c r="Y60" s="29" t="n">
        <v>43.8807001346494</v>
      </c>
      <c r="Z60" s="29" t="n">
        <v>254.6873968310716</v>
      </c>
      <c r="AA60" s="29" t="n">
        <v>139.0319491261272</v>
      </c>
      <c r="AB60" s="29" t="n">
        <v>112.9953106891602</v>
      </c>
      <c r="AC60" s="29" t="n">
        <v>236.7231225284135</v>
      </c>
      <c r="AD60" s="29" t="n">
        <v>54.15040757386238</v>
      </c>
      <c r="AE60" s="29" t="n">
        <v>207.6697600985496</v>
      </c>
      <c r="AF60" s="29" t="n">
        <v>139.0713243779301</v>
      </c>
      <c r="AG60" s="29" t="n">
        <v>143.6545758253448</v>
      </c>
      <c r="AH60" s="29" t="n">
        <v>390.3270099340065</v>
      </c>
      <c r="AI60" s="29" t="n">
        <v>138.9785489569962</v>
      </c>
      <c r="AJ60" s="29" t="n">
        <v>95.26233597205447</v>
      </c>
      <c r="AK60" s="29" t="n">
        <v>40.32685961350017</v>
      </c>
      <c r="AL60" s="29" t="n">
        <v>142.6593702081982</v>
      </c>
      <c r="AM60" s="29" t="n">
        <v>68.38005213261177</v>
      </c>
      <c r="AN60" s="29" t="n">
        <v>202.5751385515233</v>
      </c>
      <c r="AO60" s="29" t="n">
        <v>18.54368022647991</v>
      </c>
      <c r="AP60" s="29" t="n">
        <v>1127.734397376416</v>
      </c>
      <c r="AQ60" s="29" t="n">
        <v>400.2107288444111</v>
      </c>
      <c r="AR60" s="29" t="n">
        <v>3769.164421821847</v>
      </c>
      <c r="AS60" s="29" t="n">
        <v>234.659696174246</v>
      </c>
      <c r="AT60" s="29" t="n">
        <v>6.404789905553816</v>
      </c>
      <c r="AU60" s="29" t="n">
        <v>53.59051794744648</v>
      </c>
      <c r="AV60" s="29" t="n">
        <v>273.4126810908206</v>
      </c>
      <c r="AW60" s="29" t="n">
        <v>0.6224615157394415</v>
      </c>
      <c r="AX60" s="29" t="n">
        <v>35.16665088152409</v>
      </c>
      <c r="AY60" s="29" t="n">
        <v>60.32593858924768</v>
      </c>
      <c r="AZ60" s="29" t="n">
        <v>143.0986658205412</v>
      </c>
      <c r="BA60" s="29" t="n">
        <v>97.65987463695272</v>
      </c>
      <c r="BB60" s="29" t="n">
        <v>846.885253523903</v>
      </c>
      <c r="BC60" s="29" t="n">
        <v>924.2161210330163</v>
      </c>
      <c r="BD60" s="29" t="n">
        <v>70.20033851397443</v>
      </c>
      <c r="BE60" s="29" t="n">
        <v>382.5863052047548</v>
      </c>
      <c r="BF60" s="29" t="n">
        <v>345.7817156160439</v>
      </c>
      <c r="BG60" s="29" t="n">
        <v>252.7685980083205</v>
      </c>
      <c r="BH60" s="29" t="n">
        <v>201.4459285707734</v>
      </c>
      <c r="BI60" s="29" t="n">
        <v>219.6376164131229</v>
      </c>
      <c r="BJ60" s="29" t="n">
        <v>52.36553786049306</v>
      </c>
      <c r="BK60" s="29" t="n">
        <v>1825.863697428334</v>
      </c>
      <c r="BL60" s="29" t="n">
        <v>179.9564385398342</v>
      </c>
      <c r="BM60" s="29" t="n">
        <v>408.1487638116523</v>
      </c>
      <c r="BN60" s="29" t="n">
        <v>418.7180470703912</v>
      </c>
      <c r="BO60" s="29" t="n">
        <v>1.61880945507764</v>
      </c>
      <c r="BP60" s="29" t="n">
        <v>148.7632856556664</v>
      </c>
      <c r="BQ60" s="29" t="n">
        <v>6090.010120753923</v>
      </c>
      <c r="BR60" s="29" t="n">
        <v>0</v>
      </c>
      <c r="BS60" s="29">
        <f>SUM(C60:BR60)</f>
        <v/>
      </c>
      <c r="BT60" s="29" t="n">
        <v>0</v>
      </c>
      <c r="BU60" s="29" t="n">
        <v>0</v>
      </c>
      <c r="BV60" s="29" t="n">
        <v>8486.160211948245</v>
      </c>
      <c r="BW60" s="29" t="n">
        <v>0</v>
      </c>
      <c r="BX60" s="29">
        <f>SUM(BT60:BW60)</f>
        <v/>
      </c>
      <c r="BY60" s="29">
        <f>BS60+BX60</f>
        <v/>
      </c>
    </row>
    <row r="61">
      <c r="A61" s="30" t="inlineStr">
        <is>
          <t>5600</t>
        </is>
      </c>
      <c r="B61" s="30" t="inlineStr">
        <is>
          <t>Alimentação</t>
        </is>
      </c>
      <c r="C61" s="31" t="n">
        <v>6.435916022522648</v>
      </c>
      <c r="D61" s="31" t="n">
        <v>0.817930647600371</v>
      </c>
      <c r="E61" s="31" t="n">
        <v>2.737335526810195</v>
      </c>
      <c r="F61" s="31" t="n">
        <v>2.953031237573466</v>
      </c>
      <c r="G61" s="31" t="n">
        <v>386.2147000728505</v>
      </c>
      <c r="H61" s="31" t="n">
        <v>31.26031531088069</v>
      </c>
      <c r="I61" s="31" t="n">
        <v>13.66515632586723</v>
      </c>
      <c r="J61" s="31" t="n">
        <v>11.27118287142924</v>
      </c>
      <c r="K61" s="31" t="n">
        <v>7.137658866696018</v>
      </c>
      <c r="L61" s="31" t="n">
        <v>210.8967647220174</v>
      </c>
      <c r="M61" s="31" t="n">
        <v>4.730311715759115</v>
      </c>
      <c r="N61" s="31" t="n">
        <v>0.7722865877906937</v>
      </c>
      <c r="O61" s="31" t="n">
        <v>14.77771490738898</v>
      </c>
      <c r="P61" s="31" t="n">
        <v>5.216685901453234</v>
      </c>
      <c r="Q61" s="31" t="n">
        <v>1.067385712786708</v>
      </c>
      <c r="R61" s="31" t="n">
        <v>2.101616797782599</v>
      </c>
      <c r="S61" s="31" t="n">
        <v>13.58455908164945</v>
      </c>
      <c r="T61" s="31" t="n">
        <v>20.4994320317955</v>
      </c>
      <c r="U61" s="31" t="n">
        <v>6.755515730974334</v>
      </c>
      <c r="V61" s="31" t="n">
        <v>7.01579413943543</v>
      </c>
      <c r="W61" s="31" t="n">
        <v>184.3807014237737</v>
      </c>
      <c r="X61" s="31" t="n">
        <v>166.2165160270036</v>
      </c>
      <c r="Y61" s="31" t="n">
        <v>2.806520700980647</v>
      </c>
      <c r="Z61" s="31" t="n">
        <v>354.2170926801904</v>
      </c>
      <c r="AA61" s="31" t="n">
        <v>25.40976332047539</v>
      </c>
      <c r="AB61" s="31" t="n">
        <v>5.214584426350257</v>
      </c>
      <c r="AC61" s="31" t="n">
        <v>44.27947650348241</v>
      </c>
      <c r="AD61" s="31" t="n">
        <v>83.29759280350581</v>
      </c>
      <c r="AE61" s="31" t="n">
        <v>49.91887204929369</v>
      </c>
      <c r="AF61" s="31" t="n">
        <v>6.574699692885055</v>
      </c>
      <c r="AG61" s="31" t="n">
        <v>2.827738756753192</v>
      </c>
      <c r="AH61" s="31" t="n">
        <v>156.8700084348329</v>
      </c>
      <c r="AI61" s="31" t="n">
        <v>393.1440302002974</v>
      </c>
      <c r="AJ61" s="31" t="n">
        <v>21.74606212085671</v>
      </c>
      <c r="AK61" s="31" t="n">
        <v>4.913210029890091</v>
      </c>
      <c r="AL61" s="31" t="n">
        <v>3.877627464954739</v>
      </c>
      <c r="AM61" s="31" t="n">
        <v>97.09487260693413</v>
      </c>
      <c r="AN61" s="31" t="n">
        <v>310.882423433676</v>
      </c>
      <c r="AO61" s="31" t="n">
        <v>17.55496357202643</v>
      </c>
      <c r="AP61" s="31" t="n">
        <v>26.99653293539447</v>
      </c>
      <c r="AQ61" s="31" t="n">
        <v>227.1830370274767</v>
      </c>
      <c r="AR61" s="31" t="n">
        <v>1207.797382201562</v>
      </c>
      <c r="AS61" s="31" t="n">
        <v>55.34612073383133</v>
      </c>
      <c r="AT61" s="31" t="n">
        <v>12.68212831223646</v>
      </c>
      <c r="AU61" s="31" t="n">
        <v>700.9551664532914</v>
      </c>
      <c r="AV61" s="31" t="n">
        <v>88.01410960333261</v>
      </c>
      <c r="AW61" s="31" t="n">
        <v>339.4410375678532</v>
      </c>
      <c r="AX61" s="31" t="n">
        <v>42.23068302831251</v>
      </c>
      <c r="AY61" s="31" t="n">
        <v>6.057134594714165</v>
      </c>
      <c r="AZ61" s="31" t="n">
        <v>810.5697457341698</v>
      </c>
      <c r="BA61" s="31" t="n">
        <v>88.27009119779851</v>
      </c>
      <c r="BB61" s="31" t="n">
        <v>87.99990849022873</v>
      </c>
      <c r="BC61" s="31" t="n">
        <v>3075.859390508858</v>
      </c>
      <c r="BD61" s="31" t="n">
        <v>97.67420361765171</v>
      </c>
      <c r="BE61" s="31" t="n">
        <v>1856.563654482682</v>
      </c>
      <c r="BF61" s="31" t="n">
        <v>14.67778554409256</v>
      </c>
      <c r="BG61" s="31" t="n">
        <v>367.2699617410154</v>
      </c>
      <c r="BH61" s="31" t="n">
        <v>21.92643788050478</v>
      </c>
      <c r="BI61" s="31" t="n">
        <v>1751.923345355749</v>
      </c>
      <c r="BJ61" s="31" t="n">
        <v>9.210312253920103</v>
      </c>
      <c r="BK61" s="31" t="n">
        <v>10629.20839140685</v>
      </c>
      <c r="BL61" s="31" t="n">
        <v>1925.658651855571</v>
      </c>
      <c r="BM61" s="31" t="n">
        <v>377.7803885153754</v>
      </c>
      <c r="BN61" s="31" t="n">
        <v>6429.024756272162</v>
      </c>
      <c r="BO61" s="31" t="n">
        <v>4509.75274678852</v>
      </c>
      <c r="BP61" s="31" t="n">
        <v>77.60708495947966</v>
      </c>
      <c r="BQ61" s="31" t="n">
        <v>11816.82780893464</v>
      </c>
      <c r="BR61" s="31" t="n">
        <v>0</v>
      </c>
      <c r="BS61" s="31">
        <f>SUM(C61:BR61)</f>
        <v/>
      </c>
      <c r="BT61" s="31" t="n">
        <v>0</v>
      </c>
      <c r="BU61" s="31" t="n">
        <v>0</v>
      </c>
      <c r="BV61" s="31" t="n">
        <v>238302.3539515435</v>
      </c>
      <c r="BW61" s="31" t="n">
        <v>0</v>
      </c>
      <c r="BX61" s="31">
        <f>SUM(BT61:BW61)</f>
        <v/>
      </c>
      <c r="BY61" s="31">
        <f>BS61+BX61</f>
        <v/>
      </c>
    </row>
    <row r="62">
      <c r="A62" s="28" t="inlineStr">
        <is>
          <t>5800</t>
        </is>
      </c>
      <c r="B62" s="28" t="inlineStr">
        <is>
          <t>Edição e edição integrada à impressão</t>
        </is>
      </c>
      <c r="C62" s="29" t="n">
        <v>0.1599641904236027</v>
      </c>
      <c r="D62" s="29" t="n">
        <v>0.004854058887127204</v>
      </c>
      <c r="E62" s="29" t="n">
        <v>0.04283479592903332</v>
      </c>
      <c r="F62" s="29" t="n">
        <v>0.03732535406911147</v>
      </c>
      <c r="G62" s="29" t="n">
        <v>0.5204420770357979</v>
      </c>
      <c r="H62" s="29" t="n">
        <v>0.756440331939781</v>
      </c>
      <c r="I62" s="29" t="n">
        <v>0.1186554440757793</v>
      </c>
      <c r="J62" s="29" t="n">
        <v>5.470038806808353</v>
      </c>
      <c r="K62" s="29" t="n">
        <v>0.7987823711397938</v>
      </c>
      <c r="L62" s="29" t="n">
        <v>3.800878979601383</v>
      </c>
      <c r="M62" s="29" t="n">
        <v>4.576426154814288</v>
      </c>
      <c r="N62" s="29" t="n">
        <v>0.1314461748180137</v>
      </c>
      <c r="O62" s="29" t="n">
        <v>0.6568392578397182</v>
      </c>
      <c r="P62" s="29" t="n">
        <v>0.7296287841278205</v>
      </c>
      <c r="Q62" s="29" t="n">
        <v>0.4550053224783192</v>
      </c>
      <c r="R62" s="29" t="n">
        <v>0.7999427038794527</v>
      </c>
      <c r="S62" s="29" t="n">
        <v>4.271105397989571</v>
      </c>
      <c r="T62" s="29" t="n">
        <v>16.27636428223876</v>
      </c>
      <c r="U62" s="29" t="n">
        <v>0.5082100779891403</v>
      </c>
      <c r="V62" s="29" t="n">
        <v>0.8535014655404339</v>
      </c>
      <c r="W62" s="29" t="n">
        <v>193.4248024281</v>
      </c>
      <c r="X62" s="29" t="n">
        <v>1.028171825939856</v>
      </c>
      <c r="Y62" s="29" t="n">
        <v>0.1825305618473543</v>
      </c>
      <c r="Z62" s="29" t="n">
        <v>1.064856629447559</v>
      </c>
      <c r="AA62" s="29" t="n">
        <v>1.525507301160006</v>
      </c>
      <c r="AB62" s="29" t="n">
        <v>0.8900005023106394</v>
      </c>
      <c r="AC62" s="29" t="n">
        <v>1.260650063314471</v>
      </c>
      <c r="AD62" s="29" t="n">
        <v>0.3188228959783521</v>
      </c>
      <c r="AE62" s="29" t="n">
        <v>1.225202797129013</v>
      </c>
      <c r="AF62" s="29" t="n">
        <v>3.038841388195203</v>
      </c>
      <c r="AG62" s="29" t="n">
        <v>0.7646537647544484</v>
      </c>
      <c r="AH62" s="29" t="n">
        <v>2.142183159922223</v>
      </c>
      <c r="AI62" s="29" t="n">
        <v>0.5390850359948215</v>
      </c>
      <c r="AJ62" s="29" t="n">
        <v>3.686882256079086</v>
      </c>
      <c r="AK62" s="29" t="n">
        <v>0.1544708093926961</v>
      </c>
      <c r="AL62" s="29" t="n">
        <v>0.9115105845602326</v>
      </c>
      <c r="AM62" s="29" t="n">
        <v>13.30436679170561</v>
      </c>
      <c r="AN62" s="29" t="n">
        <v>59.11826222704178</v>
      </c>
      <c r="AO62" s="29" t="n">
        <v>4.635711730879271</v>
      </c>
      <c r="AP62" s="29" t="n">
        <v>1.12630383300768</v>
      </c>
      <c r="AQ62" s="29" t="n">
        <v>3.737570681676821</v>
      </c>
      <c r="AR62" s="29" t="n">
        <v>373.1219114599868</v>
      </c>
      <c r="AS62" s="29" t="n">
        <v>1.47330805186004</v>
      </c>
      <c r="AT62" s="29" t="n">
        <v>0.08169562809602941</v>
      </c>
      <c r="AU62" s="29" t="n">
        <v>0.4502410940493594</v>
      </c>
      <c r="AV62" s="29" t="n">
        <v>3.282442608699975</v>
      </c>
      <c r="AW62" s="29" t="n">
        <v>44.22161473397986</v>
      </c>
      <c r="AX62" s="29" t="n">
        <v>3.834514109909035</v>
      </c>
      <c r="AY62" s="29" t="n">
        <v>27.91076444689059</v>
      </c>
      <c r="AZ62" s="29" t="n">
        <v>4.882999736023108</v>
      </c>
      <c r="BA62" s="29" t="n">
        <v>88.58255667613136</v>
      </c>
      <c r="BB62" s="29" t="n">
        <v>12.96224570417016</v>
      </c>
      <c r="BC62" s="29" t="n">
        <v>934.3597761313312</v>
      </c>
      <c r="BD62" s="29" t="n">
        <v>41.60385764810365</v>
      </c>
      <c r="BE62" s="29" t="n">
        <v>251.5619379222063</v>
      </c>
      <c r="BF62" s="29" t="n">
        <v>118.7225370124414</v>
      </c>
      <c r="BG62" s="29" t="n">
        <v>2771.974431895821</v>
      </c>
      <c r="BH62" s="29" t="n">
        <v>21.87576837083456</v>
      </c>
      <c r="BI62" s="29" t="n">
        <v>29.34168594463891</v>
      </c>
      <c r="BJ62" s="29" t="n">
        <v>0.2376303153778911</v>
      </c>
      <c r="BK62" s="29" t="n">
        <v>1059.912751186508</v>
      </c>
      <c r="BL62" s="29" t="n">
        <v>2359.592931706678</v>
      </c>
      <c r="BM62" s="29" t="n">
        <v>1365.297155331473</v>
      </c>
      <c r="BN62" s="29" t="n">
        <v>53.72105958872411</v>
      </c>
      <c r="BO62" s="29" t="n">
        <v>100.7640875536725</v>
      </c>
      <c r="BP62" s="29" t="n">
        <v>7.424808012611388</v>
      </c>
      <c r="BQ62" s="29" t="n">
        <v>123.727033144805</v>
      </c>
      <c r="BR62" s="29" t="n">
        <v>0</v>
      </c>
      <c r="BS62" s="29">
        <f>SUM(C62:BR62)</f>
        <v/>
      </c>
      <c r="BT62" s="29" t="n">
        <v>0</v>
      </c>
      <c r="BU62" s="29" t="n">
        <v>0</v>
      </c>
      <c r="BV62" s="29" t="n">
        <v>7490.023915252969</v>
      </c>
      <c r="BW62" s="29" t="n">
        <v>0</v>
      </c>
      <c r="BX62" s="29">
        <f>SUM(BT62:BW62)</f>
        <v/>
      </c>
      <c r="BY62" s="29">
        <f>BS62+BX62</f>
        <v/>
      </c>
    </row>
    <row r="63">
      <c r="A63" s="30" t="inlineStr">
        <is>
          <t>5980</t>
        </is>
      </c>
      <c r="B63" s="30" t="inlineStr">
        <is>
          <t>Atividades de televisão, rádio, cinema e  gravação/edição de som e imagem</t>
        </is>
      </c>
      <c r="C63" s="31" t="n">
        <v>0.003532896861520843</v>
      </c>
      <c r="D63" s="31" t="n">
        <v>0.002046227348299335</v>
      </c>
      <c r="E63" s="31" t="n">
        <v>0.001376236094980431</v>
      </c>
      <c r="F63" s="31" t="n">
        <v>0.02555769234084737</v>
      </c>
      <c r="G63" s="31" t="n">
        <v>0.1234312234477669</v>
      </c>
      <c r="H63" s="31" t="n">
        <v>0.1055082184532987</v>
      </c>
      <c r="I63" s="31" t="n">
        <v>0.03134861999006405</v>
      </c>
      <c r="J63" s="31" t="n">
        <v>4.286439884634452</v>
      </c>
      <c r="K63" s="31" t="n">
        <v>0.3104312903004265</v>
      </c>
      <c r="L63" s="31" t="n">
        <v>2.480256505974163</v>
      </c>
      <c r="M63" s="31" t="n">
        <v>0.1069314441869207</v>
      </c>
      <c r="N63" s="31" t="n">
        <v>0.1161481805858435</v>
      </c>
      <c r="O63" s="31" t="n">
        <v>0.3704757554585359</v>
      </c>
      <c r="P63" s="31" t="n">
        <v>0.4294373585348324</v>
      </c>
      <c r="Q63" s="31" t="n">
        <v>0.3886785978917943</v>
      </c>
      <c r="R63" s="31" t="n">
        <v>0.2884346575345506</v>
      </c>
      <c r="S63" s="31" t="n">
        <v>1.246990956602303</v>
      </c>
      <c r="T63" s="31" t="n">
        <v>0.0376430524386314</v>
      </c>
      <c r="U63" s="31" t="n">
        <v>0.354511416756763</v>
      </c>
      <c r="V63" s="31" t="n">
        <v>0.4888440405905195</v>
      </c>
      <c r="W63" s="31" t="n">
        <v>0.7260397711906026</v>
      </c>
      <c r="X63" s="31" t="n">
        <v>0.6445894667303981</v>
      </c>
      <c r="Y63" s="31" t="n">
        <v>0.07653949885049008</v>
      </c>
      <c r="Z63" s="31" t="n">
        <v>0.7252593465190427</v>
      </c>
      <c r="AA63" s="31" t="n">
        <v>0.9548673794113881</v>
      </c>
      <c r="AB63" s="31" t="n">
        <v>0.6872487402373454</v>
      </c>
      <c r="AC63" s="31" t="n">
        <v>0.8671662868348311</v>
      </c>
      <c r="AD63" s="31" t="n">
        <v>0.2519016573689892</v>
      </c>
      <c r="AE63" s="31" t="n">
        <v>0.7995871040894589</v>
      </c>
      <c r="AF63" s="31" t="n">
        <v>0.404036389119848</v>
      </c>
      <c r="AG63" s="31" t="n">
        <v>0.5532457440050987</v>
      </c>
      <c r="AH63" s="31" t="n">
        <v>1.755435547821659</v>
      </c>
      <c r="AI63" s="31" t="n">
        <v>0.07837894071903256</v>
      </c>
      <c r="AJ63" s="31" t="n">
        <v>0.05666801883127754</v>
      </c>
      <c r="AK63" s="31" t="n">
        <v>0.06937902571914582</v>
      </c>
      <c r="AL63" s="31" t="n">
        <v>0.4274159485935572</v>
      </c>
      <c r="AM63" s="31" t="n">
        <v>0.01733318405288098</v>
      </c>
      <c r="AN63" s="31" t="n">
        <v>0.1333572776036037</v>
      </c>
      <c r="AO63" s="31" t="n">
        <v>0.07763045180719515</v>
      </c>
      <c r="AP63" s="31" t="n">
        <v>0.2043619967075083</v>
      </c>
      <c r="AQ63" s="31" t="n">
        <v>0.7373872996905148</v>
      </c>
      <c r="AR63" s="31" t="n">
        <v>11.55255802804976</v>
      </c>
      <c r="AS63" s="31" t="n">
        <v>1.218654999565102</v>
      </c>
      <c r="AT63" s="31" t="n">
        <v>0.0217445303006908</v>
      </c>
      <c r="AU63" s="31" t="n">
        <v>0.01747819840625147</v>
      </c>
      <c r="AV63" s="31" t="n">
        <v>0.738625912175997</v>
      </c>
      <c r="AW63" s="31" t="n">
        <v>3.077808215194028</v>
      </c>
      <c r="AX63" s="31" t="n">
        <v>0.9281336224548024</v>
      </c>
      <c r="AY63" s="31" t="n">
        <v>8.783040842166278</v>
      </c>
      <c r="AZ63" s="31" t="n">
        <v>6588.57420064808</v>
      </c>
      <c r="BA63" s="31" t="n">
        <v>4883.940706864893</v>
      </c>
      <c r="BB63" s="31" t="n">
        <v>1.759276208173241</v>
      </c>
      <c r="BC63" s="31" t="n">
        <v>2.855574638454995</v>
      </c>
      <c r="BD63" s="31" t="n">
        <v>0.3911262981934384</v>
      </c>
      <c r="BE63" s="31" t="n">
        <v>1.239321920281804</v>
      </c>
      <c r="BF63" s="31" t="n">
        <v>0.2052759995511203</v>
      </c>
      <c r="BG63" s="31" t="n">
        <v>31802.9362478808</v>
      </c>
      <c r="BH63" s="31" t="n">
        <v>0.2273542028907671</v>
      </c>
      <c r="BI63" s="31" t="n">
        <v>41.09884506614132</v>
      </c>
      <c r="BJ63" s="31" t="n">
        <v>2.952559294369491</v>
      </c>
      <c r="BK63" s="31" t="n">
        <v>0.4461757419926556</v>
      </c>
      <c r="BL63" s="31" t="n">
        <v>0.1077592862369677</v>
      </c>
      <c r="BM63" s="31" t="n">
        <v>1.038784677144442</v>
      </c>
      <c r="BN63" s="31" t="n">
        <v>0.09151970031619863</v>
      </c>
      <c r="BO63" s="31" t="n">
        <v>0.5440261283457642</v>
      </c>
      <c r="BP63" s="31" t="n">
        <v>111.6732849759338</v>
      </c>
      <c r="BQ63" s="31" t="n">
        <v>0.7131400268808155</v>
      </c>
      <c r="BR63" s="31" t="n">
        <v>0</v>
      </c>
      <c r="BS63" s="31">
        <f>SUM(C63:BR63)</f>
        <v/>
      </c>
      <c r="BT63" s="31" t="n">
        <v>0</v>
      </c>
      <c r="BU63" s="31" t="n">
        <v>0</v>
      </c>
      <c r="BV63" s="31" t="n">
        <v>3173.415218543139</v>
      </c>
      <c r="BW63" s="31" t="n">
        <v>0</v>
      </c>
      <c r="BX63" s="31">
        <f>SUM(BT63:BW63)</f>
        <v/>
      </c>
      <c r="BY63" s="31">
        <f>BS63+BX63</f>
        <v/>
      </c>
    </row>
    <row r="64">
      <c r="A64" s="28" t="inlineStr">
        <is>
          <t>6100</t>
        </is>
      </c>
      <c r="B64" s="28" t="inlineStr">
        <is>
          <t>Telecomunicações</t>
        </is>
      </c>
      <c r="C64" s="29" t="n">
        <v>6.342129204684759</v>
      </c>
      <c r="D64" s="29" t="n">
        <v>3.166997603619887</v>
      </c>
      <c r="E64" s="29" t="n">
        <v>6.993705520633879</v>
      </c>
      <c r="F64" s="29" t="n">
        <v>29.19790775098225</v>
      </c>
      <c r="G64" s="29" t="n">
        <v>719.3445590365739</v>
      </c>
      <c r="H64" s="29" t="n">
        <v>212.176970776084</v>
      </c>
      <c r="I64" s="29" t="n">
        <v>30.29401720231032</v>
      </c>
      <c r="J64" s="29" t="n">
        <v>1013.259094580546</v>
      </c>
      <c r="K64" s="29" t="n">
        <v>281.4221141048913</v>
      </c>
      <c r="L64" s="29" t="n">
        <v>1452.992841021596</v>
      </c>
      <c r="M64" s="29" t="n">
        <v>359.8045747993686</v>
      </c>
      <c r="N64" s="29" t="n">
        <v>26.30056692556145</v>
      </c>
      <c r="O64" s="29" t="n">
        <v>218.4552771953025</v>
      </c>
      <c r="P64" s="29" t="n">
        <v>512.0489620418621</v>
      </c>
      <c r="Q64" s="29" t="n">
        <v>143.5840143677417</v>
      </c>
      <c r="R64" s="29" t="n">
        <v>166.4185352614029</v>
      </c>
      <c r="S64" s="29" t="n">
        <v>528.4418743730018</v>
      </c>
      <c r="T64" s="29" t="n">
        <v>264.3882124578823</v>
      </c>
      <c r="U64" s="29" t="n">
        <v>249.1716537554898</v>
      </c>
      <c r="V64" s="29" t="n">
        <v>256.1433335907188</v>
      </c>
      <c r="W64" s="29" t="n">
        <v>403.8043503548411</v>
      </c>
      <c r="X64" s="29" t="n">
        <v>299.5840617563731</v>
      </c>
      <c r="Y64" s="29" t="n">
        <v>32.35583465805223</v>
      </c>
      <c r="Z64" s="29" t="n">
        <v>274.0074929578955</v>
      </c>
      <c r="AA64" s="29" t="n">
        <v>391.6787732639589</v>
      </c>
      <c r="AB64" s="29" t="n">
        <v>497.910834992551</v>
      </c>
      <c r="AC64" s="29" t="n">
        <v>239.6593416988118</v>
      </c>
      <c r="AD64" s="29" t="n">
        <v>86.69486538734934</v>
      </c>
      <c r="AE64" s="29" t="n">
        <v>434.2438077854746</v>
      </c>
      <c r="AF64" s="29" t="n">
        <v>691.448453125781</v>
      </c>
      <c r="AG64" s="29" t="n">
        <v>431.4867472072882</v>
      </c>
      <c r="AH64" s="29" t="n">
        <v>586.4734860075276</v>
      </c>
      <c r="AI64" s="29" t="n">
        <v>995.8303133941787</v>
      </c>
      <c r="AJ64" s="29" t="n">
        <v>1046.139769598334</v>
      </c>
      <c r="AK64" s="29" t="n">
        <v>120.1985783346393</v>
      </c>
      <c r="AL64" s="29" t="n">
        <v>478.2115629132986</v>
      </c>
      <c r="AM64" s="29" t="n">
        <v>95.06975213136654</v>
      </c>
      <c r="AN64" s="29" t="n">
        <v>235.1441461993505</v>
      </c>
      <c r="AO64" s="29" t="n">
        <v>170.4758542403378</v>
      </c>
      <c r="AP64" s="29" t="n">
        <v>905.1700448528634</v>
      </c>
      <c r="AQ64" s="29" t="n">
        <v>968.028342448218</v>
      </c>
      <c r="AR64" s="29" t="n">
        <v>6963.289732311634</v>
      </c>
      <c r="AS64" s="29" t="n">
        <v>882.6858693976761</v>
      </c>
      <c r="AT64" s="29" t="n">
        <v>42.96078930163913</v>
      </c>
      <c r="AU64" s="29" t="n">
        <v>44.43900358605538</v>
      </c>
      <c r="AV64" s="29" t="n">
        <v>916.9293739512349</v>
      </c>
      <c r="AW64" s="29" t="n">
        <v>200.9818793905851</v>
      </c>
      <c r="AX64" s="29" t="n">
        <v>597.8690313418336</v>
      </c>
      <c r="AY64" s="29" t="n">
        <v>88.20371637016873</v>
      </c>
      <c r="AZ64" s="29" t="n">
        <v>264.0755027650599</v>
      </c>
      <c r="BA64" s="29" t="n">
        <v>15900.19418174689</v>
      </c>
      <c r="BB64" s="29" t="n">
        <v>2393.155916162622</v>
      </c>
      <c r="BC64" s="29" t="n">
        <v>6059.168657170135</v>
      </c>
      <c r="BD64" s="29" t="n">
        <v>513.0446968491561</v>
      </c>
      <c r="BE64" s="29" t="n">
        <v>2526.879577695187</v>
      </c>
      <c r="BF64" s="29" t="n">
        <v>387.3802619122895</v>
      </c>
      <c r="BG64" s="29" t="n">
        <v>3156.544107984152</v>
      </c>
      <c r="BH64" s="29" t="n">
        <v>133.468487573556</v>
      </c>
      <c r="BI64" s="29" t="n">
        <v>1903.733086940072</v>
      </c>
      <c r="BJ64" s="29" t="n">
        <v>275.8868424080018</v>
      </c>
      <c r="BK64" s="29" t="n">
        <v>4244.911049199105</v>
      </c>
      <c r="BL64" s="29" t="n">
        <v>957.5703747125627</v>
      </c>
      <c r="BM64" s="29" t="n">
        <v>1326.494765205978</v>
      </c>
      <c r="BN64" s="29" t="n">
        <v>492.5775341670537</v>
      </c>
      <c r="BO64" s="29" t="n">
        <v>955.605937087719</v>
      </c>
      <c r="BP64" s="29" t="n">
        <v>227.4252687566932</v>
      </c>
      <c r="BQ64" s="29" t="n">
        <v>1538.774187882071</v>
      </c>
      <c r="BR64" s="29" t="n">
        <v>0</v>
      </c>
      <c r="BS64" s="29">
        <f>SUM(C64:BR64)</f>
        <v/>
      </c>
      <c r="BT64" s="29" t="n">
        <v>0</v>
      </c>
      <c r="BU64" s="29" t="n">
        <v>0</v>
      </c>
      <c r="BV64" s="29" t="n">
        <v>113484.8454765336</v>
      </c>
      <c r="BW64" s="29" t="n">
        <v>0</v>
      </c>
      <c r="BX64" s="29">
        <f>SUM(BT64:BW64)</f>
        <v/>
      </c>
      <c r="BY64" s="29">
        <f>BS64+BX64</f>
        <v/>
      </c>
    </row>
    <row r="65">
      <c r="A65" s="30" t="inlineStr">
        <is>
          <t>6280</t>
        </is>
      </c>
      <c r="B65" s="30" t="inlineStr">
        <is>
          <t>Desenvolvimento de sistemas e outros serviços de informação</t>
        </is>
      </c>
      <c r="C65" s="31" t="n">
        <v>29.4449358914486</v>
      </c>
      <c r="D65" s="31" t="n">
        <v>10.96522495939068</v>
      </c>
      <c r="E65" s="31" t="n">
        <v>0.8569318480918633</v>
      </c>
      <c r="F65" s="31" t="n">
        <v>2.868605288373407</v>
      </c>
      <c r="G65" s="31" t="n">
        <v>138.4222106491693</v>
      </c>
      <c r="H65" s="31" t="n">
        <v>792.221084620048</v>
      </c>
      <c r="I65" s="31" t="n">
        <v>52.10938118042156</v>
      </c>
      <c r="J65" s="31" t="n">
        <v>1106.122270352648</v>
      </c>
      <c r="K65" s="31" t="n">
        <v>67.69484016001051</v>
      </c>
      <c r="L65" s="31" t="n">
        <v>1599.529357440472</v>
      </c>
      <c r="M65" s="31" t="n">
        <v>114.6790119599686</v>
      </c>
      <c r="N65" s="31" t="n">
        <v>74.9095806745438</v>
      </c>
      <c r="O65" s="31" t="n">
        <v>84.50514541842504</v>
      </c>
      <c r="P65" s="31" t="n">
        <v>89.7963160834957</v>
      </c>
      <c r="Q65" s="31" t="n">
        <v>49.3062743209364</v>
      </c>
      <c r="R65" s="31" t="n">
        <v>54.71599766864102</v>
      </c>
      <c r="S65" s="31" t="n">
        <v>499.8585984675857</v>
      </c>
      <c r="T65" s="31" t="n">
        <v>4.339432233386939</v>
      </c>
      <c r="U65" s="31" t="n">
        <v>97.65556185229767</v>
      </c>
      <c r="V65" s="31" t="n">
        <v>41.90848260552841</v>
      </c>
      <c r="W65" s="31" t="n">
        <v>825.1876345693966</v>
      </c>
      <c r="X65" s="31" t="n">
        <v>448.0676430014776</v>
      </c>
      <c r="Y65" s="31" t="n">
        <v>37.94488559545258</v>
      </c>
      <c r="Z65" s="31" t="n">
        <v>683.4279958034277</v>
      </c>
      <c r="AA65" s="31" t="n">
        <v>320.5351438148701</v>
      </c>
      <c r="AB65" s="31" t="n">
        <v>205.829177122132</v>
      </c>
      <c r="AC65" s="31" t="n">
        <v>370.4116177584443</v>
      </c>
      <c r="AD65" s="31" t="n">
        <v>74.3190009477875</v>
      </c>
      <c r="AE65" s="31" t="n">
        <v>258.0319999721738</v>
      </c>
      <c r="AF65" s="31" t="n">
        <v>294.9774600986107</v>
      </c>
      <c r="AG65" s="31" t="n">
        <v>538.5470215588355</v>
      </c>
      <c r="AH65" s="31" t="n">
        <v>495.3487068432133</v>
      </c>
      <c r="AI65" s="31" t="n">
        <v>1027.12228468294</v>
      </c>
      <c r="AJ65" s="31" t="n">
        <v>202.462493357777</v>
      </c>
      <c r="AK65" s="31" t="n">
        <v>80.02493818177842</v>
      </c>
      <c r="AL65" s="31" t="n">
        <v>252.3162783239771</v>
      </c>
      <c r="AM65" s="31" t="n">
        <v>159.523615166635</v>
      </c>
      <c r="AN65" s="31" t="n">
        <v>1370.895032188924</v>
      </c>
      <c r="AO65" s="31" t="n">
        <v>625.2496962891465</v>
      </c>
      <c r="AP65" s="31" t="n">
        <v>569.7501925966927</v>
      </c>
      <c r="AQ65" s="31" t="n">
        <v>628.1603816821297</v>
      </c>
      <c r="AR65" s="31" t="n">
        <v>14196.62169361858</v>
      </c>
      <c r="AS65" s="31" t="n">
        <v>1422.643557704638</v>
      </c>
      <c r="AT65" s="31" t="n">
        <v>1.261212396922318</v>
      </c>
      <c r="AU65" s="31" t="n">
        <v>845.5186008836638</v>
      </c>
      <c r="AV65" s="31" t="n">
        <v>2401.630827199808</v>
      </c>
      <c r="AW65" s="31" t="n">
        <v>87.16711116177703</v>
      </c>
      <c r="AX65" s="31" t="n">
        <v>146.069763807029</v>
      </c>
      <c r="AY65" s="31" t="n">
        <v>559.0163004818236</v>
      </c>
      <c r="AZ65" s="31" t="n">
        <v>1477.418817808726</v>
      </c>
      <c r="BA65" s="31" t="n">
        <v>3569.49690766573</v>
      </c>
      <c r="BB65" s="31" t="n">
        <v>22167.34056869966</v>
      </c>
      <c r="BC65" s="31" t="n">
        <v>20644.42543201883</v>
      </c>
      <c r="BD65" s="31" t="n">
        <v>462.9621577903222</v>
      </c>
      <c r="BE65" s="31" t="n">
        <v>4134.138275653344</v>
      </c>
      <c r="BF65" s="31" t="n">
        <v>102.4630000112033</v>
      </c>
      <c r="BG65" s="31" t="n">
        <v>16134.33668900212</v>
      </c>
      <c r="BH65" s="31" t="n">
        <v>616.8207372284086</v>
      </c>
      <c r="BI65" s="31" t="n">
        <v>1687.405360731182</v>
      </c>
      <c r="BJ65" s="31" t="n">
        <v>317.3020126670103</v>
      </c>
      <c r="BK65" s="31" t="n">
        <v>17953.59160977311</v>
      </c>
      <c r="BL65" s="31" t="n">
        <v>1781.842841064813</v>
      </c>
      <c r="BM65" s="31" t="n">
        <v>596.6755926573181</v>
      </c>
      <c r="BN65" s="31" t="n">
        <v>2771.112785437018</v>
      </c>
      <c r="BO65" s="31" t="n">
        <v>8.27112168218293</v>
      </c>
      <c r="BP65" s="31" t="n">
        <v>232.9469225130009</v>
      </c>
      <c r="BQ65" s="31" t="n">
        <v>2273.933037280093</v>
      </c>
      <c r="BR65" s="31" t="n">
        <v>0</v>
      </c>
      <c r="BS65" s="31">
        <f>SUM(C65:BR65)</f>
        <v/>
      </c>
      <c r="BT65" s="31" t="n">
        <v>0</v>
      </c>
      <c r="BU65" s="31" t="n">
        <v>0</v>
      </c>
      <c r="BV65" s="31" t="n">
        <v>136522.0299238582</v>
      </c>
      <c r="BW65" s="31" t="n">
        <v>0</v>
      </c>
      <c r="BX65" s="31">
        <f>SUM(BT65:BW65)</f>
        <v/>
      </c>
      <c r="BY65" s="31">
        <f>BS65+BX65</f>
        <v/>
      </c>
    </row>
    <row r="66">
      <c r="A66" s="28" t="inlineStr">
        <is>
          <t>6480</t>
        </is>
      </c>
      <c r="B66" s="28" t="inlineStr">
        <is>
          <t>Intermediação financeira, seguros e previdência complementar</t>
        </is>
      </c>
      <c r="C66" s="29" t="n">
        <v>7664.495874664</v>
      </c>
      <c r="D66" s="29" t="n">
        <v>2466.557683840443</v>
      </c>
      <c r="E66" s="29" t="n">
        <v>624.5942847981411</v>
      </c>
      <c r="F66" s="29" t="n">
        <v>896.7568978174625</v>
      </c>
      <c r="G66" s="29" t="n">
        <v>4654.205633010573</v>
      </c>
      <c r="H66" s="29" t="n">
        <v>1466.279500770283</v>
      </c>
      <c r="I66" s="29" t="n">
        <v>527.0384490746522</v>
      </c>
      <c r="J66" s="29" t="n">
        <v>5664.724099590643</v>
      </c>
      <c r="K66" s="29" t="n">
        <v>2032.894338187589</v>
      </c>
      <c r="L66" s="29" t="n">
        <v>5930.501719051006</v>
      </c>
      <c r="M66" s="29" t="n">
        <v>1575.989460581907</v>
      </c>
      <c r="N66" s="29" t="n">
        <v>287.2368308164136</v>
      </c>
      <c r="O66" s="29" t="n">
        <v>850.4209482940777</v>
      </c>
      <c r="P66" s="29" t="n">
        <v>897.1677909656436</v>
      </c>
      <c r="Q66" s="29" t="n">
        <v>650.495318406979</v>
      </c>
      <c r="R66" s="29" t="n">
        <v>640.0937050456673</v>
      </c>
      <c r="S66" s="29" t="n">
        <v>2453.338574293116</v>
      </c>
      <c r="T66" s="29" t="n">
        <v>314.5292372743973</v>
      </c>
      <c r="U66" s="29" t="n">
        <v>3634.938648727897</v>
      </c>
      <c r="V66" s="29" t="n">
        <v>1303.253961488648</v>
      </c>
      <c r="W66" s="29" t="n">
        <v>4488.362024313971</v>
      </c>
      <c r="X66" s="29" t="n">
        <v>1622.590428293576</v>
      </c>
      <c r="Y66" s="29" t="n">
        <v>842.6536680924487</v>
      </c>
      <c r="Z66" s="29" t="n">
        <v>1181.00979833407</v>
      </c>
      <c r="AA66" s="29" t="n">
        <v>1972.645028846461</v>
      </c>
      <c r="AB66" s="29" t="n">
        <v>2411.766643439933</v>
      </c>
      <c r="AC66" s="29" t="n">
        <v>3767.36464713636</v>
      </c>
      <c r="AD66" s="29" t="n">
        <v>1337.578393406926</v>
      </c>
      <c r="AE66" s="29" t="n">
        <v>1740.913756231219</v>
      </c>
      <c r="AF66" s="29" t="n">
        <v>2065.519977048426</v>
      </c>
      <c r="AG66" s="29" t="n">
        <v>1462.717475701448</v>
      </c>
      <c r="AH66" s="29" t="n">
        <v>2701.129311717442</v>
      </c>
      <c r="AI66" s="29" t="n">
        <v>2861.592850771791</v>
      </c>
      <c r="AJ66" s="29" t="n">
        <v>1135.308239784614</v>
      </c>
      <c r="AK66" s="29" t="n">
        <v>630.3902679527453</v>
      </c>
      <c r="AL66" s="29" t="n">
        <v>1052.595935051643</v>
      </c>
      <c r="AM66" s="29" t="n">
        <v>651.2006106082881</v>
      </c>
      <c r="AN66" s="29" t="n">
        <v>7992.164341152713</v>
      </c>
      <c r="AO66" s="29" t="n">
        <v>1380.196117791622</v>
      </c>
      <c r="AP66" s="29" t="n">
        <v>8167.985467273299</v>
      </c>
      <c r="AQ66" s="29" t="n">
        <v>2870.097201961433</v>
      </c>
      <c r="AR66" s="29" t="n">
        <v>32292.60748288131</v>
      </c>
      <c r="AS66" s="29" t="n">
        <v>8835.847900009541</v>
      </c>
      <c r="AT66" s="29" t="n">
        <v>721.3955192056945</v>
      </c>
      <c r="AU66" s="29" t="n">
        <v>951.2460887699494</v>
      </c>
      <c r="AV66" s="29" t="n">
        <v>3534.768798179496</v>
      </c>
      <c r="AW66" s="29" t="n">
        <v>653.3348732068208</v>
      </c>
      <c r="AX66" s="29" t="n">
        <v>2652.469648465582</v>
      </c>
      <c r="AY66" s="29" t="n">
        <v>377.8373967604062</v>
      </c>
      <c r="AZ66" s="29" t="n">
        <v>959.3059456912708</v>
      </c>
      <c r="BA66" s="29" t="n">
        <v>8168.199934900862</v>
      </c>
      <c r="BB66" s="29" t="n">
        <v>3508.777029187604</v>
      </c>
      <c r="BC66" s="29" t="n">
        <v>104265.9366861211</v>
      </c>
      <c r="BD66" s="29" t="n">
        <v>26149.1297741985</v>
      </c>
      <c r="BE66" s="29" t="n">
        <v>4701.159314796244</v>
      </c>
      <c r="BF66" s="29" t="n">
        <v>1436.40076920829</v>
      </c>
      <c r="BG66" s="29" t="n">
        <v>1077.652236650164</v>
      </c>
      <c r="BH66" s="29" t="n">
        <v>1653.393391316408</v>
      </c>
      <c r="BI66" s="29" t="n">
        <v>5200.563764864231</v>
      </c>
      <c r="BJ66" s="29" t="n">
        <v>862.1038807723908</v>
      </c>
      <c r="BK66" s="29" t="n">
        <v>59204.62747278627</v>
      </c>
      <c r="BL66" s="29" t="n">
        <v>795.8853711182034</v>
      </c>
      <c r="BM66" s="29" t="n">
        <v>1706.064310810016</v>
      </c>
      <c r="BN66" s="29" t="n">
        <v>586.346815057858</v>
      </c>
      <c r="BO66" s="29" t="n">
        <v>5300.237649706904</v>
      </c>
      <c r="BP66" s="29" t="n">
        <v>849.4614770879052</v>
      </c>
      <c r="BQ66" s="29" t="n">
        <v>2466.602755145155</v>
      </c>
      <c r="BR66" s="29" t="n">
        <v>0</v>
      </c>
      <c r="BS66" s="29">
        <f>SUM(C66:BR66)</f>
        <v/>
      </c>
      <c r="BT66" s="29" t="n">
        <v>0</v>
      </c>
      <c r="BU66" s="29" t="n">
        <v>0</v>
      </c>
      <c r="BV66" s="29" t="n">
        <v>342064.3485714918</v>
      </c>
      <c r="BW66" s="29" t="n">
        <v>0</v>
      </c>
      <c r="BX66" s="29">
        <f>SUM(BT66:BW66)</f>
        <v/>
      </c>
      <c r="BY66" s="29">
        <f>BS66+BX66</f>
        <v/>
      </c>
    </row>
    <row r="67">
      <c r="A67" s="30" t="inlineStr">
        <is>
          <t>6800</t>
        </is>
      </c>
      <c r="B67" s="30" t="inlineStr">
        <is>
          <t>Atividades imobiliárias</t>
        </is>
      </c>
      <c r="C67" s="31" t="n">
        <v>7.787429500570486</v>
      </c>
      <c r="D67" s="31" t="n">
        <v>6.371589200301353</v>
      </c>
      <c r="E67" s="31" t="n">
        <v>7.079432683037964</v>
      </c>
      <c r="F67" s="31" t="n">
        <v>27.60976222258165</v>
      </c>
      <c r="G67" s="31" t="n">
        <v>441.7576817293283</v>
      </c>
      <c r="H67" s="31" t="n">
        <v>89.91077167805128</v>
      </c>
      <c r="I67" s="31" t="n">
        <v>28.3178227330294</v>
      </c>
      <c r="J67" s="31" t="n">
        <v>920.3253287861597</v>
      </c>
      <c r="K67" s="31" t="n">
        <v>261.2308048631484</v>
      </c>
      <c r="L67" s="31" t="n">
        <v>552.9031492682881</v>
      </c>
      <c r="M67" s="31" t="n">
        <v>76.45779654531172</v>
      </c>
      <c r="N67" s="31" t="n">
        <v>28.31770242418953</v>
      </c>
      <c r="O67" s="31" t="n">
        <v>327.0694629993891</v>
      </c>
      <c r="P67" s="31" t="n">
        <v>391.4922360144203</v>
      </c>
      <c r="Q67" s="31" t="n">
        <v>82.12133703014963</v>
      </c>
      <c r="R67" s="31" t="n">
        <v>58.75923253019327</v>
      </c>
      <c r="S67" s="31" t="n">
        <v>228.6654942552677</v>
      </c>
      <c r="T67" s="31" t="n">
        <v>52.38774948475064</v>
      </c>
      <c r="U67" s="31" t="n">
        <v>244.9481259692394</v>
      </c>
      <c r="V67" s="31" t="n">
        <v>370.9620645276662</v>
      </c>
      <c r="W67" s="31" t="n">
        <v>282.4693175809766</v>
      </c>
      <c r="X67" s="31" t="n">
        <v>121.0581778634102</v>
      </c>
      <c r="Y67" s="31" t="n">
        <v>177.6935827117893</v>
      </c>
      <c r="Z67" s="31" t="n">
        <v>288.8405647267332</v>
      </c>
      <c r="AA67" s="31" t="n">
        <v>504.0551031505736</v>
      </c>
      <c r="AB67" s="31" t="n">
        <v>244.94813304623</v>
      </c>
      <c r="AC67" s="31" t="n">
        <v>360.3428246817301</v>
      </c>
      <c r="AD67" s="31" t="n">
        <v>14.15888423805081</v>
      </c>
      <c r="AE67" s="31" t="n">
        <v>295.212163363022</v>
      </c>
      <c r="AF67" s="31" t="n">
        <v>179.817587318368</v>
      </c>
      <c r="AG67" s="31" t="n">
        <v>133.0932061116845</v>
      </c>
      <c r="AH67" s="31" t="n">
        <v>303.7074953212506</v>
      </c>
      <c r="AI67" s="31" t="n">
        <v>104.0680706702121</v>
      </c>
      <c r="AJ67" s="31" t="n">
        <v>220.8781308066092</v>
      </c>
      <c r="AK67" s="31" t="n">
        <v>45.30884993500307</v>
      </c>
      <c r="AL67" s="31" t="n">
        <v>264.770553051125</v>
      </c>
      <c r="AM67" s="31" t="n">
        <v>55.92746228777432</v>
      </c>
      <c r="AN67" s="31" t="n">
        <v>685.9963412259914</v>
      </c>
      <c r="AO67" s="31" t="n">
        <v>370.2539591962781</v>
      </c>
      <c r="AP67" s="31" t="n">
        <v>1049.249087357121</v>
      </c>
      <c r="AQ67" s="31" t="n">
        <v>3793.157563117426</v>
      </c>
      <c r="AR67" s="31" t="n">
        <v>44196.85601416221</v>
      </c>
      <c r="AS67" s="31" t="n">
        <v>1350.046519689161</v>
      </c>
      <c r="AT67" s="31" t="n">
        <v>111.8549363705329</v>
      </c>
      <c r="AU67" s="31" t="n">
        <v>89.90870755579861</v>
      </c>
      <c r="AV67" s="31" t="n">
        <v>3799.528725339296</v>
      </c>
      <c r="AW67" s="31" t="n">
        <v>1076.073293663402</v>
      </c>
      <c r="AX67" s="31" t="n">
        <v>4774.364628718355</v>
      </c>
      <c r="AY67" s="31" t="n">
        <v>167.7823986583073</v>
      </c>
      <c r="AZ67" s="31" t="n">
        <v>455.9155162137764</v>
      </c>
      <c r="BA67" s="31" t="n">
        <v>1995.690083062751</v>
      </c>
      <c r="BB67" s="31" t="n">
        <v>2782.92558382073</v>
      </c>
      <c r="BC67" s="31" t="n">
        <v>4700.031365194919</v>
      </c>
      <c r="BD67" s="31" t="n">
        <v>2011.97382114625</v>
      </c>
      <c r="BE67" s="31" t="n">
        <v>5465.316744793344</v>
      </c>
      <c r="BF67" s="31" t="n">
        <v>947.9355179871732</v>
      </c>
      <c r="BG67" s="31" t="n">
        <v>1636.763200118155</v>
      </c>
      <c r="BH67" s="31" t="n">
        <v>1169.52167156028</v>
      </c>
      <c r="BI67" s="31" t="n">
        <v>3654.404088449549</v>
      </c>
      <c r="BJ67" s="31" t="n">
        <v>302.999415938828</v>
      </c>
      <c r="BK67" s="31" t="n">
        <v>2295.159736447311</v>
      </c>
      <c r="BL67" s="31" t="n">
        <v>554.3223369851017</v>
      </c>
      <c r="BM67" s="31" t="n">
        <v>5312.402095301465</v>
      </c>
      <c r="BN67" s="31" t="n">
        <v>470.7875941394427</v>
      </c>
      <c r="BO67" s="31" t="n">
        <v>2798.496942070531</v>
      </c>
      <c r="BP67" s="31" t="n">
        <v>3831.385159223815</v>
      </c>
      <c r="BQ67" s="31" t="n">
        <v>3631.038025552861</v>
      </c>
      <c r="BR67" s="31" t="n">
        <v>0</v>
      </c>
      <c r="BS67" s="31">
        <f>SUM(C67:BR67)</f>
        <v/>
      </c>
      <c r="BT67" s="31" t="n">
        <v>0</v>
      </c>
      <c r="BU67" s="31" t="n">
        <v>0</v>
      </c>
      <c r="BV67" s="31" t="n">
        <v>645030.0338456302</v>
      </c>
      <c r="BW67" s="31" t="n">
        <v>0</v>
      </c>
      <c r="BX67" s="31">
        <f>SUM(BT67:BW67)</f>
        <v/>
      </c>
      <c r="BY67" s="31">
        <f>BS67+BX67</f>
        <v/>
      </c>
    </row>
    <row r="68">
      <c r="A68" s="28" t="inlineStr">
        <is>
          <t>6980</t>
        </is>
      </c>
      <c r="B68" s="28" t="inlineStr">
        <is>
          <t>Atividades jurídicas, contábeis, consultoria e sedes de empresas</t>
        </is>
      </c>
      <c r="C68" s="29" t="n">
        <v>33.7610169977394</v>
      </c>
      <c r="D68" s="29" t="n">
        <v>11.55545069073664</v>
      </c>
      <c r="E68" s="29" t="n">
        <v>39.08149399260852</v>
      </c>
      <c r="F68" s="29" t="n">
        <v>563.087779679107</v>
      </c>
      <c r="G68" s="29" t="n">
        <v>8568.939199708806</v>
      </c>
      <c r="H68" s="29" t="n">
        <v>2573.79675342413</v>
      </c>
      <c r="I68" s="29" t="n">
        <v>228.3354783137447</v>
      </c>
      <c r="J68" s="29" t="n">
        <v>6881.225898491467</v>
      </c>
      <c r="K68" s="29" t="n">
        <v>1266.581653675525</v>
      </c>
      <c r="L68" s="29" t="n">
        <v>10481.28506264558</v>
      </c>
      <c r="M68" s="29" t="n">
        <v>3491.081839436563</v>
      </c>
      <c r="N68" s="29" t="n">
        <v>758.7348243956984</v>
      </c>
      <c r="O68" s="29" t="n">
        <v>440.9972804185497</v>
      </c>
      <c r="P68" s="29" t="n">
        <v>379.9657067429123</v>
      </c>
      <c r="Q68" s="29" t="n">
        <v>240.1749250484658</v>
      </c>
      <c r="R68" s="29" t="n">
        <v>457.3932728473102</v>
      </c>
      <c r="S68" s="29" t="n">
        <v>3081.040331656053</v>
      </c>
      <c r="T68" s="29" t="n">
        <v>207.0630544535757</v>
      </c>
      <c r="U68" s="29" t="n">
        <v>7081.252663868586</v>
      </c>
      <c r="V68" s="29" t="n">
        <v>1364.029326055387</v>
      </c>
      <c r="W68" s="29" t="n">
        <v>6157.185451499246</v>
      </c>
      <c r="X68" s="29" t="n">
        <v>4479.388063572653</v>
      </c>
      <c r="Y68" s="29" t="n">
        <v>2097.812858763898</v>
      </c>
      <c r="Z68" s="29" t="n">
        <v>3966.522453713912</v>
      </c>
      <c r="AA68" s="29" t="n">
        <v>2564.406462245815</v>
      </c>
      <c r="AB68" s="29" t="n">
        <v>2960.276093407069</v>
      </c>
      <c r="AC68" s="29" t="n">
        <v>1961.956297588802</v>
      </c>
      <c r="AD68" s="29" t="n">
        <v>819.5400667464804</v>
      </c>
      <c r="AE68" s="29" t="n">
        <v>998.2220242591725</v>
      </c>
      <c r="AF68" s="29" t="n">
        <v>3160.005289787295</v>
      </c>
      <c r="AG68" s="29" t="n">
        <v>1595.810090693512</v>
      </c>
      <c r="AH68" s="29" t="n">
        <v>2596.106016033858</v>
      </c>
      <c r="AI68" s="29" t="n">
        <v>3291.215473036874</v>
      </c>
      <c r="AJ68" s="29" t="n">
        <v>1355.426152456647</v>
      </c>
      <c r="AK68" s="29" t="n">
        <v>533.938185415388</v>
      </c>
      <c r="AL68" s="29" t="n">
        <v>658.6863713716463</v>
      </c>
      <c r="AM68" s="29" t="n">
        <v>943.1428201908627</v>
      </c>
      <c r="AN68" s="29" t="n">
        <v>912.0478831404776</v>
      </c>
      <c r="AO68" s="29" t="n">
        <v>2317.302788139078</v>
      </c>
      <c r="AP68" s="29" t="n">
        <v>4896.07673593034</v>
      </c>
      <c r="AQ68" s="29" t="n">
        <v>8347.133716376316</v>
      </c>
      <c r="AR68" s="29" t="n">
        <v>38497.11161016937</v>
      </c>
      <c r="AS68" s="29" t="n">
        <v>3276.812483593949</v>
      </c>
      <c r="AT68" s="29" t="n">
        <v>263.0029266826955</v>
      </c>
      <c r="AU68" s="29" t="n">
        <v>532.9200657655005</v>
      </c>
      <c r="AV68" s="29" t="n">
        <v>3374.411789658122</v>
      </c>
      <c r="AW68" s="29" t="n">
        <v>277.6897067158984</v>
      </c>
      <c r="AX68" s="29" t="n">
        <v>1278.36692958688</v>
      </c>
      <c r="AY68" s="29" t="n">
        <v>419.8295345915546</v>
      </c>
      <c r="AZ68" s="29" t="n">
        <v>2959.238406281002</v>
      </c>
      <c r="BA68" s="29" t="n">
        <v>3347.144993842457</v>
      </c>
      <c r="BB68" s="29" t="n">
        <v>6434.700669404699</v>
      </c>
      <c r="BC68" s="29" t="n">
        <v>17826.89389265451</v>
      </c>
      <c r="BD68" s="29" t="n">
        <v>3096.601407039515</v>
      </c>
      <c r="BE68" s="29" t="n">
        <v>22239.08411015339</v>
      </c>
      <c r="BF68" s="29" t="n">
        <v>6444.649456425629</v>
      </c>
      <c r="BG68" s="29" t="n">
        <v>860.5535158573417</v>
      </c>
      <c r="BH68" s="29" t="n">
        <v>1272.368379807008</v>
      </c>
      <c r="BI68" s="29" t="n">
        <v>5704.124744046392</v>
      </c>
      <c r="BJ68" s="29" t="n">
        <v>2014.465521626119</v>
      </c>
      <c r="BK68" s="29" t="n">
        <v>5358.707464091573</v>
      </c>
      <c r="BL68" s="29" t="n">
        <v>150.8557707640812</v>
      </c>
      <c r="BM68" s="29" t="n">
        <v>3137.707232337344</v>
      </c>
      <c r="BN68" s="29" t="n">
        <v>378.9501721485024</v>
      </c>
      <c r="BO68" s="29" t="n">
        <v>4488.305150345064</v>
      </c>
      <c r="BP68" s="29" t="n">
        <v>1391.60755421659</v>
      </c>
      <c r="BQ68" s="29" t="n">
        <v>4304.807205030208</v>
      </c>
      <c r="BR68" s="29" t="n">
        <v>0</v>
      </c>
      <c r="BS68" s="29">
        <f>SUM(C68:BR68)</f>
        <v/>
      </c>
      <c r="BT68" s="29" t="n">
        <v>0</v>
      </c>
      <c r="BU68" s="29" t="n">
        <v>0</v>
      </c>
      <c r="BV68" s="29" t="n">
        <v>40937.4867906339</v>
      </c>
      <c r="BW68" s="29" t="n">
        <v>0</v>
      </c>
      <c r="BX68" s="29">
        <f>SUM(BT68:BW68)</f>
        <v/>
      </c>
      <c r="BY68" s="29">
        <f>BS68+BX68</f>
        <v/>
      </c>
    </row>
    <row r="69">
      <c r="A69" s="30" t="inlineStr">
        <is>
          <t>7180</t>
        </is>
      </c>
      <c r="B69" s="30" t="inlineStr">
        <is>
          <t>Serviços de arquitetura, engenharia, testes/análises técnicas e P &amp; D</t>
        </is>
      </c>
      <c r="C69" s="31" t="n">
        <v>1064.949092572521</v>
      </c>
      <c r="D69" s="31" t="n">
        <v>36.24082926227898</v>
      </c>
      <c r="E69" s="31" t="n">
        <v>0.23182572920823</v>
      </c>
      <c r="F69" s="31" t="n">
        <v>68.16906444332902</v>
      </c>
      <c r="G69" s="31" t="n">
        <v>2129.319622544291</v>
      </c>
      <c r="H69" s="31" t="n">
        <v>1236.480185584526</v>
      </c>
      <c r="I69" s="31" t="n">
        <v>187.5614779719216</v>
      </c>
      <c r="J69" s="31" t="n">
        <v>1604.690522062901</v>
      </c>
      <c r="K69" s="31" t="n">
        <v>705.2571118237061</v>
      </c>
      <c r="L69" s="31" t="n">
        <v>1417.000115374246</v>
      </c>
      <c r="M69" s="31" t="n">
        <v>275.0876167204572</v>
      </c>
      <c r="N69" s="31" t="n">
        <v>160.3080833459511</v>
      </c>
      <c r="O69" s="31" t="n">
        <v>83.87309553880476</v>
      </c>
      <c r="P69" s="31" t="n">
        <v>183.7445573077549</v>
      </c>
      <c r="Q69" s="31" t="n">
        <v>106.8070219866247</v>
      </c>
      <c r="R69" s="31" t="n">
        <v>117.4770972528415</v>
      </c>
      <c r="S69" s="31" t="n">
        <v>812.1647394762974</v>
      </c>
      <c r="T69" s="31" t="n">
        <v>41.43019631978389</v>
      </c>
      <c r="U69" s="31" t="n">
        <v>275.4466820383172</v>
      </c>
      <c r="V69" s="31" t="n">
        <v>590.5698784919189</v>
      </c>
      <c r="W69" s="31" t="n">
        <v>1392.700801421159</v>
      </c>
      <c r="X69" s="31" t="n">
        <v>809.1577887765952</v>
      </c>
      <c r="Y69" s="31" t="n">
        <v>456.4027240728433</v>
      </c>
      <c r="Z69" s="31" t="n">
        <v>1121.856048097154</v>
      </c>
      <c r="AA69" s="31" t="n">
        <v>1152.645083130052</v>
      </c>
      <c r="AB69" s="31" t="n">
        <v>733.1483250535057</v>
      </c>
      <c r="AC69" s="31" t="n">
        <v>551.5172479101334</v>
      </c>
      <c r="AD69" s="31" t="n">
        <v>384.1290053041195</v>
      </c>
      <c r="AE69" s="31" t="n">
        <v>602.6613278799998</v>
      </c>
      <c r="AF69" s="31" t="n">
        <v>615.743997494925</v>
      </c>
      <c r="AG69" s="31" t="n">
        <v>440.8852754070051</v>
      </c>
      <c r="AH69" s="31" t="n">
        <v>2572.674965205934</v>
      </c>
      <c r="AI69" s="31" t="n">
        <v>1603.378454421598</v>
      </c>
      <c r="AJ69" s="31" t="n">
        <v>808.8612511066498</v>
      </c>
      <c r="AK69" s="31" t="n">
        <v>127.8672016382257</v>
      </c>
      <c r="AL69" s="31" t="n">
        <v>322.6422791559885</v>
      </c>
      <c r="AM69" s="31" t="n">
        <v>255.5684794480632</v>
      </c>
      <c r="AN69" s="31" t="n">
        <v>2147.291732543797</v>
      </c>
      <c r="AO69" s="31" t="n">
        <v>625.7927810499359</v>
      </c>
      <c r="AP69" s="31" t="n">
        <v>3097.589669414123</v>
      </c>
      <c r="AQ69" s="31" t="n">
        <v>114.34376403678</v>
      </c>
      <c r="AR69" s="31" t="n">
        <v>2157.248369795323</v>
      </c>
      <c r="AS69" s="31" t="n">
        <v>476.6255227467167</v>
      </c>
      <c r="AT69" s="31" t="n">
        <v>24.46380755022957</v>
      </c>
      <c r="AU69" s="31" t="n">
        <v>0.4920839045522477</v>
      </c>
      <c r="AV69" s="31" t="n">
        <v>6513.105553786387</v>
      </c>
      <c r="AW69" s="31" t="n">
        <v>10.5531287162278</v>
      </c>
      <c r="AX69" s="31" t="n">
        <v>30.12731481032398</v>
      </c>
      <c r="AY69" s="31" t="n">
        <v>2.125511411613006</v>
      </c>
      <c r="AZ69" s="31" t="n">
        <v>4.014581299221479</v>
      </c>
      <c r="BA69" s="31" t="n">
        <v>27.528014940661</v>
      </c>
      <c r="BB69" s="31" t="n">
        <v>581.4462763664254</v>
      </c>
      <c r="BC69" s="31" t="n">
        <v>530.4846612487042</v>
      </c>
      <c r="BD69" s="31" t="n">
        <v>27.77452298909925</v>
      </c>
      <c r="BE69" s="31" t="n">
        <v>31.17314131640487</v>
      </c>
      <c r="BF69" s="31" t="n">
        <v>3277.91146336626</v>
      </c>
      <c r="BG69" s="31" t="n">
        <v>9.816643513501095</v>
      </c>
      <c r="BH69" s="31" t="n">
        <v>101.8822394468258</v>
      </c>
      <c r="BI69" s="31" t="n">
        <v>49.43094617190227</v>
      </c>
      <c r="BJ69" s="31" t="n">
        <v>2.079751381411778</v>
      </c>
      <c r="BK69" s="31" t="n">
        <v>5240.215980775114</v>
      </c>
      <c r="BL69" s="31" t="n">
        <v>1513.415689648816</v>
      </c>
      <c r="BM69" s="31" t="n">
        <v>154.7865191951403</v>
      </c>
      <c r="BN69" s="31" t="n">
        <v>2359.722891992596</v>
      </c>
      <c r="BO69" s="31" t="n">
        <v>16.44876204971854</v>
      </c>
      <c r="BP69" s="31" t="n">
        <v>20.82704660876563</v>
      </c>
      <c r="BQ69" s="31" t="n">
        <v>19.96653136056712</v>
      </c>
      <c r="BR69" s="31" t="n">
        <v>0</v>
      </c>
      <c r="BS69" s="31">
        <f>SUM(C69:BR69)</f>
        <v/>
      </c>
      <c r="BT69" s="31" t="n">
        <v>0</v>
      </c>
      <c r="BU69" s="31" t="n">
        <v>0</v>
      </c>
      <c r="BV69" s="31" t="n">
        <v>30873.62675384463</v>
      </c>
      <c r="BW69" s="31" t="n">
        <v>0</v>
      </c>
      <c r="BX69" s="31">
        <f>SUM(BT69:BW69)</f>
        <v/>
      </c>
      <c r="BY69" s="31">
        <f>BS69+BX69</f>
        <v/>
      </c>
    </row>
    <row r="70">
      <c r="A70" s="28" t="inlineStr">
        <is>
          <t>7380</t>
        </is>
      </c>
      <c r="B70" s="28" t="inlineStr">
        <is>
          <t>Outras atividades profissionais, científicas e técnicas</t>
        </is>
      </c>
      <c r="C70" s="29" t="n">
        <v>21.62495610396918</v>
      </c>
      <c r="D70" s="29" t="n">
        <v>532.0042322346563</v>
      </c>
      <c r="E70" s="29" t="n">
        <v>124.3162498306049</v>
      </c>
      <c r="F70" s="29" t="n">
        <v>61.03255509272974</v>
      </c>
      <c r="G70" s="29" t="n">
        <v>935.2573332304617</v>
      </c>
      <c r="H70" s="29" t="n">
        <v>35.6551404200862</v>
      </c>
      <c r="I70" s="29" t="n">
        <v>0.8130186168231801</v>
      </c>
      <c r="J70" s="29" t="n">
        <v>3912.99986523842</v>
      </c>
      <c r="K70" s="29" t="n">
        <v>516.9607803437318</v>
      </c>
      <c r="L70" s="29" t="n">
        <v>5252.7714440676</v>
      </c>
      <c r="M70" s="29" t="n">
        <v>7241.218836769306</v>
      </c>
      <c r="N70" s="29" t="n">
        <v>407.8292620309805</v>
      </c>
      <c r="O70" s="29" t="n">
        <v>137.1501124502388</v>
      </c>
      <c r="P70" s="29" t="n">
        <v>534.8779064025706</v>
      </c>
      <c r="Q70" s="29" t="n">
        <v>901.555118751279</v>
      </c>
      <c r="R70" s="29" t="n">
        <v>91.46310674855832</v>
      </c>
      <c r="S70" s="29" t="n">
        <v>955.8739508218857</v>
      </c>
      <c r="T70" s="29" t="n">
        <v>74.17632740673623</v>
      </c>
      <c r="U70" s="29" t="n">
        <v>373.3942143085278</v>
      </c>
      <c r="V70" s="29" t="n">
        <v>328.0140197347433</v>
      </c>
      <c r="W70" s="29" t="n">
        <v>244.8952942208427</v>
      </c>
      <c r="X70" s="29" t="n">
        <v>805.3481916701056</v>
      </c>
      <c r="Y70" s="29" t="n">
        <v>1730.467759271988</v>
      </c>
      <c r="Z70" s="29" t="n">
        <v>2855.483531498472</v>
      </c>
      <c r="AA70" s="29" t="n">
        <v>879.8905213194071</v>
      </c>
      <c r="AB70" s="29" t="n">
        <v>482.6619722366141</v>
      </c>
      <c r="AC70" s="29" t="n">
        <v>391.0067150013284</v>
      </c>
      <c r="AD70" s="29" t="n">
        <v>28.8710918855003</v>
      </c>
      <c r="AE70" s="29" t="n">
        <v>797.0610762891096</v>
      </c>
      <c r="AF70" s="29" t="n">
        <v>1764.832438585009</v>
      </c>
      <c r="AG70" s="29" t="n">
        <v>884.7706753697626</v>
      </c>
      <c r="AH70" s="29" t="n">
        <v>835.2642728737045</v>
      </c>
      <c r="AI70" s="29" t="n">
        <v>4413.629903002854</v>
      </c>
      <c r="AJ70" s="29" t="n">
        <v>216.2927112384311</v>
      </c>
      <c r="AK70" s="29" t="n">
        <v>301.9931099432482</v>
      </c>
      <c r="AL70" s="29" t="n">
        <v>643.7308376315001</v>
      </c>
      <c r="AM70" s="29" t="n">
        <v>200.7826873742335</v>
      </c>
      <c r="AN70" s="29" t="n">
        <v>2968.330822385024</v>
      </c>
      <c r="AO70" s="29" t="n">
        <v>325.207233998673</v>
      </c>
      <c r="AP70" s="29" t="n">
        <v>2039.582066840487</v>
      </c>
      <c r="AQ70" s="29" t="n">
        <v>3609.535656581346</v>
      </c>
      <c r="AR70" s="29" t="n">
        <v>29215.98699547416</v>
      </c>
      <c r="AS70" s="29" t="n">
        <v>1186.479422698157</v>
      </c>
      <c r="AT70" s="29" t="n">
        <v>96.55664950338443</v>
      </c>
      <c r="AU70" s="29" t="n">
        <v>197.6985280616212</v>
      </c>
      <c r="AV70" s="29" t="n">
        <v>2401.146673332845</v>
      </c>
      <c r="AW70" s="29" t="n">
        <v>410.3863369471815</v>
      </c>
      <c r="AX70" s="29" t="n">
        <v>1010.106093712348</v>
      </c>
      <c r="AY70" s="29" t="n">
        <v>829.5050006779986</v>
      </c>
      <c r="AZ70" s="29" t="n">
        <v>2390.955395996774</v>
      </c>
      <c r="BA70" s="29" t="n">
        <v>3390.994332048057</v>
      </c>
      <c r="BB70" s="29" t="n">
        <v>4410.192855680994</v>
      </c>
      <c r="BC70" s="29" t="n">
        <v>12375.94176216604</v>
      </c>
      <c r="BD70" s="29" t="n">
        <v>1152.740870151405</v>
      </c>
      <c r="BE70" s="29" t="n">
        <v>6169.196506889691</v>
      </c>
      <c r="BF70" s="29" t="n">
        <v>738.5231741066161</v>
      </c>
      <c r="BG70" s="29" t="n">
        <v>4281.461610931543</v>
      </c>
      <c r="BH70" s="29" t="n">
        <v>1679.809480704607</v>
      </c>
      <c r="BI70" s="29" t="n">
        <v>2547.300121306283</v>
      </c>
      <c r="BJ70" s="29" t="n">
        <v>302.0423784089457</v>
      </c>
      <c r="BK70" s="29" t="n">
        <v>4190.42059500395</v>
      </c>
      <c r="BL70" s="29" t="n">
        <v>759.9779442998678</v>
      </c>
      <c r="BM70" s="29" t="n">
        <v>3863.343409657499</v>
      </c>
      <c r="BN70" s="29" t="n">
        <v>1518.956926411181</v>
      </c>
      <c r="BO70" s="29" t="n">
        <v>46.55113376689716</v>
      </c>
      <c r="BP70" s="29" t="n">
        <v>1992.708706609887</v>
      </c>
      <c r="BQ70" s="29" t="n">
        <v>2367.121483772237</v>
      </c>
      <c r="BR70" s="29" t="n">
        <v>0</v>
      </c>
      <c r="BS70" s="29">
        <f>SUM(C70:BR70)</f>
        <v/>
      </c>
      <c r="BT70" s="29" t="n">
        <v>0</v>
      </c>
      <c r="BU70" s="29" t="n">
        <v>0</v>
      </c>
      <c r="BV70" s="29" t="n">
        <v>7907.261810675356</v>
      </c>
      <c r="BW70" s="29" t="n">
        <v>0</v>
      </c>
      <c r="BX70" s="29">
        <f>SUM(BT70:BW70)</f>
        <v/>
      </c>
      <c r="BY70" s="29">
        <f>BS70+BX70</f>
        <v/>
      </c>
    </row>
    <row r="71">
      <c r="A71" s="30" t="inlineStr">
        <is>
          <t>7700</t>
        </is>
      </c>
      <c r="B71" s="30" t="inlineStr">
        <is>
          <t>Aluguéis não-imobiliários e gestão de ativos de propriedade intelectual</t>
        </is>
      </c>
      <c r="C71" s="31" t="n">
        <v>497.7615106422422</v>
      </c>
      <c r="D71" s="31" t="n">
        <v>71.2385032293891</v>
      </c>
      <c r="E71" s="31" t="n">
        <v>88.74770023269289</v>
      </c>
      <c r="F71" s="31" t="n">
        <v>210.7074523682115</v>
      </c>
      <c r="G71" s="31" t="n">
        <v>8323.743574627972</v>
      </c>
      <c r="H71" s="31" t="n">
        <v>2846.38477425069</v>
      </c>
      <c r="I71" s="31" t="n">
        <v>218.6307076515364</v>
      </c>
      <c r="J71" s="31" t="n">
        <v>385.00191300886</v>
      </c>
      <c r="K71" s="31" t="n">
        <v>523.6783011283781</v>
      </c>
      <c r="L71" s="31" t="n">
        <v>1017.937444105621</v>
      </c>
      <c r="M71" s="31" t="n">
        <v>317.1396540820012</v>
      </c>
      <c r="N71" s="31" t="n">
        <v>52.87600974018713</v>
      </c>
      <c r="O71" s="31" t="n">
        <v>62.51326096714465</v>
      </c>
      <c r="P71" s="31" t="n">
        <v>95.33365645707285</v>
      </c>
      <c r="Q71" s="31" t="n">
        <v>57.73845319345484</v>
      </c>
      <c r="R71" s="31" t="n">
        <v>193.7272294856643</v>
      </c>
      <c r="S71" s="31" t="n">
        <v>919.421238695232</v>
      </c>
      <c r="T71" s="31" t="n">
        <v>135.1601900302423</v>
      </c>
      <c r="U71" s="31" t="n">
        <v>509.6984176061371</v>
      </c>
      <c r="V71" s="31" t="n">
        <v>144.6463204921303</v>
      </c>
      <c r="W71" s="31" t="n">
        <v>659.6032127827184</v>
      </c>
      <c r="X71" s="31" t="n">
        <v>473.2341303652207</v>
      </c>
      <c r="Y71" s="31" t="n">
        <v>77.98612282512211</v>
      </c>
      <c r="Z71" s="31" t="n">
        <v>189.22072012789</v>
      </c>
      <c r="AA71" s="31" t="n">
        <v>679.113399413154</v>
      </c>
      <c r="AB71" s="31" t="n">
        <v>439.4728518875744</v>
      </c>
      <c r="AC71" s="31" t="n">
        <v>782.0898555798022</v>
      </c>
      <c r="AD71" s="31" t="n">
        <v>289.1704242145748</v>
      </c>
      <c r="AE71" s="31" t="n">
        <v>576.6704874254972</v>
      </c>
      <c r="AF71" s="31" t="n">
        <v>408.6918275236582</v>
      </c>
      <c r="AG71" s="31" t="n">
        <v>192.9976386654664</v>
      </c>
      <c r="AH71" s="31" t="n">
        <v>714.6495295290274</v>
      </c>
      <c r="AI71" s="31" t="n">
        <v>1421.177606609191</v>
      </c>
      <c r="AJ71" s="31" t="n">
        <v>510.4821534139949</v>
      </c>
      <c r="AK71" s="31" t="n">
        <v>414.2557030244217</v>
      </c>
      <c r="AL71" s="31" t="n">
        <v>227.4833895741894</v>
      </c>
      <c r="AM71" s="31" t="n">
        <v>262.8055252082407</v>
      </c>
      <c r="AN71" s="31" t="n">
        <v>404.9618612476718</v>
      </c>
      <c r="AO71" s="31" t="n">
        <v>1325.551872763293</v>
      </c>
      <c r="AP71" s="31" t="n">
        <v>1860.172050162568</v>
      </c>
      <c r="AQ71" s="31" t="n">
        <v>600.1021456965333</v>
      </c>
      <c r="AR71" s="31" t="n">
        <v>7905.556854878095</v>
      </c>
      <c r="AS71" s="31" t="n">
        <v>2987.410960795996</v>
      </c>
      <c r="AT71" s="31" t="n">
        <v>1088.428380404399</v>
      </c>
      <c r="AU71" s="31" t="n">
        <v>1401.647775845719</v>
      </c>
      <c r="AV71" s="31" t="n">
        <v>1964.982609696795</v>
      </c>
      <c r="AW71" s="31" t="n">
        <v>95.09333088463781</v>
      </c>
      <c r="AX71" s="31" t="n">
        <v>997.7272783582066</v>
      </c>
      <c r="AY71" s="31" t="n">
        <v>455.2602426230849</v>
      </c>
      <c r="AZ71" s="31" t="n">
        <v>861.1615306997844</v>
      </c>
      <c r="BA71" s="31" t="n">
        <v>2278.57611727711</v>
      </c>
      <c r="BB71" s="31" t="n">
        <v>3396.378828579066</v>
      </c>
      <c r="BC71" s="31" t="n">
        <v>798.3109294781104</v>
      </c>
      <c r="BD71" s="31" t="n">
        <v>237.1086270081221</v>
      </c>
      <c r="BE71" s="31" t="n">
        <v>595.7921021207717</v>
      </c>
      <c r="BF71" s="31" t="n">
        <v>684.3961576397337</v>
      </c>
      <c r="BG71" s="31" t="n">
        <v>316.1648856270878</v>
      </c>
      <c r="BH71" s="31" t="n">
        <v>1325.50970290841</v>
      </c>
      <c r="BI71" s="31" t="n">
        <v>883.4666671330043</v>
      </c>
      <c r="BJ71" s="31" t="n">
        <v>266.6329550207836</v>
      </c>
      <c r="BK71" s="31" t="n">
        <v>2594.240945799699</v>
      </c>
      <c r="BL71" s="31" t="n">
        <v>1016.374641915867</v>
      </c>
      <c r="BM71" s="31" t="n">
        <v>1503.556887731607</v>
      </c>
      <c r="BN71" s="31" t="n">
        <v>1527.060651443039</v>
      </c>
      <c r="BO71" s="31" t="n">
        <v>552.5570825673746</v>
      </c>
      <c r="BP71" s="31" t="n">
        <v>359.7471715554082</v>
      </c>
      <c r="BQ71" s="31" t="n">
        <v>248.3805414954944</v>
      </c>
      <c r="BR71" s="31" t="n">
        <v>0</v>
      </c>
      <c r="BS71" s="31">
        <f>SUM(C71:BR71)</f>
        <v/>
      </c>
      <c r="BT71" s="31" t="n">
        <v>0</v>
      </c>
      <c r="BU71" s="31" t="n">
        <v>0</v>
      </c>
      <c r="BV71" s="31" t="n">
        <v>9679.478452680112</v>
      </c>
      <c r="BW71" s="31" t="n">
        <v>0</v>
      </c>
      <c r="BX71" s="31">
        <f>SUM(BT71:BW71)</f>
        <v/>
      </c>
      <c r="BY71" s="31">
        <f>BS71+BX71</f>
        <v/>
      </c>
    </row>
    <row r="72">
      <c r="A72" s="28" t="inlineStr">
        <is>
          <t>7880</t>
        </is>
      </c>
      <c r="B72" s="28" t="inlineStr">
        <is>
          <t>Outras atividades administrativas e serviços complementares</t>
        </is>
      </c>
      <c r="C72" s="29" t="n">
        <v>45.95979802004533</v>
      </c>
      <c r="D72" s="29" t="n">
        <v>23.02415305869375</v>
      </c>
      <c r="E72" s="29" t="n">
        <v>33.31300483700589</v>
      </c>
      <c r="F72" s="29" t="n">
        <v>956.0384348722687</v>
      </c>
      <c r="G72" s="29" t="n">
        <v>1173.735772630253</v>
      </c>
      <c r="H72" s="29" t="n">
        <v>2235.540111848764</v>
      </c>
      <c r="I72" s="29" t="n">
        <v>373.5227361456797</v>
      </c>
      <c r="J72" s="29" t="n">
        <v>1368.08348976335</v>
      </c>
      <c r="K72" s="29" t="n">
        <v>1156.699620763274</v>
      </c>
      <c r="L72" s="29" t="n">
        <v>1901.221449599241</v>
      </c>
      <c r="M72" s="29" t="n">
        <v>1602.346640433498</v>
      </c>
      <c r="N72" s="29" t="n">
        <v>319.3765401625449</v>
      </c>
      <c r="O72" s="29" t="n">
        <v>247.2121308047466</v>
      </c>
      <c r="P72" s="29" t="n">
        <v>322.69759892587</v>
      </c>
      <c r="Q72" s="29" t="n">
        <v>351.7484289205245</v>
      </c>
      <c r="R72" s="29" t="n">
        <v>109.6673690519479</v>
      </c>
      <c r="S72" s="29" t="n">
        <v>1117.884741233105</v>
      </c>
      <c r="T72" s="29" t="n">
        <v>38.62568649728745</v>
      </c>
      <c r="U72" s="29" t="n">
        <v>438.195713634547</v>
      </c>
      <c r="V72" s="29" t="n">
        <v>1156.132315358923</v>
      </c>
      <c r="W72" s="29" t="n">
        <v>825.2835424222368</v>
      </c>
      <c r="X72" s="29" t="n">
        <v>1143.276016930165</v>
      </c>
      <c r="Y72" s="29" t="n">
        <v>447.5967185823663</v>
      </c>
      <c r="Z72" s="29" t="n">
        <v>1249.932797228617</v>
      </c>
      <c r="AA72" s="29" t="n">
        <v>1005.649344075688</v>
      </c>
      <c r="AB72" s="29" t="n">
        <v>1523.858423740553</v>
      </c>
      <c r="AC72" s="29" t="n">
        <v>838.7580508546783</v>
      </c>
      <c r="AD72" s="29" t="n">
        <v>1025.614050223674</v>
      </c>
      <c r="AE72" s="29" t="n">
        <v>1258.44069874818</v>
      </c>
      <c r="AF72" s="29" t="n">
        <v>1154.198825586247</v>
      </c>
      <c r="AG72" s="29" t="n">
        <v>964.9168982605275</v>
      </c>
      <c r="AH72" s="29" t="n">
        <v>3342.195019000566</v>
      </c>
      <c r="AI72" s="29" t="n">
        <v>1543.102563147857</v>
      </c>
      <c r="AJ72" s="29" t="n">
        <v>479.3462887436448</v>
      </c>
      <c r="AK72" s="29" t="n">
        <v>137.408095698831</v>
      </c>
      <c r="AL72" s="29" t="n">
        <v>409.357819292378</v>
      </c>
      <c r="AM72" s="29" t="n">
        <v>455.8499020635722</v>
      </c>
      <c r="AN72" s="29" t="n">
        <v>2763.321558553742</v>
      </c>
      <c r="AO72" s="29" t="n">
        <v>627.7371916369489</v>
      </c>
      <c r="AP72" s="29" t="n">
        <v>2465.922206783925</v>
      </c>
      <c r="AQ72" s="29" t="n">
        <v>2522.254960171413</v>
      </c>
      <c r="AR72" s="29" t="n">
        <v>49324.39529330843</v>
      </c>
      <c r="AS72" s="29" t="n">
        <v>3177.885283219178</v>
      </c>
      <c r="AT72" s="29" t="n">
        <v>167.3729956044784</v>
      </c>
      <c r="AU72" s="29" t="n">
        <v>1080.362226896516</v>
      </c>
      <c r="AV72" s="29" t="n">
        <v>4787.126782309051</v>
      </c>
      <c r="AW72" s="29" t="n">
        <v>1070.501393182989</v>
      </c>
      <c r="AX72" s="29" t="n">
        <v>2538.692945538614</v>
      </c>
      <c r="AY72" s="29" t="n">
        <v>251.8214646967784</v>
      </c>
      <c r="AZ72" s="29" t="n">
        <v>1096.0359608007</v>
      </c>
      <c r="BA72" s="29" t="n">
        <v>24152.83241308656</v>
      </c>
      <c r="BB72" s="29" t="n">
        <v>13481.49650607733</v>
      </c>
      <c r="BC72" s="29" t="n">
        <v>24257.53017118007</v>
      </c>
      <c r="BD72" s="29" t="n">
        <v>1775.066730789273</v>
      </c>
      <c r="BE72" s="29" t="n">
        <v>6195.361883973938</v>
      </c>
      <c r="BF72" s="29" t="n">
        <v>851.6010848605231</v>
      </c>
      <c r="BG72" s="29" t="n">
        <v>1377.949318490634</v>
      </c>
      <c r="BH72" s="29" t="n">
        <v>1007.021457767649</v>
      </c>
      <c r="BI72" s="29" t="n">
        <v>8451.902521901988</v>
      </c>
      <c r="BJ72" s="29" t="n">
        <v>668.9879575287654</v>
      </c>
      <c r="BK72" s="29" t="n">
        <v>26411.06758666619</v>
      </c>
      <c r="BL72" s="29" t="n">
        <v>13308.09303141972</v>
      </c>
      <c r="BM72" s="29" t="n">
        <v>6189.434652543034</v>
      </c>
      <c r="BN72" s="29" t="n">
        <v>14647.79133920758</v>
      </c>
      <c r="BO72" s="29" t="n">
        <v>4570.84268645248</v>
      </c>
      <c r="BP72" s="29" t="n">
        <v>1400.314985957756</v>
      </c>
      <c r="BQ72" s="29" t="n">
        <v>7279.135138063967</v>
      </c>
      <c r="BR72" s="29" t="n">
        <v>0</v>
      </c>
      <c r="BS72" s="29">
        <f>SUM(C72:BR72)</f>
        <v/>
      </c>
      <c r="BT72" s="29" t="n">
        <v>0</v>
      </c>
      <c r="BU72" s="29" t="n">
        <v>0</v>
      </c>
      <c r="BV72" s="29" t="n">
        <v>58385.29832636271</v>
      </c>
      <c r="BW72" s="29" t="n">
        <v>0</v>
      </c>
      <c r="BX72" s="29">
        <f>SUM(BT72:BW72)</f>
        <v/>
      </c>
      <c r="BY72" s="29">
        <f>BS72+BX72</f>
        <v/>
      </c>
    </row>
    <row r="73">
      <c r="A73" s="30" t="inlineStr">
        <is>
          <t>8000</t>
        </is>
      </c>
      <c r="B73" s="30" t="inlineStr">
        <is>
          <t>Atividades de vigilância, segurança e investigação</t>
        </is>
      </c>
      <c r="C73" s="31" t="n">
        <v>0.9771713396169261</v>
      </c>
      <c r="D73" s="31" t="n">
        <v>0.006621266357676883</v>
      </c>
      <c r="E73" s="31" t="n">
        <v>1.928657952338155</v>
      </c>
      <c r="F73" s="31" t="n">
        <v>9.755745700794085</v>
      </c>
      <c r="G73" s="31" t="n">
        <v>143.871574339685</v>
      </c>
      <c r="H73" s="31" t="n">
        <v>189.317736047787</v>
      </c>
      <c r="I73" s="31" t="n">
        <v>24.23621830267344</v>
      </c>
      <c r="J73" s="31" t="n">
        <v>543.8041111837913</v>
      </c>
      <c r="K73" s="31" t="n">
        <v>240.4356980233631</v>
      </c>
      <c r="L73" s="31" t="n">
        <v>413.4120592052773</v>
      </c>
      <c r="M73" s="31" t="n">
        <v>146.9554513785377</v>
      </c>
      <c r="N73" s="31" t="n">
        <v>176.9052330052828</v>
      </c>
      <c r="O73" s="31" t="n">
        <v>38.4526061830034</v>
      </c>
      <c r="P73" s="31" t="n">
        <v>36.81100139660123</v>
      </c>
      <c r="Q73" s="31" t="n">
        <v>38.74946295231601</v>
      </c>
      <c r="R73" s="31" t="n">
        <v>101.7687704385754</v>
      </c>
      <c r="S73" s="31" t="n">
        <v>730.2844335229338</v>
      </c>
      <c r="T73" s="31" t="n">
        <v>15.58421877406267</v>
      </c>
      <c r="U73" s="31" t="n">
        <v>175.2015557795773</v>
      </c>
      <c r="V73" s="31" t="n">
        <v>6.342815276882284</v>
      </c>
      <c r="W73" s="31" t="n">
        <v>459.5057247920689</v>
      </c>
      <c r="X73" s="31" t="n">
        <v>227.0371400972142</v>
      </c>
      <c r="Y73" s="31" t="n">
        <v>38.82368279917289</v>
      </c>
      <c r="Z73" s="31" t="n">
        <v>286.1194475811207</v>
      </c>
      <c r="AA73" s="31" t="n">
        <v>267.9925737022232</v>
      </c>
      <c r="AB73" s="31" t="n">
        <v>555.6349638031993</v>
      </c>
      <c r="AC73" s="31" t="n">
        <v>103.8619639588937</v>
      </c>
      <c r="AD73" s="31" t="n">
        <v>91.00074938955869</v>
      </c>
      <c r="AE73" s="31" t="n">
        <v>245.1197244630646</v>
      </c>
      <c r="AF73" s="31" t="n">
        <v>138.9330784095071</v>
      </c>
      <c r="AG73" s="31" t="n">
        <v>111.8863546629456</v>
      </c>
      <c r="AH73" s="31" t="n">
        <v>352.6536819276487</v>
      </c>
      <c r="AI73" s="31" t="n">
        <v>478.1134850489758</v>
      </c>
      <c r="AJ73" s="31" t="n">
        <v>321.8586200233145</v>
      </c>
      <c r="AK73" s="31" t="n">
        <v>77.41554208409418</v>
      </c>
      <c r="AL73" s="31" t="n">
        <v>61.94278295183653</v>
      </c>
      <c r="AM73" s="31" t="n">
        <v>198.4746694700181</v>
      </c>
      <c r="AN73" s="31" t="n">
        <v>259.3199332731288</v>
      </c>
      <c r="AO73" s="31" t="n">
        <v>645.4968102268807</v>
      </c>
      <c r="AP73" s="31" t="n">
        <v>593.6695623217994</v>
      </c>
      <c r="AQ73" s="31" t="n">
        <v>739.0196385417565</v>
      </c>
      <c r="AR73" s="31" t="n">
        <v>6214.666463550476</v>
      </c>
      <c r="AS73" s="31" t="n">
        <v>1897.941725245125</v>
      </c>
      <c r="AT73" s="31" t="n">
        <v>41.45332683954661</v>
      </c>
      <c r="AU73" s="31" t="n">
        <v>169.5525522759336</v>
      </c>
      <c r="AV73" s="31" t="n">
        <v>3880.994710885418</v>
      </c>
      <c r="AW73" s="31" t="n">
        <v>93.77267920548934</v>
      </c>
      <c r="AX73" s="31" t="n">
        <v>617.0043756436814</v>
      </c>
      <c r="AY73" s="31" t="n">
        <v>28.80912826474584</v>
      </c>
      <c r="AZ73" s="31" t="n">
        <v>266.283400746233</v>
      </c>
      <c r="BA73" s="31" t="n">
        <v>518.7040333986758</v>
      </c>
      <c r="BB73" s="31" t="n">
        <v>887.56078631312</v>
      </c>
      <c r="BC73" s="31" t="n">
        <v>4098.169587918606</v>
      </c>
      <c r="BD73" s="31" t="n">
        <v>194.2432602156775</v>
      </c>
      <c r="BE73" s="31" t="n">
        <v>891.7807356681568</v>
      </c>
      <c r="BF73" s="31" t="n">
        <v>16.79514058049334</v>
      </c>
      <c r="BG73" s="31" t="n">
        <v>319.1566681220632</v>
      </c>
      <c r="BH73" s="31" t="n">
        <v>149.6682260786581</v>
      </c>
      <c r="BI73" s="31" t="n">
        <v>868.3781641811621</v>
      </c>
      <c r="BJ73" s="31" t="n">
        <v>56.10462938126209</v>
      </c>
      <c r="BK73" s="31" t="n">
        <v>8285.250939928785</v>
      </c>
      <c r="BL73" s="31" t="n">
        <v>3918.49196211986</v>
      </c>
      <c r="BM73" s="31" t="n">
        <v>1596.788743314675</v>
      </c>
      <c r="BN73" s="31" t="n">
        <v>1863.950245854344</v>
      </c>
      <c r="BO73" s="31" t="n">
        <v>0.8890183072967367</v>
      </c>
      <c r="BP73" s="31" t="n">
        <v>160.1941546670897</v>
      </c>
      <c r="BQ73" s="31" t="n">
        <v>3.121281029840819</v>
      </c>
      <c r="BR73" s="31" t="n">
        <v>0</v>
      </c>
      <c r="BS73" s="31">
        <f>SUM(C73:BR73)</f>
        <v/>
      </c>
      <c r="BT73" s="31" t="n">
        <v>0</v>
      </c>
      <c r="BU73" s="31" t="n">
        <v>0</v>
      </c>
      <c r="BV73" s="31" t="n">
        <v>560.5603185020369</v>
      </c>
      <c r="BW73" s="31" t="n">
        <v>0</v>
      </c>
      <c r="BX73" s="31">
        <f>SUM(BT73:BW73)</f>
        <v/>
      </c>
      <c r="BY73" s="31">
        <f>BS73+BX73</f>
        <v/>
      </c>
    </row>
    <row r="74">
      <c r="A74" s="28" t="inlineStr">
        <is>
          <t>8400</t>
        </is>
      </c>
      <c r="B74" s="28" t="inlineStr">
        <is>
          <t>Administração pública, defesa e seguridade social</t>
        </is>
      </c>
      <c r="C74" s="29" t="n">
        <v>339.2614770934654</v>
      </c>
      <c r="D74" s="29" t="n">
        <v>108.4949775936668</v>
      </c>
      <c r="E74" s="29" t="n">
        <v>19.37528859513639</v>
      </c>
      <c r="F74" s="29" t="n">
        <v>36.83307744701082</v>
      </c>
      <c r="G74" s="29" t="n">
        <v>520.2648905117589</v>
      </c>
      <c r="H74" s="29" t="n">
        <v>419.3135834697473</v>
      </c>
      <c r="I74" s="29" t="n">
        <v>43.54132319576807</v>
      </c>
      <c r="J74" s="29" t="n">
        <v>693.3463012378303</v>
      </c>
      <c r="K74" s="29" t="n">
        <v>183.9726909563659</v>
      </c>
      <c r="L74" s="29" t="n">
        <v>933.271376585014</v>
      </c>
      <c r="M74" s="29" t="n">
        <v>631.649589900221</v>
      </c>
      <c r="N74" s="29" t="n">
        <v>73.93650207776915</v>
      </c>
      <c r="O74" s="29" t="n">
        <v>47.67085924027884</v>
      </c>
      <c r="P74" s="29" t="n">
        <v>69.31646970812275</v>
      </c>
      <c r="Q74" s="29" t="n">
        <v>79.3494724712959</v>
      </c>
      <c r="R74" s="29" t="n">
        <v>126.6749262668824</v>
      </c>
      <c r="S74" s="29" t="n">
        <v>380.0478141552799</v>
      </c>
      <c r="T74" s="29" t="n">
        <v>15.76762105549112</v>
      </c>
      <c r="U74" s="29" t="n">
        <v>274.3112980310501</v>
      </c>
      <c r="V74" s="29" t="n">
        <v>147.927733238784</v>
      </c>
      <c r="W74" s="29" t="n">
        <v>1254.392576831016</v>
      </c>
      <c r="X74" s="29" t="n">
        <v>355.2744469388601</v>
      </c>
      <c r="Y74" s="29" t="n">
        <v>222.6921592609196</v>
      </c>
      <c r="Z74" s="29" t="n">
        <v>415.4186001413108</v>
      </c>
      <c r="AA74" s="29" t="n">
        <v>268.9327696298136</v>
      </c>
      <c r="AB74" s="29" t="n">
        <v>330.2809892578919</v>
      </c>
      <c r="AC74" s="29" t="n">
        <v>714.1455440080599</v>
      </c>
      <c r="AD74" s="29" t="n">
        <v>319.65659675897</v>
      </c>
      <c r="AE74" s="29" t="n">
        <v>207.9810302487012</v>
      </c>
      <c r="AF74" s="29" t="n">
        <v>232.5849610003712</v>
      </c>
      <c r="AG74" s="29" t="n">
        <v>189.6475745244462</v>
      </c>
      <c r="AH74" s="29" t="n">
        <v>386.7120743968946</v>
      </c>
      <c r="AI74" s="29" t="n">
        <v>519.5089981997522</v>
      </c>
      <c r="AJ74" s="29" t="n">
        <v>168.1452809776713</v>
      </c>
      <c r="AK74" s="29" t="n">
        <v>58.90470081686956</v>
      </c>
      <c r="AL74" s="29" t="n">
        <v>104.446205060594</v>
      </c>
      <c r="AM74" s="29" t="n">
        <v>88.43982295637102</v>
      </c>
      <c r="AN74" s="29" t="n">
        <v>565.26316561104</v>
      </c>
      <c r="AO74" s="29" t="n">
        <v>246.437263010893</v>
      </c>
      <c r="AP74" s="29" t="n">
        <v>491.1844723619908</v>
      </c>
      <c r="AQ74" s="29" t="n">
        <v>526.1476624905325</v>
      </c>
      <c r="AR74" s="29" t="n">
        <v>4524.782500994399</v>
      </c>
      <c r="AS74" s="29" t="n">
        <v>514.8282647771404</v>
      </c>
      <c r="AT74" s="29" t="n">
        <v>106.1417635392614</v>
      </c>
      <c r="AU74" s="29" t="n">
        <v>141.5596211983768</v>
      </c>
      <c r="AV74" s="29" t="n">
        <v>744.2378794581896</v>
      </c>
      <c r="AW74" s="29" t="n">
        <v>108.7220488087754</v>
      </c>
      <c r="AX74" s="29" t="n">
        <v>266.6276306102286</v>
      </c>
      <c r="AY74" s="29" t="n">
        <v>70.10760369873164</v>
      </c>
      <c r="AZ74" s="29" t="n">
        <v>286.1623369349289</v>
      </c>
      <c r="BA74" s="29" t="n">
        <v>500.865029579149</v>
      </c>
      <c r="BB74" s="29" t="n">
        <v>765.144949322991</v>
      </c>
      <c r="BC74" s="29" t="n">
        <v>1729.386143672003</v>
      </c>
      <c r="BD74" s="29" t="n">
        <v>228.894784803664</v>
      </c>
      <c r="BE74" s="29" t="n">
        <v>1204.510156190885</v>
      </c>
      <c r="BF74" s="29" t="n">
        <v>547.0667498025427</v>
      </c>
      <c r="BG74" s="29" t="n">
        <v>592.6847618743446</v>
      </c>
      <c r="BH74" s="29" t="n">
        <v>175.1760853047213</v>
      </c>
      <c r="BI74" s="29" t="n">
        <v>1028.339401807254</v>
      </c>
      <c r="BJ74" s="29" t="n">
        <v>88.02425712526201</v>
      </c>
      <c r="BK74" s="29" t="n">
        <v>1961.386411628757</v>
      </c>
      <c r="BL74" s="29" t="n">
        <v>442.6473380097709</v>
      </c>
      <c r="BM74" s="29" t="n">
        <v>524.8451513906003</v>
      </c>
      <c r="BN74" s="29" t="n">
        <v>590.233682891325</v>
      </c>
      <c r="BO74" s="29" t="n">
        <v>529.0448434010253</v>
      </c>
      <c r="BP74" s="29" t="n">
        <v>232.7370824742585</v>
      </c>
      <c r="BQ74" s="29" t="n">
        <v>895.5632672455927</v>
      </c>
      <c r="BR74" s="29" t="n">
        <v>0</v>
      </c>
      <c r="BS74" s="29">
        <f>SUM(C74:BR74)</f>
        <v/>
      </c>
      <c r="BT74" s="29" t="n">
        <v>0</v>
      </c>
      <c r="BU74" s="29" t="n">
        <v>0</v>
      </c>
      <c r="BV74" s="29" t="n">
        <v>961605.6716198378</v>
      </c>
      <c r="BW74" s="29" t="n">
        <v>0</v>
      </c>
      <c r="BX74" s="29">
        <f>SUM(BT74:BW74)</f>
        <v/>
      </c>
      <c r="BY74" s="29">
        <f>BS74+BX74</f>
        <v/>
      </c>
    </row>
    <row r="75">
      <c r="A75" s="30" t="inlineStr">
        <is>
          <t>8591</t>
        </is>
      </c>
      <c r="B75" s="30" t="inlineStr">
        <is>
          <t>Educação pública</t>
        </is>
      </c>
      <c r="C75" s="31" t="n">
        <v>1.348874469649888</v>
      </c>
      <c r="D75" s="31" t="n">
        <v>0.154408716288053</v>
      </c>
      <c r="E75" s="31" t="n">
        <v>0.05008412609190521</v>
      </c>
      <c r="F75" s="31" t="n">
        <v>1.782832052009556</v>
      </c>
      <c r="G75" s="31" t="n">
        <v>5.274031063473728</v>
      </c>
      <c r="H75" s="31" t="n">
        <v>90.46936002003871</v>
      </c>
      <c r="I75" s="31" t="n">
        <v>0.8674417645834259</v>
      </c>
      <c r="J75" s="31" t="n">
        <v>36.7351271263499</v>
      </c>
      <c r="K75" s="31" t="n">
        <v>6.457338718129563</v>
      </c>
      <c r="L75" s="31" t="n">
        <v>18.48957996413316</v>
      </c>
      <c r="M75" s="31" t="n">
        <v>27.859225489877</v>
      </c>
      <c r="N75" s="31" t="n">
        <v>7.349595205638645</v>
      </c>
      <c r="O75" s="31" t="n">
        <v>0.6334865144413493</v>
      </c>
      <c r="P75" s="31" t="n">
        <v>5.418038122090374</v>
      </c>
      <c r="Q75" s="31" t="n">
        <v>6.78990283641691</v>
      </c>
      <c r="R75" s="31" t="n">
        <v>5.675765460891671</v>
      </c>
      <c r="S75" s="31" t="n">
        <v>14.17938096504551</v>
      </c>
      <c r="T75" s="31" t="n">
        <v>0.4030730475929107</v>
      </c>
      <c r="U75" s="31" t="n">
        <v>2.318297128134704</v>
      </c>
      <c r="V75" s="31" t="n">
        <v>1.255984358637527</v>
      </c>
      <c r="W75" s="31" t="n">
        <v>35.95141259210438</v>
      </c>
      <c r="X75" s="31" t="n">
        <v>10.83270555481019</v>
      </c>
      <c r="Y75" s="31" t="n">
        <v>19.04107008948741</v>
      </c>
      <c r="Z75" s="31" t="n">
        <v>68.35437100532214</v>
      </c>
      <c r="AA75" s="31" t="n">
        <v>12.73674365349747</v>
      </c>
      <c r="AB75" s="31" t="n">
        <v>13.48989485117796</v>
      </c>
      <c r="AC75" s="31" t="n">
        <v>13.18105737042286</v>
      </c>
      <c r="AD75" s="31" t="n">
        <v>38.93431547784501</v>
      </c>
      <c r="AE75" s="31" t="n">
        <v>6.098526993640323</v>
      </c>
      <c r="AF75" s="31" t="n">
        <v>13.62163272426577</v>
      </c>
      <c r="AG75" s="31" t="n">
        <v>42.63863902682061</v>
      </c>
      <c r="AH75" s="31" t="n">
        <v>51.46487979912703</v>
      </c>
      <c r="AI75" s="31" t="n">
        <v>65.93453843510989</v>
      </c>
      <c r="AJ75" s="31" t="n">
        <v>38.81605463312834</v>
      </c>
      <c r="AK75" s="31" t="n">
        <v>7.546736403080759</v>
      </c>
      <c r="AL75" s="31" t="n">
        <v>7.643329538311405</v>
      </c>
      <c r="AM75" s="31" t="n">
        <v>1.264786380532696</v>
      </c>
      <c r="AN75" s="31" t="n">
        <v>21.86377071016512</v>
      </c>
      <c r="AO75" s="31" t="n">
        <v>4.205492006802445</v>
      </c>
      <c r="AP75" s="31" t="n">
        <v>12.0871547729844</v>
      </c>
      <c r="AQ75" s="31" t="n">
        <v>6.632404092701181</v>
      </c>
      <c r="AR75" s="31" t="n">
        <v>146.0618398070147</v>
      </c>
      <c r="AS75" s="31" t="n">
        <v>15.11406759813086</v>
      </c>
      <c r="AT75" s="31" t="n">
        <v>1.35967210271934</v>
      </c>
      <c r="AU75" s="31" t="n">
        <v>1.026825256551118</v>
      </c>
      <c r="AV75" s="31" t="n">
        <v>13.96312874978599</v>
      </c>
      <c r="AW75" s="31" t="n">
        <v>1.593562884689774</v>
      </c>
      <c r="AX75" s="31" t="n">
        <v>4.376490846545063</v>
      </c>
      <c r="AY75" s="31" t="n">
        <v>1.030019620250906</v>
      </c>
      <c r="AZ75" s="31" t="n">
        <v>1.616280970246408</v>
      </c>
      <c r="BA75" s="31" t="n">
        <v>43.13230080734134</v>
      </c>
      <c r="BB75" s="31" t="n">
        <v>59.30408844022511</v>
      </c>
      <c r="BC75" s="31" t="n">
        <v>49.20262877647195</v>
      </c>
      <c r="BD75" s="31" t="n">
        <v>2.745633668911339</v>
      </c>
      <c r="BE75" s="31" t="n">
        <v>35.22935380830138</v>
      </c>
      <c r="BF75" s="31" t="n">
        <v>242.1798957733124</v>
      </c>
      <c r="BG75" s="31" t="n">
        <v>10.5699897000007</v>
      </c>
      <c r="BH75" s="31" t="n">
        <v>12.5828172502628</v>
      </c>
      <c r="BI75" s="31" t="n">
        <v>29.88969478353129</v>
      </c>
      <c r="BJ75" s="31" t="n">
        <v>2.716282628921294</v>
      </c>
      <c r="BK75" s="31" t="n">
        <v>30.92904411986247</v>
      </c>
      <c r="BL75" s="31" t="n">
        <v>13.17829237534317</v>
      </c>
      <c r="BM75" s="31" t="n">
        <v>8.572240262448016</v>
      </c>
      <c r="BN75" s="31" t="n">
        <v>19.1320109769537</v>
      </c>
      <c r="BO75" s="31" t="n">
        <v>33.00987045577953</v>
      </c>
      <c r="BP75" s="31" t="n">
        <v>3.568229034126896</v>
      </c>
      <c r="BQ75" s="31" t="n">
        <v>15.88261916945222</v>
      </c>
      <c r="BR75" s="31" t="n">
        <v>0</v>
      </c>
      <c r="BS75" s="31">
        <f>SUM(C75:BR75)</f>
        <v/>
      </c>
      <c r="BT75" s="31" t="n">
        <v>0</v>
      </c>
      <c r="BU75" s="31" t="n">
        <v>0</v>
      </c>
      <c r="BV75" s="31" t="n">
        <v>402819.180679907</v>
      </c>
      <c r="BW75" s="31" t="n">
        <v>0</v>
      </c>
      <c r="BX75" s="31">
        <f>SUM(BT75:BW75)</f>
        <v/>
      </c>
      <c r="BY75" s="31">
        <f>BS75+BX75</f>
        <v/>
      </c>
    </row>
    <row r="76">
      <c r="A76" s="28" t="inlineStr">
        <is>
          <t>8592</t>
        </is>
      </c>
      <c r="B76" s="28" t="inlineStr">
        <is>
          <t>Educação privada</t>
        </is>
      </c>
      <c r="C76" s="29" t="n">
        <v>4.737497842726277</v>
      </c>
      <c r="D76" s="29" t="n">
        <v>0.9602792732064522</v>
      </c>
      <c r="E76" s="29" t="n">
        <v>0.0139973280879717</v>
      </c>
      <c r="F76" s="29" t="n">
        <v>1.190620366927658</v>
      </c>
      <c r="G76" s="29" t="n">
        <v>75.52828692745493</v>
      </c>
      <c r="H76" s="29" t="n">
        <v>553.6350869215952</v>
      </c>
      <c r="I76" s="29" t="n">
        <v>47.32265843250623</v>
      </c>
      <c r="J76" s="29" t="n">
        <v>39.67939623707526</v>
      </c>
      <c r="K76" s="29" t="n">
        <v>2.899824441012137</v>
      </c>
      <c r="L76" s="29" t="n">
        <v>56.73733181739154</v>
      </c>
      <c r="M76" s="29" t="n">
        <v>2.37331552411634</v>
      </c>
      <c r="N76" s="29" t="n">
        <v>1.347097151559401</v>
      </c>
      <c r="O76" s="29" t="n">
        <v>4.06659157911468</v>
      </c>
      <c r="P76" s="29" t="n">
        <v>3.898150242814461</v>
      </c>
      <c r="Q76" s="29" t="n">
        <v>3.538408263849861</v>
      </c>
      <c r="R76" s="29" t="n">
        <v>2.671542359346556</v>
      </c>
      <c r="S76" s="29" t="n">
        <v>94.61165900661395</v>
      </c>
      <c r="T76" s="29" t="n">
        <v>0.3412617312801858</v>
      </c>
      <c r="U76" s="29" t="n">
        <v>21.78623663458019</v>
      </c>
      <c r="V76" s="29" t="n">
        <v>4.099350243149887</v>
      </c>
      <c r="W76" s="29" t="n">
        <v>34.15985828464</v>
      </c>
      <c r="X76" s="29" t="n">
        <v>59.3785577732273</v>
      </c>
      <c r="Y76" s="29" t="n">
        <v>1.739801636262005</v>
      </c>
      <c r="Z76" s="29" t="n">
        <v>9.854553303560326</v>
      </c>
      <c r="AA76" s="29" t="n">
        <v>10.4198992356819</v>
      </c>
      <c r="AB76" s="29" t="n">
        <v>6.270581158032725</v>
      </c>
      <c r="AC76" s="29" t="n">
        <v>366.2726806890494</v>
      </c>
      <c r="AD76" s="29" t="n">
        <v>142.5687038798299</v>
      </c>
      <c r="AE76" s="29" t="n">
        <v>118.7670191998837</v>
      </c>
      <c r="AF76" s="29" t="n">
        <v>4.929541002817136</v>
      </c>
      <c r="AG76" s="29" t="n">
        <v>6.955096627320674</v>
      </c>
      <c r="AH76" s="29" t="n">
        <v>56.50167037504904</v>
      </c>
      <c r="AI76" s="29" t="n">
        <v>172.8311601010448</v>
      </c>
      <c r="AJ76" s="29" t="n">
        <v>4.655650854827096</v>
      </c>
      <c r="AK76" s="29" t="n">
        <v>1.008058139871129</v>
      </c>
      <c r="AL76" s="29" t="n">
        <v>3.957427575521776</v>
      </c>
      <c r="AM76" s="29" t="n">
        <v>11.47256489178692</v>
      </c>
      <c r="AN76" s="29" t="n">
        <v>121.8532679844919</v>
      </c>
      <c r="AO76" s="29" t="n">
        <v>1.877860568220892</v>
      </c>
      <c r="AP76" s="29" t="n">
        <v>4.293841596175813</v>
      </c>
      <c r="AQ76" s="29" t="n">
        <v>43.2637965121072</v>
      </c>
      <c r="AR76" s="29" t="n">
        <v>1571.550949842302</v>
      </c>
      <c r="AS76" s="29" t="n">
        <v>1916.985953658781</v>
      </c>
      <c r="AT76" s="29" t="n">
        <v>176.2178224922362</v>
      </c>
      <c r="AU76" s="29" t="n">
        <v>10.53051104956702</v>
      </c>
      <c r="AV76" s="29" t="n">
        <v>497.8560147179722</v>
      </c>
      <c r="AW76" s="29" t="n">
        <v>3.068752504176223</v>
      </c>
      <c r="AX76" s="29" t="n">
        <v>9.439798062528112</v>
      </c>
      <c r="AY76" s="29" t="n">
        <v>1.531157469168821</v>
      </c>
      <c r="AZ76" s="29" t="n">
        <v>2.685480222938123</v>
      </c>
      <c r="BA76" s="29" t="n">
        <v>77.30243596968467</v>
      </c>
      <c r="BB76" s="29" t="n">
        <v>10.21045723738054</v>
      </c>
      <c r="BC76" s="29" t="n">
        <v>2936.629659657193</v>
      </c>
      <c r="BD76" s="29" t="n">
        <v>3.978040642601556</v>
      </c>
      <c r="BE76" s="29" t="n">
        <v>3840.867810112606</v>
      </c>
      <c r="BF76" s="29" t="n">
        <v>290.8524355000363</v>
      </c>
      <c r="BG76" s="29" t="n">
        <v>1376.551127608244</v>
      </c>
      <c r="BH76" s="29" t="n">
        <v>110.1926703463067</v>
      </c>
      <c r="BI76" s="29" t="n">
        <v>3421.817414981625</v>
      </c>
      <c r="BJ76" s="29" t="n">
        <v>242.6790691237335</v>
      </c>
      <c r="BK76" s="29" t="n">
        <v>382.8837049575396</v>
      </c>
      <c r="BL76" s="29" t="n">
        <v>527.203667645018</v>
      </c>
      <c r="BM76" s="29" t="n">
        <v>10.56841585789022</v>
      </c>
      <c r="BN76" s="29" t="n">
        <v>791.5040755536514</v>
      </c>
      <c r="BO76" s="29" t="n">
        <v>5.676226128475775</v>
      </c>
      <c r="BP76" s="29" t="n">
        <v>7.643845913999181</v>
      </c>
      <c r="BQ76" s="29" t="n">
        <v>682.0486781192701</v>
      </c>
      <c r="BR76" s="29" t="n">
        <v>0</v>
      </c>
      <c r="BS76" s="29">
        <f>SUM(C76:BR76)</f>
        <v/>
      </c>
      <c r="BT76" s="29" t="n">
        <v>0</v>
      </c>
      <c r="BU76" s="29" t="n">
        <v>0</v>
      </c>
      <c r="BV76" s="29" t="n">
        <v>129433.0075683817</v>
      </c>
      <c r="BW76" s="29" t="n">
        <v>0</v>
      </c>
      <c r="BX76" s="29">
        <f>SUM(BT76:BW76)</f>
        <v/>
      </c>
      <c r="BY76" s="29">
        <f>BS76+BX76</f>
        <v/>
      </c>
    </row>
    <row r="77">
      <c r="A77" s="30" t="inlineStr">
        <is>
          <t>8691</t>
        </is>
      </c>
      <c r="B77" s="30" t="inlineStr">
        <is>
          <t>Saúde pública</t>
        </is>
      </c>
      <c r="C77" s="31" t="n">
        <v>0.01376233951518924</v>
      </c>
      <c r="D77" s="31" t="n">
        <v>0.0004741842912236262</v>
      </c>
      <c r="E77" s="31" t="n">
        <v>3.356673402391294e-05</v>
      </c>
      <c r="F77" s="31" t="n">
        <v>0.07424243530127594</v>
      </c>
      <c r="G77" s="31" t="n">
        <v>0.02932813243342978</v>
      </c>
      <c r="H77" s="31" t="n">
        <v>11.51474965614566</v>
      </c>
      <c r="I77" s="31" t="n">
        <v>0.002524170773166556</v>
      </c>
      <c r="J77" s="31" t="n">
        <v>4.309026958023237</v>
      </c>
      <c r="K77" s="31" t="n">
        <v>0.6694514591416003</v>
      </c>
      <c r="L77" s="31" t="n">
        <v>1.668383317153646</v>
      </c>
      <c r="M77" s="31" t="n">
        <v>3.409367954773684</v>
      </c>
      <c r="N77" s="31" t="n">
        <v>0.9176866303472395</v>
      </c>
      <c r="O77" s="31" t="n">
        <v>0.002580425476492637</v>
      </c>
      <c r="P77" s="31" t="n">
        <v>0.6267032226976639</v>
      </c>
      <c r="Q77" s="31" t="n">
        <v>0.8439813526508477</v>
      </c>
      <c r="R77" s="31" t="n">
        <v>0.7341296801647569</v>
      </c>
      <c r="S77" s="31" t="n">
        <v>1.586084268497963</v>
      </c>
      <c r="T77" s="31" t="n">
        <v>0.03738917269309849</v>
      </c>
      <c r="U77" s="31" t="n">
        <v>0.004656525280690764</v>
      </c>
      <c r="V77" s="31" t="n">
        <v>0.009315905043314393</v>
      </c>
      <c r="W77" s="31" t="n">
        <v>4.230474131215263</v>
      </c>
      <c r="X77" s="31" t="n">
        <v>1.109507451265132</v>
      </c>
      <c r="Y77" s="31" t="n">
        <v>2.423577885209303</v>
      </c>
      <c r="Z77" s="31" t="n">
        <v>8.950997341638823</v>
      </c>
      <c r="AA77" s="31" t="n">
        <v>1.445174785877794</v>
      </c>
      <c r="AB77" s="31" t="n">
        <v>1.438694122727098</v>
      </c>
      <c r="AC77" s="31" t="n">
        <v>1.253726291389592</v>
      </c>
      <c r="AD77" s="31" t="n">
        <v>5.021908843042392</v>
      </c>
      <c r="AE77" s="31" t="n">
        <v>0.4482037378512736</v>
      </c>
      <c r="AF77" s="31" t="n">
        <v>1.510125822496041</v>
      </c>
      <c r="AG77" s="31" t="n">
        <v>5.608979292570164</v>
      </c>
      <c r="AH77" s="31" t="n">
        <v>6.185858578052697</v>
      </c>
      <c r="AI77" s="31" t="n">
        <v>8.51679705818022</v>
      </c>
      <c r="AJ77" s="31" t="n">
        <v>5.138146509911438</v>
      </c>
      <c r="AK77" s="31" t="n">
        <v>0.9905373465954477</v>
      </c>
      <c r="AL77" s="31" t="n">
        <v>0.9207914739110094</v>
      </c>
      <c r="AM77" s="31" t="n">
        <v>0.03985253745853481</v>
      </c>
      <c r="AN77" s="31" t="n">
        <v>2.264674326308052</v>
      </c>
      <c r="AO77" s="31" t="n">
        <v>0.3759783143498879</v>
      </c>
      <c r="AP77" s="31" t="n">
        <v>0.813052462761638</v>
      </c>
      <c r="AQ77" s="31" t="n">
        <v>0.01916583861820964</v>
      </c>
      <c r="AR77" s="31" t="n">
        <v>7.924094893098395</v>
      </c>
      <c r="AS77" s="31" t="n">
        <v>0.01245622898295486</v>
      </c>
      <c r="AT77" s="31" t="n">
        <v>0.0008326347247962786</v>
      </c>
      <c r="AU77" s="31" t="n">
        <v>0.0004262975221036943</v>
      </c>
      <c r="AV77" s="31" t="n">
        <v>0.1018319331321761</v>
      </c>
      <c r="AW77" s="31" t="n">
        <v>0.005158821132988227</v>
      </c>
      <c r="AX77" s="31" t="n">
        <v>0.02263740542572689</v>
      </c>
      <c r="AY77" s="31" t="n">
        <v>0.07403800069419637</v>
      </c>
      <c r="AZ77" s="31" t="n">
        <v>0.002161697671139993</v>
      </c>
      <c r="BA77" s="31" t="n">
        <v>2.133522404939077</v>
      </c>
      <c r="BB77" s="31" t="n">
        <v>5.989512671006421</v>
      </c>
      <c r="BC77" s="31" t="n">
        <v>0.248520835307387</v>
      </c>
      <c r="BD77" s="31" t="n">
        <v>0.009747483534558744</v>
      </c>
      <c r="BE77" s="31" t="n">
        <v>0.02591351866646079</v>
      </c>
      <c r="BF77" s="31" t="n">
        <v>32.27217775810984</v>
      </c>
      <c r="BG77" s="31" t="n">
        <v>0.007760628906328672</v>
      </c>
      <c r="BH77" s="31" t="n">
        <v>1.361711685298796</v>
      </c>
      <c r="BI77" s="31" t="n">
        <v>0.273978070272766</v>
      </c>
      <c r="BJ77" s="31" t="n">
        <v>0.001436656216223474</v>
      </c>
      <c r="BK77" s="31" t="n">
        <v>0.5245291617313121</v>
      </c>
      <c r="BL77" s="31" t="n">
        <v>0.071701093716295</v>
      </c>
      <c r="BM77" s="31" t="n">
        <v>0.06343446851925828</v>
      </c>
      <c r="BN77" s="31" t="n">
        <v>0.2557399637537926</v>
      </c>
      <c r="BO77" s="31" t="n">
        <v>401.6832416496068</v>
      </c>
      <c r="BP77" s="31" t="n">
        <v>0.01816631645374168</v>
      </c>
      <c r="BQ77" s="31" t="n">
        <v>0.01721637788086495</v>
      </c>
      <c r="BR77" s="31" t="n">
        <v>0</v>
      </c>
      <c r="BS77" s="31">
        <f>SUM(C77:BR77)</f>
        <v/>
      </c>
      <c r="BT77" s="31" t="n">
        <v>0</v>
      </c>
      <c r="BU77" s="31" t="n">
        <v>0</v>
      </c>
      <c r="BV77" s="31" t="n">
        <v>278627.7379558351</v>
      </c>
      <c r="BW77" s="31" t="n">
        <v>0</v>
      </c>
      <c r="BX77" s="31">
        <f>SUM(BT77:BW77)</f>
        <v/>
      </c>
      <c r="BY77" s="31">
        <f>BS77+BX77</f>
        <v/>
      </c>
    </row>
    <row r="78">
      <c r="A78" s="28" t="inlineStr">
        <is>
          <t>8692</t>
        </is>
      </c>
      <c r="B78" s="28" t="inlineStr">
        <is>
          <t>Saúde privada</t>
        </is>
      </c>
      <c r="C78" s="29" t="n">
        <v>0.01639399289727908</v>
      </c>
      <c r="D78" s="29" t="n">
        <v>0.01341326691595561</v>
      </c>
      <c r="E78" s="29" t="n">
        <v>0.01490362990661735</v>
      </c>
      <c r="F78" s="29" t="n">
        <v>0.05912379138464941</v>
      </c>
      <c r="G78" s="29" t="n">
        <v>0.9299865061729222</v>
      </c>
      <c r="H78" s="29" t="n">
        <v>0.346218755382198</v>
      </c>
      <c r="I78" s="29" t="n">
        <v>0.05961451962646938</v>
      </c>
      <c r="J78" s="29" t="n">
        <v>1.995950520667498</v>
      </c>
      <c r="K78" s="29" t="n">
        <v>0.5589406562937559</v>
      </c>
      <c r="L78" s="29" t="n">
        <v>1.186465277555754</v>
      </c>
      <c r="M78" s="29" t="n">
        <v>0.2074422188126096</v>
      </c>
      <c r="N78" s="29" t="n">
        <v>0.07210995398699149</v>
      </c>
      <c r="O78" s="29" t="n">
        <v>0.6885477016857213</v>
      </c>
      <c r="P78" s="29" t="n">
        <v>0.8326676292010942</v>
      </c>
      <c r="Q78" s="29" t="n">
        <v>0.1843779065284415</v>
      </c>
      <c r="R78" s="29" t="n">
        <v>0.1336964757133416</v>
      </c>
      <c r="S78" s="29" t="n">
        <v>0.5028793930838383</v>
      </c>
      <c r="T78" s="29" t="n">
        <v>0.1107866786833892</v>
      </c>
      <c r="U78" s="29" t="n">
        <v>0.5156655947689601</v>
      </c>
      <c r="V78" s="29" t="n">
        <v>0.7809502071067488</v>
      </c>
      <c r="W78" s="29" t="n">
        <v>0.6521338313324337</v>
      </c>
      <c r="X78" s="29" t="n">
        <v>0.2698465926357831</v>
      </c>
      <c r="Y78" s="29" t="n">
        <v>0.4070690573678738</v>
      </c>
      <c r="Z78" s="29" t="n">
        <v>0.7300235395486836</v>
      </c>
      <c r="AA78" s="29" t="n">
        <v>1.080631326953569</v>
      </c>
      <c r="AB78" s="29" t="n">
        <v>0.5351584723713746</v>
      </c>
      <c r="AC78" s="29" t="n">
        <v>0.7755885529771329</v>
      </c>
      <c r="AD78" s="29" t="n">
        <v>0.0982822401088959</v>
      </c>
      <c r="AE78" s="29" t="n">
        <v>0.6274791755989939</v>
      </c>
      <c r="AF78" s="29" t="n">
        <v>0.3990447119793368</v>
      </c>
      <c r="AG78" s="29" t="n">
        <v>0.3566603005308014</v>
      </c>
      <c r="AH78" s="29" t="n">
        <v>0.7233350418965927</v>
      </c>
      <c r="AI78" s="29" t="n">
        <v>0.3350409904929202</v>
      </c>
      <c r="AJ78" s="29" t="n">
        <v>0.534967685505385</v>
      </c>
      <c r="AK78" s="29" t="n">
        <v>0.1088783005117149</v>
      </c>
      <c r="AL78" s="29" t="n">
        <v>0.5698911928680108</v>
      </c>
      <c r="AM78" s="29" t="n">
        <v>0.1182384936366979</v>
      </c>
      <c r="AN78" s="29" t="n">
        <v>1.474650597790895</v>
      </c>
      <c r="AO78" s="29" t="n">
        <v>0.784458017860296</v>
      </c>
      <c r="AP78" s="29" t="n">
        <v>2.219214117023529</v>
      </c>
      <c r="AQ78" s="29" t="n">
        <v>7.985364903965573</v>
      </c>
      <c r="AR78" s="29" t="n">
        <v>93.14832315564047</v>
      </c>
      <c r="AS78" s="29" t="n">
        <v>2.842122223191927</v>
      </c>
      <c r="AT78" s="29" t="n">
        <v>0.235477352524554</v>
      </c>
      <c r="AU78" s="29" t="n">
        <v>0.1892760998140403</v>
      </c>
      <c r="AV78" s="29" t="n">
        <v>7.998778170881529</v>
      </c>
      <c r="AW78" s="29" t="n">
        <v>2.265351745805837</v>
      </c>
      <c r="AX78" s="29" t="n">
        <v>10.05100800902274</v>
      </c>
      <c r="AY78" s="29" t="n">
        <v>0.3542156635356729</v>
      </c>
      <c r="AZ78" s="29" t="n">
        <v>0.9597937659861571</v>
      </c>
      <c r="BA78" s="29" t="n">
        <v>4.230322678391841</v>
      </c>
      <c r="BB78" s="29" t="n">
        <v>5.940087148321882</v>
      </c>
      <c r="BC78" s="29" t="n">
        <v>9.897518799249781</v>
      </c>
      <c r="BD78" s="29" t="n">
        <v>4.235611619460649</v>
      </c>
      <c r="BE78" s="29" t="n">
        <v>11.50560228790859</v>
      </c>
      <c r="BF78" s="29" t="n">
        <v>2.435435333986441</v>
      </c>
      <c r="BG78" s="29" t="n">
        <v>3.445719234409931</v>
      </c>
      <c r="BH78" s="29" t="n">
        <v>2.480572903426758</v>
      </c>
      <c r="BI78" s="29" t="n">
        <v>7.69675247941682</v>
      </c>
      <c r="BJ78" s="29" t="n">
        <v>0.6378753600032223</v>
      </c>
      <c r="BK78" s="29" t="n">
        <v>57.00454328789402</v>
      </c>
      <c r="BL78" s="29" t="n">
        <v>6.963930496373547</v>
      </c>
      <c r="BM78" s="29" t="n">
        <v>11.18418369930008</v>
      </c>
      <c r="BN78" s="29" t="n">
        <v>27.07748462487439</v>
      </c>
      <c r="BO78" s="29" t="n">
        <v>46935.31733497418</v>
      </c>
      <c r="BP78" s="29" t="n">
        <v>8.065844505461307</v>
      </c>
      <c r="BQ78" s="29" t="n">
        <v>7.644071779104037</v>
      </c>
      <c r="BR78" s="29" t="n">
        <v>0</v>
      </c>
      <c r="BS78" s="29">
        <f>SUM(C78:BR78)</f>
        <v/>
      </c>
      <c r="BT78" s="29" t="n">
        <v>0</v>
      </c>
      <c r="BU78" s="29" t="n">
        <v>0</v>
      </c>
      <c r="BV78" s="29" t="n">
        <v>335115.1966707825</v>
      </c>
      <c r="BW78" s="29" t="n">
        <v>0</v>
      </c>
      <c r="BX78" s="29">
        <f>SUM(BT78:BW78)</f>
        <v/>
      </c>
      <c r="BY78" s="29">
        <f>BS78+BX78</f>
        <v/>
      </c>
    </row>
    <row r="79">
      <c r="A79" s="30" t="inlineStr">
        <is>
          <t>9080</t>
        </is>
      </c>
      <c r="B79" s="30" t="inlineStr">
        <is>
          <t>Atividades artísticas, criativas e de espetáculos</t>
        </is>
      </c>
      <c r="C79" s="31" t="n">
        <v>0.2802169964404339</v>
      </c>
      <c r="D79" s="31" t="n">
        <v>6.580805795637821</v>
      </c>
      <c r="E79" s="31" t="n">
        <v>1.542634902400182</v>
      </c>
      <c r="F79" s="31" t="n">
        <v>0.8362025588905626</v>
      </c>
      <c r="G79" s="31" t="n">
        <v>12.08307838720656</v>
      </c>
      <c r="H79" s="31" t="n">
        <v>0.7695365028278108</v>
      </c>
      <c r="I79" s="31" t="n">
        <v>0.1084966081354938</v>
      </c>
      <c r="J79" s="31" t="n">
        <v>60.54202556331226</v>
      </c>
      <c r="K79" s="31" t="n">
        <v>7.35332811352247</v>
      </c>
      <c r="L79" s="31" t="n">
        <v>71.96156418557919</v>
      </c>
      <c r="M79" s="31" t="n">
        <v>89.78613682970462</v>
      </c>
      <c r="N79" s="31" t="n">
        <v>5.370406291756147</v>
      </c>
      <c r="O79" s="31" t="n">
        <v>2.854631199769869</v>
      </c>
      <c r="P79" s="31" t="n">
        <v>7.958153134073706</v>
      </c>
      <c r="Q79" s="31" t="n">
        <v>12.24363719398361</v>
      </c>
      <c r="R79" s="31" t="n">
        <v>1.949553140202955</v>
      </c>
      <c r="S79" s="31" t="n">
        <v>15.34155225651765</v>
      </c>
      <c r="T79" s="31" t="n">
        <v>1.042461329533894</v>
      </c>
      <c r="U79" s="31" t="n">
        <v>5.694148633976593</v>
      </c>
      <c r="V79" s="31" t="n">
        <v>5.557392303286132</v>
      </c>
      <c r="W79" s="31" t="n">
        <v>5.14606822868796</v>
      </c>
      <c r="X79" s="31" t="n">
        <v>11.77663275206269</v>
      </c>
      <c r="Y79" s="31" t="n">
        <v>21.66518601710131</v>
      </c>
      <c r="Z79" s="31" t="n">
        <v>37.39817296308063</v>
      </c>
      <c r="AA79" s="31" t="n">
        <v>13.7158874006682</v>
      </c>
      <c r="AB79" s="31" t="n">
        <v>7.960581327242699</v>
      </c>
      <c r="AC79" s="31" t="n">
        <v>7.373162330739811</v>
      </c>
      <c r="AD79" s="31" t="n">
        <v>1.056591722055465</v>
      </c>
      <c r="AE79" s="31" t="n">
        <v>12.17562527295249</v>
      </c>
      <c r="AF79" s="31" t="n">
        <v>22.99272969720655</v>
      </c>
      <c r="AG79" s="31" t="n">
        <v>12.51136525447995</v>
      </c>
      <c r="AH79" s="31" t="n">
        <v>15.28410846329125</v>
      </c>
      <c r="AI79" s="31" t="n">
        <v>54.78690417393902</v>
      </c>
      <c r="AJ79" s="31" t="n">
        <v>2.922599986547673</v>
      </c>
      <c r="AK79" s="31" t="n">
        <v>3.941329252127845</v>
      </c>
      <c r="AL79" s="31" t="n">
        <v>9.243208321102593</v>
      </c>
      <c r="AM79" s="31" t="n">
        <v>2.552141309387884</v>
      </c>
      <c r="AN79" s="31" t="n">
        <v>37.33164766966727</v>
      </c>
      <c r="AO79" s="31" t="n">
        <v>4.38972617621438</v>
      </c>
      <c r="AP79" s="31" t="n">
        <v>26.20856955726405</v>
      </c>
      <c r="AQ79" s="31" t="n">
        <v>48.24493901941179</v>
      </c>
      <c r="AR79" s="31" t="n">
        <v>412.3606330774046</v>
      </c>
      <c r="AS79" s="31" t="n">
        <v>15.95782301728418</v>
      </c>
      <c r="AT79" s="31" t="n">
        <v>1.300573732400367</v>
      </c>
      <c r="AU79" s="31" t="n">
        <v>2.52896187399227</v>
      </c>
      <c r="AV79" s="31" t="n">
        <v>33.32248630189156</v>
      </c>
      <c r="AW79" s="31" t="n">
        <v>16.78488417763862</v>
      </c>
      <c r="AX79" s="31" t="n">
        <v>17.07603194280512</v>
      </c>
      <c r="AY79" s="31" t="n">
        <v>10.80755821278541</v>
      </c>
      <c r="AZ79" s="31" t="n">
        <v>1469.377306478409</v>
      </c>
      <c r="BA79" s="31" t="n">
        <v>249.9095681518158</v>
      </c>
      <c r="BB79" s="31" t="n">
        <v>57.88551606636291</v>
      </c>
      <c r="BC79" s="31" t="n">
        <v>157.5006010441698</v>
      </c>
      <c r="BD79" s="31" t="n">
        <v>16.17835663683263</v>
      </c>
      <c r="BE79" s="31" t="n">
        <v>81.96454934972313</v>
      </c>
      <c r="BF79" s="31" t="n">
        <v>10.09437696715868</v>
      </c>
      <c r="BG79" s="31" t="n">
        <v>139.5653154185279</v>
      </c>
      <c r="BH79" s="31" t="n">
        <v>21.87866276411722</v>
      </c>
      <c r="BI79" s="31" t="n">
        <v>46.29448658590277</v>
      </c>
      <c r="BJ79" s="31" t="n">
        <v>4.092177627472578</v>
      </c>
      <c r="BK79" s="31" t="n">
        <v>692.5717607213251</v>
      </c>
      <c r="BL79" s="31" t="n">
        <v>86.81003078818675</v>
      </c>
      <c r="BM79" s="31" t="n">
        <v>52.86001935387551</v>
      </c>
      <c r="BN79" s="31" t="n">
        <v>86.85114740822534</v>
      </c>
      <c r="BO79" s="31" t="n">
        <v>3.269665749228167</v>
      </c>
      <c r="BP79" s="31" t="n">
        <v>574.3738048383211</v>
      </c>
      <c r="BQ79" s="31" t="n">
        <v>1112.031709521752</v>
      </c>
      <c r="BR79" s="31" t="n">
        <v>0</v>
      </c>
      <c r="BS79" s="31">
        <f>SUM(C79:BR79)</f>
        <v/>
      </c>
      <c r="BT79" s="31" t="n">
        <v>0</v>
      </c>
      <c r="BU79" s="31" t="n">
        <v>0</v>
      </c>
      <c r="BV79" s="31" t="n">
        <v>36763.80305707455</v>
      </c>
      <c r="BW79" s="31" t="n">
        <v>0</v>
      </c>
      <c r="BX79" s="31">
        <f>SUM(BT79:BW79)</f>
        <v/>
      </c>
      <c r="BY79" s="31">
        <f>BS79+BX79</f>
        <v/>
      </c>
    </row>
    <row r="80">
      <c r="A80" s="28" t="inlineStr">
        <is>
          <t>9480</t>
        </is>
      </c>
      <c r="B80" s="28" t="inlineStr">
        <is>
          <t>Organizações associativas e outros serviços pessoais</t>
        </is>
      </c>
      <c r="C80" s="29" t="n">
        <v>174.0806869209648</v>
      </c>
      <c r="D80" s="29" t="n">
        <v>43.03549132929378</v>
      </c>
      <c r="E80" s="29" t="n">
        <v>28.75146589180498</v>
      </c>
      <c r="F80" s="29" t="n">
        <v>56.57331128917301</v>
      </c>
      <c r="G80" s="29" t="n">
        <v>883.8363752030264</v>
      </c>
      <c r="H80" s="29" t="n">
        <v>798.9233623114602</v>
      </c>
      <c r="I80" s="29" t="n">
        <v>77.90851869492145</v>
      </c>
      <c r="J80" s="29" t="n">
        <v>484.6040675953153</v>
      </c>
      <c r="K80" s="29" t="n">
        <v>201.2848110922125</v>
      </c>
      <c r="L80" s="29" t="n">
        <v>383.5107550620825</v>
      </c>
      <c r="M80" s="29" t="n">
        <v>195.6165629546568</v>
      </c>
      <c r="N80" s="29" t="n">
        <v>31.03680135291356</v>
      </c>
      <c r="O80" s="29" t="n">
        <v>87.55612181618774</v>
      </c>
      <c r="P80" s="29" t="n">
        <v>142.9531674996646</v>
      </c>
      <c r="Q80" s="29" t="n">
        <v>67.09402734353546</v>
      </c>
      <c r="R80" s="29" t="n">
        <v>167.5103512694652</v>
      </c>
      <c r="S80" s="29" t="n">
        <v>294.7332374078428</v>
      </c>
      <c r="T80" s="29" t="n">
        <v>55.28272541661622</v>
      </c>
      <c r="U80" s="29" t="n">
        <v>249.5488957713889</v>
      </c>
      <c r="V80" s="29" t="n">
        <v>167.5974627575379</v>
      </c>
      <c r="W80" s="29" t="n">
        <v>243.77188100124</v>
      </c>
      <c r="X80" s="29" t="n">
        <v>97.02307570544704</v>
      </c>
      <c r="Y80" s="29" t="n">
        <v>66.34703094968822</v>
      </c>
      <c r="Z80" s="29" t="n">
        <v>176.6352086927514</v>
      </c>
      <c r="AA80" s="29" t="n">
        <v>285.6917705373281</v>
      </c>
      <c r="AB80" s="29" t="n">
        <v>272.9504563715307</v>
      </c>
      <c r="AC80" s="29" t="n">
        <v>224.4950105847362</v>
      </c>
      <c r="AD80" s="29" t="n">
        <v>96.87561703690083</v>
      </c>
      <c r="AE80" s="29" t="n">
        <v>391.0878787347249</v>
      </c>
      <c r="AF80" s="29" t="n">
        <v>301.3030680712857</v>
      </c>
      <c r="AG80" s="29" t="n">
        <v>195.3953145890339</v>
      </c>
      <c r="AH80" s="29" t="n">
        <v>400.2953990979043</v>
      </c>
      <c r="AI80" s="29" t="n">
        <v>283.0047059618405</v>
      </c>
      <c r="AJ80" s="29" t="n">
        <v>211.737023438361</v>
      </c>
      <c r="AK80" s="29" t="n">
        <v>58.71944944513741</v>
      </c>
      <c r="AL80" s="29" t="n">
        <v>168.382900204872</v>
      </c>
      <c r="AM80" s="29" t="n">
        <v>3.200896304076661</v>
      </c>
      <c r="AN80" s="29" t="n">
        <v>442.3743788314352</v>
      </c>
      <c r="AO80" s="29" t="n">
        <v>0.9511040514999993</v>
      </c>
      <c r="AP80" s="29" t="n">
        <v>135.7899633004437</v>
      </c>
      <c r="AQ80" s="29" t="n">
        <v>89.16156678572169</v>
      </c>
      <c r="AR80" s="29" t="n">
        <v>3881.792452920415</v>
      </c>
      <c r="AS80" s="29" t="n">
        <v>552.6227090999745</v>
      </c>
      <c r="AT80" s="29" t="n">
        <v>6.281896930171987</v>
      </c>
      <c r="AU80" s="29" t="n">
        <v>6.613440695576679</v>
      </c>
      <c r="AV80" s="29" t="n">
        <v>1384.73696690128</v>
      </c>
      <c r="AW80" s="29" t="n">
        <v>168.1712510184795</v>
      </c>
      <c r="AX80" s="29" t="n">
        <v>194.9047722754694</v>
      </c>
      <c r="AY80" s="29" t="n">
        <v>37.11101810516996</v>
      </c>
      <c r="AZ80" s="29" t="n">
        <v>178.8146719061579</v>
      </c>
      <c r="BA80" s="29" t="n">
        <v>2870.887283967059</v>
      </c>
      <c r="BB80" s="29" t="n">
        <v>2203.635655564564</v>
      </c>
      <c r="BC80" s="29" t="n">
        <v>2016.997728967122</v>
      </c>
      <c r="BD80" s="29" t="n">
        <v>123.8794473524163</v>
      </c>
      <c r="BE80" s="29" t="n">
        <v>528.1552561209234</v>
      </c>
      <c r="BF80" s="29" t="n">
        <v>87.05355881039907</v>
      </c>
      <c r="BG80" s="29" t="n">
        <v>1006.464827726728</v>
      </c>
      <c r="BH80" s="29" t="n">
        <v>184.8918998989984</v>
      </c>
      <c r="BI80" s="29" t="n">
        <v>1813.270507181213</v>
      </c>
      <c r="BJ80" s="29" t="n">
        <v>50.15361446095829</v>
      </c>
      <c r="BK80" s="29" t="n">
        <v>740.720927413295</v>
      </c>
      <c r="BL80" s="29" t="n">
        <v>137.8901634093372</v>
      </c>
      <c r="BM80" s="29" t="n">
        <v>591.6390851914622</v>
      </c>
      <c r="BN80" s="29" t="n">
        <v>2035.42983877997</v>
      </c>
      <c r="BO80" s="29" t="n">
        <v>2519.341081963407</v>
      </c>
      <c r="BP80" s="29" t="n">
        <v>21.25040250763322</v>
      </c>
      <c r="BQ80" s="29" t="n">
        <v>664.7800136140888</v>
      </c>
      <c r="BR80" s="29" t="n">
        <v>0</v>
      </c>
      <c r="BS80" s="29">
        <f>SUM(C80:BR80)</f>
        <v/>
      </c>
      <c r="BT80" s="29" t="n">
        <v>0</v>
      </c>
      <c r="BU80" s="29" t="n">
        <v>0</v>
      </c>
      <c r="BV80" s="29" t="n">
        <v>152557.7247116223</v>
      </c>
      <c r="BW80" s="29" t="n">
        <v>0</v>
      </c>
      <c r="BX80" s="29">
        <f>SUM(BT80:BW80)</f>
        <v/>
      </c>
      <c r="BY80" s="29">
        <f>BS80+BX80</f>
        <v/>
      </c>
    </row>
    <row r="81">
      <c r="A81" s="30" t="inlineStr">
        <is>
          <t>9700</t>
        </is>
      </c>
      <c r="B81" s="30" t="inlineStr">
        <is>
          <t>Serviços domésticos</t>
        </is>
      </c>
      <c r="C81" s="31" t="n">
        <v>0</v>
      </c>
      <c r="D81" s="31" t="n">
        <v>0</v>
      </c>
      <c r="E81" s="31" t="n">
        <v>0</v>
      </c>
      <c r="F81" s="31" t="n">
        <v>0</v>
      </c>
      <c r="G81" s="31" t="n">
        <v>0</v>
      </c>
      <c r="H81" s="31" t="n">
        <v>0</v>
      </c>
      <c r="I81" s="31" t="n">
        <v>0</v>
      </c>
      <c r="J81" s="31" t="n">
        <v>0</v>
      </c>
      <c r="K81" s="31" t="n">
        <v>0</v>
      </c>
      <c r="L81" s="31" t="n">
        <v>0</v>
      </c>
      <c r="M81" s="31" t="n">
        <v>0</v>
      </c>
      <c r="N81" s="31" t="n">
        <v>0</v>
      </c>
      <c r="O81" s="31" t="n">
        <v>0</v>
      </c>
      <c r="P81" s="31" t="n">
        <v>0</v>
      </c>
      <c r="Q81" s="31" t="n">
        <v>0</v>
      </c>
      <c r="R81" s="31" t="n">
        <v>0</v>
      </c>
      <c r="S81" s="31" t="n">
        <v>0</v>
      </c>
      <c r="T81" s="31" t="n">
        <v>0</v>
      </c>
      <c r="U81" s="31" t="n">
        <v>0</v>
      </c>
      <c r="V81" s="31" t="n">
        <v>0</v>
      </c>
      <c r="W81" s="31" t="n">
        <v>0</v>
      </c>
      <c r="X81" s="31" t="n">
        <v>0</v>
      </c>
      <c r="Y81" s="31" t="n">
        <v>0</v>
      </c>
      <c r="Z81" s="31" t="n">
        <v>0</v>
      </c>
      <c r="AA81" s="31" t="n">
        <v>0</v>
      </c>
      <c r="AB81" s="31" t="n">
        <v>0</v>
      </c>
      <c r="AC81" s="31" t="n">
        <v>0</v>
      </c>
      <c r="AD81" s="31" t="n">
        <v>0</v>
      </c>
      <c r="AE81" s="31" t="n">
        <v>0</v>
      </c>
      <c r="AF81" s="31" t="n">
        <v>0</v>
      </c>
      <c r="AG81" s="31" t="n">
        <v>0</v>
      </c>
      <c r="AH81" s="31" t="n">
        <v>0</v>
      </c>
      <c r="AI81" s="31" t="n">
        <v>0</v>
      </c>
      <c r="AJ81" s="31" t="n">
        <v>0</v>
      </c>
      <c r="AK81" s="31" t="n">
        <v>0</v>
      </c>
      <c r="AL81" s="31" t="n">
        <v>0</v>
      </c>
      <c r="AM81" s="31" t="n">
        <v>0</v>
      </c>
      <c r="AN81" s="31" t="n">
        <v>0</v>
      </c>
      <c r="AO81" s="31" t="n">
        <v>0</v>
      </c>
      <c r="AP81" s="31" t="n">
        <v>0</v>
      </c>
      <c r="AQ81" s="31" t="n">
        <v>0</v>
      </c>
      <c r="AR81" s="31" t="n">
        <v>0</v>
      </c>
      <c r="AS81" s="31" t="n">
        <v>0</v>
      </c>
      <c r="AT81" s="31" t="n">
        <v>0</v>
      </c>
      <c r="AU81" s="31" t="n">
        <v>0</v>
      </c>
      <c r="AV81" s="31" t="n">
        <v>0</v>
      </c>
      <c r="AW81" s="31" t="n">
        <v>0</v>
      </c>
      <c r="AX81" s="31" t="n">
        <v>0</v>
      </c>
      <c r="AY81" s="31" t="n">
        <v>0</v>
      </c>
      <c r="AZ81" s="31" t="n">
        <v>0</v>
      </c>
      <c r="BA81" s="31" t="n">
        <v>0</v>
      </c>
      <c r="BB81" s="31" t="n">
        <v>0</v>
      </c>
      <c r="BC81" s="31" t="n">
        <v>0</v>
      </c>
      <c r="BD81" s="31" t="n">
        <v>0</v>
      </c>
      <c r="BE81" s="31" t="n">
        <v>0</v>
      </c>
      <c r="BF81" s="31" t="n">
        <v>0</v>
      </c>
      <c r="BG81" s="31" t="n">
        <v>0</v>
      </c>
      <c r="BH81" s="31" t="n">
        <v>0</v>
      </c>
      <c r="BI81" s="31" t="n">
        <v>0</v>
      </c>
      <c r="BJ81" s="31" t="n">
        <v>0</v>
      </c>
      <c r="BK81" s="31" t="n">
        <v>0</v>
      </c>
      <c r="BL81" s="31" t="n">
        <v>0</v>
      </c>
      <c r="BM81" s="31" t="n">
        <v>0</v>
      </c>
      <c r="BN81" s="31" t="n">
        <v>0</v>
      </c>
      <c r="BO81" s="31" t="n">
        <v>0</v>
      </c>
      <c r="BP81" s="31" t="n">
        <v>0</v>
      </c>
      <c r="BQ81" s="31" t="n">
        <v>0</v>
      </c>
      <c r="BR81" s="31" t="n">
        <v>0</v>
      </c>
      <c r="BS81" s="31">
        <f>SUM(C81:BR81)</f>
        <v/>
      </c>
      <c r="BT81" s="31" t="n">
        <v>0</v>
      </c>
      <c r="BU81" s="31" t="n">
        <v>0</v>
      </c>
      <c r="BV81" s="31" t="n">
        <v>61371</v>
      </c>
      <c r="BW81" s="31" t="n">
        <v>0</v>
      </c>
      <c r="BX81" s="31">
        <f>SUM(BT81:BW81)</f>
        <v/>
      </c>
      <c r="BY81" s="31">
        <f>BS81+BX81</f>
        <v/>
      </c>
    </row>
    <row r="82">
      <c r="B82" s="32" t="inlineStr">
        <is>
          <t>Total consumo intermedio</t>
        </is>
      </c>
      <c r="C82" s="33">
        <f>SUM(C14:C81)</f>
        <v/>
      </c>
      <c r="D82" s="33">
        <f>SUM(D14:D81)</f>
        <v/>
      </c>
      <c r="E82" s="33">
        <f>SUM(E14:E81)</f>
        <v/>
      </c>
      <c r="F82" s="33">
        <f>SUM(F14:F81)</f>
        <v/>
      </c>
      <c r="G82" s="33">
        <f>SUM(G14:G81)</f>
        <v/>
      </c>
      <c r="H82" s="33">
        <f>SUM(H14:H81)</f>
        <v/>
      </c>
      <c r="I82" s="33">
        <f>SUM(I14:I81)</f>
        <v/>
      </c>
      <c r="J82" s="33">
        <f>SUM(J14:J81)</f>
        <v/>
      </c>
      <c r="K82" s="33">
        <f>SUM(K14:K81)</f>
        <v/>
      </c>
      <c r="L82" s="33">
        <f>SUM(L14:L81)</f>
        <v/>
      </c>
      <c r="M82" s="33">
        <f>SUM(M14:M81)</f>
        <v/>
      </c>
      <c r="N82" s="33">
        <f>SUM(N14:N81)</f>
        <v/>
      </c>
      <c r="O82" s="33">
        <f>SUM(O14:O81)</f>
        <v/>
      </c>
      <c r="P82" s="33">
        <f>SUM(P14:P81)</f>
        <v/>
      </c>
      <c r="Q82" s="33">
        <f>SUM(Q14:Q81)</f>
        <v/>
      </c>
      <c r="R82" s="33">
        <f>SUM(R14:R81)</f>
        <v/>
      </c>
      <c r="S82" s="33">
        <f>SUM(S14:S81)</f>
        <v/>
      </c>
      <c r="T82" s="33">
        <f>SUM(T14:T81)</f>
        <v/>
      </c>
      <c r="U82" s="33">
        <f>SUM(U14:U81)</f>
        <v/>
      </c>
      <c r="V82" s="33">
        <f>SUM(V14:V81)</f>
        <v/>
      </c>
      <c r="W82" s="33">
        <f>SUM(W14:W81)</f>
        <v/>
      </c>
      <c r="X82" s="33">
        <f>SUM(X14:X81)</f>
        <v/>
      </c>
      <c r="Y82" s="33">
        <f>SUM(Y14:Y81)</f>
        <v/>
      </c>
      <c r="Z82" s="33">
        <f>SUM(Z14:Z81)</f>
        <v/>
      </c>
      <c r="AA82" s="33">
        <f>SUM(AA14:AA81)</f>
        <v/>
      </c>
      <c r="AB82" s="33">
        <f>SUM(AB14:AB81)</f>
        <v/>
      </c>
      <c r="AC82" s="33">
        <f>SUM(AC14:AC81)</f>
        <v/>
      </c>
      <c r="AD82" s="33">
        <f>SUM(AD14:AD81)</f>
        <v/>
      </c>
      <c r="AE82" s="33">
        <f>SUM(AE14:AE81)</f>
        <v/>
      </c>
      <c r="AF82" s="33">
        <f>SUM(AF14:AF81)</f>
        <v/>
      </c>
      <c r="AG82" s="33">
        <f>SUM(AG14:AG81)</f>
        <v/>
      </c>
      <c r="AH82" s="33">
        <f>SUM(AH14:AH81)</f>
        <v/>
      </c>
      <c r="AI82" s="33">
        <f>SUM(AI14:AI81)</f>
        <v/>
      </c>
      <c r="AJ82" s="33">
        <f>SUM(AJ14:AJ81)</f>
        <v/>
      </c>
      <c r="AK82" s="33">
        <f>SUM(AK14:AK81)</f>
        <v/>
      </c>
      <c r="AL82" s="33">
        <f>SUM(AL14:AL81)</f>
        <v/>
      </c>
      <c r="AM82" s="33">
        <f>SUM(AM14:AM81)</f>
        <v/>
      </c>
      <c r="AN82" s="33">
        <f>SUM(AN14:AN81)</f>
        <v/>
      </c>
      <c r="AO82" s="33">
        <f>SUM(AO14:AO81)</f>
        <v/>
      </c>
      <c r="AP82" s="33">
        <f>SUM(AP14:AP81)</f>
        <v/>
      </c>
      <c r="AQ82" s="33">
        <f>SUM(AQ14:AQ81)</f>
        <v/>
      </c>
      <c r="AR82" s="33">
        <f>SUM(AR14:AR81)</f>
        <v/>
      </c>
      <c r="AS82" s="33">
        <f>SUM(AS14:AS81)</f>
        <v/>
      </c>
      <c r="AT82" s="33">
        <f>SUM(AT14:AT81)</f>
        <v/>
      </c>
      <c r="AU82" s="33">
        <f>SUM(AU14:AU81)</f>
        <v/>
      </c>
      <c r="AV82" s="33">
        <f>SUM(AV14:AV81)</f>
        <v/>
      </c>
      <c r="AW82" s="33">
        <f>SUM(AW14:AW81)</f>
        <v/>
      </c>
      <c r="AX82" s="33">
        <f>SUM(AX14:AX81)</f>
        <v/>
      </c>
      <c r="AY82" s="33">
        <f>SUM(AY14:AY81)</f>
        <v/>
      </c>
      <c r="AZ82" s="33">
        <f>SUM(AZ14:AZ81)</f>
        <v/>
      </c>
      <c r="BA82" s="33">
        <f>SUM(BA14:BA81)</f>
        <v/>
      </c>
      <c r="BB82" s="33">
        <f>SUM(BB14:BB81)</f>
        <v/>
      </c>
      <c r="BC82" s="33">
        <f>SUM(BC14:BC81)</f>
        <v/>
      </c>
      <c r="BD82" s="33">
        <f>SUM(BD14:BD81)</f>
        <v/>
      </c>
      <c r="BE82" s="33">
        <f>SUM(BE14:BE81)</f>
        <v/>
      </c>
      <c r="BF82" s="33">
        <f>SUM(BF14:BF81)</f>
        <v/>
      </c>
      <c r="BG82" s="33">
        <f>SUM(BG14:BG81)</f>
        <v/>
      </c>
      <c r="BH82" s="33">
        <f>SUM(BH14:BH81)</f>
        <v/>
      </c>
      <c r="BI82" s="33">
        <f>SUM(BI14:BI81)</f>
        <v/>
      </c>
      <c r="BJ82" s="33">
        <f>SUM(BJ14:BJ81)</f>
        <v/>
      </c>
      <c r="BK82" s="33">
        <f>SUM(BK14:BK81)</f>
        <v/>
      </c>
      <c r="BL82" s="33">
        <f>SUM(BL14:BL81)</f>
        <v/>
      </c>
      <c r="BM82" s="33">
        <f>SUM(BM14:BM81)</f>
        <v/>
      </c>
      <c r="BN82" s="33">
        <f>SUM(BN14:BN81)</f>
        <v/>
      </c>
      <c r="BO82" s="33">
        <f>SUM(BO14:BO81)</f>
        <v/>
      </c>
      <c r="BP82" s="33">
        <f>SUM(BP14:BP81)</f>
        <v/>
      </c>
      <c r="BQ82" s="33">
        <f>SUM(BQ14:BQ81)</f>
        <v/>
      </c>
      <c r="BR82" s="33">
        <f>SUM(BR14:BR81)</f>
        <v/>
      </c>
      <c r="BS82" s="33">
        <f>SUM(BS14:BS81)</f>
        <v/>
      </c>
      <c r="BT82" s="33">
        <f>SUM(BT14:BT81)</f>
        <v/>
      </c>
      <c r="BU82" s="33">
        <f>SUM(BU14:BU81)</f>
        <v/>
      </c>
      <c r="BV82" s="33">
        <f>SUM(BV14:BV81)</f>
        <v/>
      </c>
      <c r="BW82" s="33">
        <f>SUM(BW14:BW81)</f>
        <v/>
      </c>
      <c r="BX82" s="33">
        <f>SUM(BX14:BX81)</f>
        <v/>
      </c>
      <c r="BY82" s="33">
        <f>SUM(BY14:BY81)</f>
        <v/>
      </c>
    </row>
    <row r="83"/>
    <row r="84">
      <c r="B84" s="32" t="inlineStr">
        <is>
          <t>Ajuste intermedio no asignado a matriz</t>
        </is>
      </c>
      <c r="C84" s="33" t="n">
        <v>105603.1580283537</v>
      </c>
      <c r="D84" s="33" t="n">
        <v>36995.9489316243</v>
      </c>
      <c r="E84" s="33" t="n">
        <v>3038.268379981401</v>
      </c>
      <c r="F84" s="33" t="n">
        <v>2974.010047685228</v>
      </c>
      <c r="G84" s="33" t="n">
        <v>47258.42985560956</v>
      </c>
      <c r="H84" s="33" t="n">
        <v>17715.59886582588</v>
      </c>
      <c r="I84" s="33" t="n">
        <v>2406.45874226319</v>
      </c>
      <c r="J84" s="34" t="n">
        <v>-137760.1279216045</v>
      </c>
      <c r="K84" s="34" t="n">
        <v>-6891.675928508184</v>
      </c>
      <c r="L84" s="34" t="n">
        <v>-40306.38626724452</v>
      </c>
      <c r="M84" s="33" t="n">
        <v>14156.20206718126</v>
      </c>
      <c r="N84" s="34" t="n">
        <v>-891.9334617391851</v>
      </c>
      <c r="O84" s="33" t="n">
        <v>4229.472772743718</v>
      </c>
      <c r="P84" s="33" t="n">
        <v>1334.095041770714</v>
      </c>
      <c r="Q84" s="34" t="n">
        <v>-5751.58703231664</v>
      </c>
      <c r="R84" s="34" t="n">
        <v>-4198.392495486929</v>
      </c>
      <c r="S84" s="34" t="n">
        <v>-28663.0026903835</v>
      </c>
      <c r="T84" s="33" t="n">
        <v>3360.117292145317</v>
      </c>
      <c r="U84" s="33" t="n">
        <v>144694.7782335076</v>
      </c>
      <c r="V84" s="34" t="n">
        <v>-10351.64420197569</v>
      </c>
      <c r="W84" s="33" t="n">
        <v>97042.82581514736</v>
      </c>
      <c r="X84" s="33" t="n">
        <v>15209.04513179613</v>
      </c>
      <c r="Y84" s="33" t="n">
        <v>15505.04653803566</v>
      </c>
      <c r="Z84" s="34" t="n">
        <v>-17422.39931374665</v>
      </c>
      <c r="AA84" s="33" t="n">
        <v>10999.71545611003</v>
      </c>
      <c r="AB84" s="34" t="n">
        <v>-6938.821701834879</v>
      </c>
      <c r="AC84" s="33" t="n">
        <v>3320.610674340525</v>
      </c>
      <c r="AD84" s="33" t="n">
        <v>13534.50406166477</v>
      </c>
      <c r="AE84" s="34" t="n">
        <v>-2181.627907131275</v>
      </c>
      <c r="AF84" s="33" t="n">
        <v>59183.77335611248</v>
      </c>
      <c r="AG84" s="33" t="n">
        <v>12577.18890969091</v>
      </c>
      <c r="AH84" s="34" t="n">
        <v>-26685.29898794278</v>
      </c>
      <c r="AI84" s="33" t="n">
        <v>71102.83444149175</v>
      </c>
      <c r="AJ84" s="33" t="n">
        <v>35741.08390537429</v>
      </c>
      <c r="AK84" s="33" t="n">
        <v>18988.84767849035</v>
      </c>
      <c r="AL84" s="33" t="n">
        <v>1654.199609260275</v>
      </c>
      <c r="AM84" s="33" t="n">
        <v>30514.05559841485</v>
      </c>
      <c r="AN84" s="33" t="n">
        <v>58491.93896643027</v>
      </c>
      <c r="AO84" s="33" t="n">
        <v>7563.744984586044</v>
      </c>
      <c r="AP84" s="33" t="n">
        <v>104954.7256479886</v>
      </c>
      <c r="AQ84" s="33" t="n">
        <v>28153.28994363019</v>
      </c>
      <c r="AR84" s="34" t="n">
        <v>-84686.061679862</v>
      </c>
      <c r="AS84" s="33" t="n">
        <v>27996.32800369102</v>
      </c>
      <c r="AT84" s="33" t="n">
        <v>3832.292671346399</v>
      </c>
      <c r="AU84" s="33" t="n">
        <v>10802.7180224269</v>
      </c>
      <c r="AV84" s="33" t="n">
        <v>9268.863626088061</v>
      </c>
      <c r="AW84" s="33" t="n">
        <v>3218.500035562076</v>
      </c>
      <c r="AX84" s="33" t="n">
        <v>49347.96139891584</v>
      </c>
      <c r="AY84" s="34" t="n">
        <v>-4794.387292369643</v>
      </c>
      <c r="AZ84" s="34" t="n">
        <v>-6231.51432605693</v>
      </c>
      <c r="BA84" s="34" t="n">
        <v>-40965.10249368998</v>
      </c>
      <c r="BB84" s="33" t="n">
        <v>11993.2336273652</v>
      </c>
      <c r="BC84" s="33" t="n">
        <v>40960.02654599307</v>
      </c>
      <c r="BD84" s="33" t="n">
        <v>10770.5592724263</v>
      </c>
      <c r="BE84" s="33" t="n">
        <v>3948.754724727418</v>
      </c>
      <c r="BF84" s="33" t="n">
        <v>7879.985007402751</v>
      </c>
      <c r="BG84" s="33" t="n">
        <v>8472.103661460438</v>
      </c>
      <c r="BH84" s="33" t="n">
        <v>4216.320143363024</v>
      </c>
      <c r="BI84" s="33" t="n">
        <v>11792.86302825903</v>
      </c>
      <c r="BJ84" s="33" t="n">
        <v>573.7999454630253</v>
      </c>
      <c r="BK84" s="33" t="n">
        <v>45633.27902745368</v>
      </c>
      <c r="BL84" s="33" t="n">
        <v>14377.18360737369</v>
      </c>
      <c r="BM84" s="33" t="n">
        <v>8127.887282816559</v>
      </c>
      <c r="BN84" s="33" t="n">
        <v>37907.89305485845</v>
      </c>
      <c r="BO84" s="33" t="n">
        <v>47580.25208165676</v>
      </c>
      <c r="BP84" s="33" t="n">
        <v>2638.70030254511</v>
      </c>
      <c r="BQ84" s="33" t="n">
        <v>21793.79624212622</v>
      </c>
      <c r="BR84" s="33" t="n">
        <v>0</v>
      </c>
      <c r="BY84" s="33">
        <f>SUM(C84:BR84)</f>
        <v/>
      </c>
    </row>
    <row r="85"/>
    <row r="86">
      <c r="B86" s="32" t="inlineStr">
        <is>
          <t>Valor agregado</t>
        </is>
      </c>
      <c r="C86" s="33" t="n">
        <v>421109</v>
      </c>
      <c r="D86" s="33" t="n">
        <v>130445</v>
      </c>
      <c r="E86" s="33" t="n">
        <v>39531</v>
      </c>
      <c r="F86" s="33" t="n">
        <v>11561</v>
      </c>
      <c r="G86" s="33" t="n">
        <v>231887</v>
      </c>
      <c r="H86" s="33" t="n">
        <v>167230</v>
      </c>
      <c r="I86" s="33" t="n">
        <v>14189</v>
      </c>
      <c r="J86" s="33" t="n">
        <v>59950</v>
      </c>
      <c r="K86" s="33" t="n">
        <v>18988</v>
      </c>
      <c r="L86" s="33" t="n">
        <v>78319</v>
      </c>
      <c r="M86" s="33" t="n">
        <v>26193</v>
      </c>
      <c r="N86" s="33" t="n">
        <v>3106</v>
      </c>
      <c r="O86" s="33" t="n">
        <v>19370</v>
      </c>
      <c r="P86" s="33" t="n">
        <v>28809</v>
      </c>
      <c r="Q86" s="33" t="n">
        <v>16343</v>
      </c>
      <c r="R86" s="33" t="n">
        <v>19564</v>
      </c>
      <c r="S86" s="33" t="n">
        <v>29864</v>
      </c>
      <c r="T86" s="33" t="n">
        <v>8119</v>
      </c>
      <c r="U86" s="33" t="n">
        <v>90157</v>
      </c>
      <c r="V86" s="33" t="n">
        <v>20994</v>
      </c>
      <c r="W86" s="33" t="n">
        <v>62229</v>
      </c>
      <c r="X86" s="33" t="n">
        <v>19572</v>
      </c>
      <c r="Y86" s="33" t="n">
        <v>11340</v>
      </c>
      <c r="Z86" s="33" t="n">
        <v>45544</v>
      </c>
      <c r="AA86" s="33" t="n">
        <v>37300</v>
      </c>
      <c r="AB86" s="33" t="n">
        <v>42799</v>
      </c>
      <c r="AC86" s="33" t="n">
        <v>96011</v>
      </c>
      <c r="AD86" s="33" t="n">
        <v>29466</v>
      </c>
      <c r="AE86" s="33" t="n">
        <v>51610</v>
      </c>
      <c r="AF86" s="33" t="n">
        <v>19947</v>
      </c>
      <c r="AG86" s="33" t="n">
        <v>29515</v>
      </c>
      <c r="AH86" s="33" t="n">
        <v>59125</v>
      </c>
      <c r="AI86" s="33" t="n">
        <v>25538</v>
      </c>
      <c r="AJ86" s="33" t="n">
        <v>32464</v>
      </c>
      <c r="AK86" s="33" t="n">
        <v>8912</v>
      </c>
      <c r="AL86" s="33" t="n">
        <v>44592</v>
      </c>
      <c r="AM86" s="33" t="n">
        <v>37099</v>
      </c>
      <c r="AN86" s="33" t="n">
        <v>157298</v>
      </c>
      <c r="AO86" s="33" t="n">
        <v>63684</v>
      </c>
      <c r="AP86" s="33" t="n">
        <v>275111</v>
      </c>
      <c r="AQ86" s="33" t="n">
        <v>121904</v>
      </c>
      <c r="AR86" s="33" t="n">
        <v>843798</v>
      </c>
      <c r="AS86" s="33" t="n">
        <v>183535</v>
      </c>
      <c r="AT86" s="33" t="n">
        <v>14616</v>
      </c>
      <c r="AU86" s="33" t="n">
        <v>3073</v>
      </c>
      <c r="AV86" s="33" t="n">
        <v>102818</v>
      </c>
      <c r="AW86" s="33" t="n">
        <v>16415</v>
      </c>
      <c r="AX86" s="33" t="n">
        <v>120712</v>
      </c>
      <c r="AY86" s="33" t="n">
        <v>7995</v>
      </c>
      <c r="AZ86" s="33" t="n">
        <v>17533</v>
      </c>
      <c r="BA86" s="33" t="n">
        <v>79011</v>
      </c>
      <c r="BB86" s="33" t="n">
        <v>159992</v>
      </c>
      <c r="BC86" s="33" t="n">
        <v>447048</v>
      </c>
      <c r="BD86" s="33" t="n">
        <v>699465</v>
      </c>
      <c r="BE86" s="33" t="n">
        <v>195074</v>
      </c>
      <c r="BF86" s="33" t="n">
        <v>50176</v>
      </c>
      <c r="BG86" s="33" t="n">
        <v>53773</v>
      </c>
      <c r="BH86" s="33" t="n">
        <v>49842</v>
      </c>
      <c r="BI86" s="33" t="n">
        <v>213521</v>
      </c>
      <c r="BJ86" s="33" t="n">
        <v>36376</v>
      </c>
      <c r="BK86" s="33" t="n">
        <v>719944</v>
      </c>
      <c r="BL86" s="33" t="n">
        <v>340323</v>
      </c>
      <c r="BM86" s="33" t="n">
        <v>100728</v>
      </c>
      <c r="BN86" s="33" t="n">
        <v>158689</v>
      </c>
      <c r="BO86" s="33" t="n">
        <v>222222</v>
      </c>
      <c r="BP86" s="33" t="n">
        <v>22891</v>
      </c>
      <c r="BQ86" s="33" t="n">
        <v>86270</v>
      </c>
      <c r="BR86" s="33" t="n">
        <v>61371</v>
      </c>
      <c r="BY86" s="33">
        <f>SUM(C86:BR86)</f>
        <v/>
      </c>
    </row>
    <row r="87"/>
    <row r="88">
      <c r="B88" s="32" t="inlineStr">
        <is>
          <t>Produccion total</t>
        </is>
      </c>
      <c r="C88" s="33">
        <f>C82+C84+C86</f>
        <v/>
      </c>
      <c r="D88" s="33">
        <f>D82+D84+D86</f>
        <v/>
      </c>
      <c r="E88" s="33">
        <f>E82+E84+E86</f>
        <v/>
      </c>
      <c r="F88" s="33">
        <f>F82+F84+F86</f>
        <v/>
      </c>
      <c r="G88" s="33">
        <f>G82+G84+G86</f>
        <v/>
      </c>
      <c r="H88" s="33">
        <f>H82+H84+H86</f>
        <v/>
      </c>
      <c r="I88" s="33">
        <f>I82+I84+I86</f>
        <v/>
      </c>
      <c r="J88" s="33">
        <f>J82+J84+J86</f>
        <v/>
      </c>
      <c r="K88" s="33">
        <f>K82+K84+K86</f>
        <v/>
      </c>
      <c r="L88" s="33">
        <f>L82+L84+L86</f>
        <v/>
      </c>
      <c r="M88" s="33">
        <f>M82+M84+M86</f>
        <v/>
      </c>
      <c r="N88" s="33">
        <f>N82+N84+N86</f>
        <v/>
      </c>
      <c r="O88" s="33">
        <f>O82+O84+O86</f>
        <v/>
      </c>
      <c r="P88" s="33">
        <f>P82+P84+P86</f>
        <v/>
      </c>
      <c r="Q88" s="33">
        <f>Q82+Q84+Q86</f>
        <v/>
      </c>
      <c r="R88" s="33">
        <f>R82+R84+R86</f>
        <v/>
      </c>
      <c r="S88" s="33">
        <f>S82+S84+S86</f>
        <v/>
      </c>
      <c r="T88" s="33">
        <f>T82+T84+T86</f>
        <v/>
      </c>
      <c r="U88" s="33">
        <f>U82+U84+U86</f>
        <v/>
      </c>
      <c r="V88" s="33">
        <f>V82+V84+V86</f>
        <v/>
      </c>
      <c r="W88" s="33">
        <f>W82+W84+W86</f>
        <v/>
      </c>
      <c r="X88" s="33">
        <f>X82+X84+X86</f>
        <v/>
      </c>
      <c r="Y88" s="33">
        <f>Y82+Y84+Y86</f>
        <v/>
      </c>
      <c r="Z88" s="33">
        <f>Z82+Z84+Z86</f>
        <v/>
      </c>
      <c r="AA88" s="33">
        <f>AA82+AA84+AA86</f>
        <v/>
      </c>
      <c r="AB88" s="33">
        <f>AB82+AB84+AB86</f>
        <v/>
      </c>
      <c r="AC88" s="33">
        <f>AC82+AC84+AC86</f>
        <v/>
      </c>
      <c r="AD88" s="33">
        <f>AD82+AD84+AD86</f>
        <v/>
      </c>
      <c r="AE88" s="33">
        <f>AE82+AE84+AE86</f>
        <v/>
      </c>
      <c r="AF88" s="33">
        <f>AF82+AF84+AF86</f>
        <v/>
      </c>
      <c r="AG88" s="33">
        <f>AG82+AG84+AG86</f>
        <v/>
      </c>
      <c r="AH88" s="33">
        <f>AH82+AH84+AH86</f>
        <v/>
      </c>
      <c r="AI88" s="33">
        <f>AI82+AI84+AI86</f>
        <v/>
      </c>
      <c r="AJ88" s="33">
        <f>AJ82+AJ84+AJ86</f>
        <v/>
      </c>
      <c r="AK88" s="33">
        <f>AK82+AK84+AK86</f>
        <v/>
      </c>
      <c r="AL88" s="33">
        <f>AL82+AL84+AL86</f>
        <v/>
      </c>
      <c r="AM88" s="33">
        <f>AM82+AM84+AM86</f>
        <v/>
      </c>
      <c r="AN88" s="33">
        <f>AN82+AN84+AN86</f>
        <v/>
      </c>
      <c r="AO88" s="33">
        <f>AO82+AO84+AO86</f>
        <v/>
      </c>
      <c r="AP88" s="33">
        <f>AP82+AP84+AP86</f>
        <v/>
      </c>
      <c r="AQ88" s="33">
        <f>AQ82+AQ84+AQ86</f>
        <v/>
      </c>
      <c r="AR88" s="33">
        <f>AR82+AR84+AR86</f>
        <v/>
      </c>
      <c r="AS88" s="33">
        <f>AS82+AS84+AS86</f>
        <v/>
      </c>
      <c r="AT88" s="33">
        <f>AT82+AT84+AT86</f>
        <v/>
      </c>
      <c r="AU88" s="33">
        <f>AU82+AU84+AU86</f>
        <v/>
      </c>
      <c r="AV88" s="33">
        <f>AV82+AV84+AV86</f>
        <v/>
      </c>
      <c r="AW88" s="33">
        <f>AW82+AW84+AW86</f>
        <v/>
      </c>
      <c r="AX88" s="33">
        <f>AX82+AX84+AX86</f>
        <v/>
      </c>
      <c r="AY88" s="33">
        <f>AY82+AY84+AY86</f>
        <v/>
      </c>
      <c r="AZ88" s="33">
        <f>AZ82+AZ84+AZ86</f>
        <v/>
      </c>
      <c r="BA88" s="33">
        <f>BA82+BA84+BA86</f>
        <v/>
      </c>
      <c r="BB88" s="33">
        <f>BB82+BB84+BB86</f>
        <v/>
      </c>
      <c r="BC88" s="33">
        <f>BC82+BC84+BC86</f>
        <v/>
      </c>
      <c r="BD88" s="33">
        <f>BD82+BD84+BD86</f>
        <v/>
      </c>
      <c r="BE88" s="33">
        <f>BE82+BE84+BE86</f>
        <v/>
      </c>
      <c r="BF88" s="33">
        <f>BF82+BF84+BF86</f>
        <v/>
      </c>
      <c r="BG88" s="33">
        <f>BG82+BG84+BG86</f>
        <v/>
      </c>
      <c r="BH88" s="33">
        <f>BH82+BH84+BH86</f>
        <v/>
      </c>
      <c r="BI88" s="33">
        <f>BI82+BI84+BI86</f>
        <v/>
      </c>
      <c r="BJ88" s="33">
        <f>BJ82+BJ84+BJ86</f>
        <v/>
      </c>
      <c r="BK88" s="33">
        <f>BK82+BK84+BK86</f>
        <v/>
      </c>
      <c r="BL88" s="33">
        <f>BL82+BL84+BL86</f>
        <v/>
      </c>
      <c r="BM88" s="33">
        <f>BM82+BM84+BM86</f>
        <v/>
      </c>
      <c r="BN88" s="33">
        <f>BN82+BN84+BN86</f>
        <v/>
      </c>
      <c r="BO88" s="33">
        <f>BO82+BO84+BO86</f>
        <v/>
      </c>
      <c r="BP88" s="33">
        <f>BP82+BP84+BP86</f>
        <v/>
      </c>
      <c r="BQ88" s="33">
        <f>BQ82+BQ84+BQ86</f>
        <v/>
      </c>
      <c r="BR88" s="33">
        <f>BR82+BR84+BR86</f>
        <v/>
      </c>
      <c r="BY88" s="33">
        <f>SUM(C88:BR88)</f>
        <v/>
      </c>
    </row>
    <row r="89">
      <c r="B89" s="32" t="inlineStr">
        <is>
          <t>Produccion fuente</t>
        </is>
      </c>
      <c r="C89" s="33" t="n">
        <v>769160</v>
      </c>
      <c r="D89" s="33" t="n">
        <v>272241</v>
      </c>
      <c r="E89" s="33" t="n">
        <v>54743</v>
      </c>
      <c r="F89" s="33" t="n">
        <v>30081</v>
      </c>
      <c r="G89" s="33" t="n">
        <v>406701</v>
      </c>
      <c r="H89" s="33" t="n">
        <v>279099</v>
      </c>
      <c r="I89" s="33" t="n">
        <v>30712</v>
      </c>
      <c r="J89" s="33" t="n">
        <v>495404</v>
      </c>
      <c r="K89" s="33" t="n">
        <v>94655</v>
      </c>
      <c r="L89" s="33" t="n">
        <v>513838</v>
      </c>
      <c r="M89" s="33" t="n">
        <v>110108</v>
      </c>
      <c r="N89" s="33" t="n">
        <v>18653</v>
      </c>
      <c r="O89" s="33" t="n">
        <v>82836</v>
      </c>
      <c r="P89" s="33" t="n">
        <v>80645</v>
      </c>
      <c r="Q89" s="33" t="n">
        <v>50739</v>
      </c>
      <c r="R89" s="33" t="n">
        <v>61516</v>
      </c>
      <c r="S89" s="33" t="n">
        <v>156926</v>
      </c>
      <c r="T89" s="33" t="n">
        <v>22332</v>
      </c>
      <c r="U89" s="33" t="n">
        <v>678319</v>
      </c>
      <c r="V89" s="33" t="n">
        <v>105728</v>
      </c>
      <c r="W89" s="33" t="n">
        <v>353156</v>
      </c>
      <c r="X89" s="33" t="n">
        <v>138097</v>
      </c>
      <c r="Y89" s="33" t="n">
        <v>67872</v>
      </c>
      <c r="Z89" s="33" t="n">
        <v>99278</v>
      </c>
      <c r="AA89" s="33" t="n">
        <v>197694</v>
      </c>
      <c r="AB89" s="33" t="n">
        <v>143010</v>
      </c>
      <c r="AC89" s="33" t="n">
        <v>305615</v>
      </c>
      <c r="AD89" s="33" t="n">
        <v>121205</v>
      </c>
      <c r="AE89" s="33" t="n">
        <v>189661</v>
      </c>
      <c r="AF89" s="33" t="n">
        <v>146376</v>
      </c>
      <c r="AG89" s="33" t="n">
        <v>137668</v>
      </c>
      <c r="AH89" s="33" t="n">
        <v>242983</v>
      </c>
      <c r="AI89" s="33" t="n">
        <v>241683</v>
      </c>
      <c r="AJ89" s="33" t="n">
        <v>145523</v>
      </c>
      <c r="AK89" s="33" t="n">
        <v>50525</v>
      </c>
      <c r="AL89" s="33" t="n">
        <v>113057</v>
      </c>
      <c r="AM89" s="33" t="n">
        <v>107939</v>
      </c>
      <c r="AN89" s="33" t="n">
        <v>455696</v>
      </c>
      <c r="AO89" s="33" t="n">
        <v>107088</v>
      </c>
      <c r="AP89" s="33" t="n">
        <v>704341</v>
      </c>
      <c r="AQ89" s="33" t="n">
        <v>225817</v>
      </c>
      <c r="AR89" s="33" t="n">
        <v>1442385</v>
      </c>
      <c r="AS89" s="33" t="n">
        <v>506364</v>
      </c>
      <c r="AT89" s="33" t="n">
        <v>34706</v>
      </c>
      <c r="AU89" s="33" t="n">
        <v>35749</v>
      </c>
      <c r="AV89" s="33" t="n">
        <v>188012</v>
      </c>
      <c r="AW89" s="33" t="n">
        <v>31722</v>
      </c>
      <c r="AX89" s="33" t="n">
        <v>287638</v>
      </c>
      <c r="AY89" s="33" t="n">
        <v>17626</v>
      </c>
      <c r="AZ89" s="33" t="n">
        <v>46662</v>
      </c>
      <c r="BA89" s="33" t="n">
        <v>182343</v>
      </c>
      <c r="BB89" s="33" t="n">
        <v>267495</v>
      </c>
      <c r="BC89" s="33" t="n">
        <v>717847</v>
      </c>
      <c r="BD89" s="33" t="n">
        <v>758313</v>
      </c>
      <c r="BE89" s="33" t="n">
        <v>285030</v>
      </c>
      <c r="BF89" s="33" t="n">
        <v>85091</v>
      </c>
      <c r="BG89" s="33" t="n">
        <v>146292</v>
      </c>
      <c r="BH89" s="33" t="n">
        <v>75203</v>
      </c>
      <c r="BI89" s="33" t="n">
        <v>319061</v>
      </c>
      <c r="BJ89" s="33" t="n">
        <v>46889</v>
      </c>
      <c r="BK89" s="33" t="n">
        <v>993216</v>
      </c>
      <c r="BL89" s="33" t="n">
        <v>404343</v>
      </c>
      <c r="BM89" s="33" t="n">
        <v>150446</v>
      </c>
      <c r="BN89" s="33" t="n">
        <v>279166</v>
      </c>
      <c r="BO89" s="33" t="n">
        <v>382369</v>
      </c>
      <c r="BP89" s="33" t="n">
        <v>42806</v>
      </c>
      <c r="BQ89" s="33" t="n">
        <v>185302</v>
      </c>
      <c r="BR89" s="33" t="n">
        <v>61371</v>
      </c>
      <c r="BY89" s="33">
        <f>SUM(C89:BR89)</f>
        <v/>
      </c>
    </row>
    <row r="90">
      <c r="B90" s="35" t="inlineStr">
        <is>
          <t>Check produccion total - fuente</t>
        </is>
      </c>
      <c r="C90" s="36">
        <f>C88-C89</f>
        <v/>
      </c>
      <c r="D90" s="36">
        <f>D88-D89</f>
        <v/>
      </c>
      <c r="E90" s="36">
        <f>E88-E89</f>
        <v/>
      </c>
      <c r="F90" s="36">
        <f>F88-F89</f>
        <v/>
      </c>
      <c r="G90" s="36">
        <f>G88-G89</f>
        <v/>
      </c>
      <c r="H90" s="36">
        <f>H88-H89</f>
        <v/>
      </c>
      <c r="I90" s="36">
        <f>I88-I89</f>
        <v/>
      </c>
      <c r="J90" s="36">
        <f>J88-J89</f>
        <v/>
      </c>
      <c r="K90" s="36">
        <f>K88-K89</f>
        <v/>
      </c>
      <c r="L90" s="36">
        <f>L88-L89</f>
        <v/>
      </c>
      <c r="M90" s="36">
        <f>M88-M89</f>
        <v/>
      </c>
      <c r="N90" s="36">
        <f>N88-N89</f>
        <v/>
      </c>
      <c r="O90" s="36">
        <f>O88-O89</f>
        <v/>
      </c>
      <c r="P90" s="36">
        <f>P88-P89</f>
        <v/>
      </c>
      <c r="Q90" s="36">
        <f>Q88-Q89</f>
        <v/>
      </c>
      <c r="R90" s="36">
        <f>R88-R89</f>
        <v/>
      </c>
      <c r="S90" s="36">
        <f>S88-S89</f>
        <v/>
      </c>
      <c r="T90" s="36">
        <f>T88-T89</f>
        <v/>
      </c>
      <c r="U90" s="36">
        <f>U88-U89</f>
        <v/>
      </c>
      <c r="V90" s="36">
        <f>V88-V89</f>
        <v/>
      </c>
      <c r="W90" s="36">
        <f>W88-W89</f>
        <v/>
      </c>
      <c r="X90" s="36">
        <f>X88-X89</f>
        <v/>
      </c>
      <c r="Y90" s="36">
        <f>Y88-Y89</f>
        <v/>
      </c>
      <c r="Z90" s="36">
        <f>Z88-Z89</f>
        <v/>
      </c>
      <c r="AA90" s="36">
        <f>AA88-AA89</f>
        <v/>
      </c>
      <c r="AB90" s="36">
        <f>AB88-AB89</f>
        <v/>
      </c>
      <c r="AC90" s="36">
        <f>AC88-AC89</f>
        <v/>
      </c>
      <c r="AD90" s="36">
        <f>AD88-AD89</f>
        <v/>
      </c>
      <c r="AE90" s="36">
        <f>AE88-AE89</f>
        <v/>
      </c>
      <c r="AF90" s="36">
        <f>AF88-AF89</f>
        <v/>
      </c>
      <c r="AG90" s="36">
        <f>AG88-AG89</f>
        <v/>
      </c>
      <c r="AH90" s="36">
        <f>AH88-AH89</f>
        <v/>
      </c>
      <c r="AI90" s="36">
        <f>AI88-AI89</f>
        <v/>
      </c>
      <c r="AJ90" s="36">
        <f>AJ88-AJ89</f>
        <v/>
      </c>
      <c r="AK90" s="36">
        <f>AK88-AK89</f>
        <v/>
      </c>
      <c r="AL90" s="36">
        <f>AL88-AL89</f>
        <v/>
      </c>
      <c r="AM90" s="36">
        <f>AM88-AM89</f>
        <v/>
      </c>
      <c r="AN90" s="36">
        <f>AN88-AN89</f>
        <v/>
      </c>
      <c r="AO90" s="36">
        <f>AO88-AO89</f>
        <v/>
      </c>
      <c r="AP90" s="36">
        <f>AP88-AP89</f>
        <v/>
      </c>
      <c r="AQ90" s="36">
        <f>AQ88-AQ89</f>
        <v/>
      </c>
      <c r="AR90" s="36">
        <f>AR88-AR89</f>
        <v/>
      </c>
      <c r="AS90" s="36">
        <f>AS88-AS89</f>
        <v/>
      </c>
      <c r="AT90" s="36">
        <f>AT88-AT89</f>
        <v/>
      </c>
      <c r="AU90" s="36">
        <f>AU88-AU89</f>
        <v/>
      </c>
      <c r="AV90" s="36">
        <f>AV88-AV89</f>
        <v/>
      </c>
      <c r="AW90" s="36">
        <f>AW88-AW89</f>
        <v/>
      </c>
      <c r="AX90" s="36">
        <f>AX88-AX89</f>
        <v/>
      </c>
      <c r="AY90" s="36">
        <f>AY88-AY89</f>
        <v/>
      </c>
      <c r="AZ90" s="36">
        <f>AZ88-AZ89</f>
        <v/>
      </c>
      <c r="BA90" s="36">
        <f>BA88-BA89</f>
        <v/>
      </c>
      <c r="BB90" s="36">
        <f>BB88-BB89</f>
        <v/>
      </c>
      <c r="BC90" s="36">
        <f>BC88-BC89</f>
        <v/>
      </c>
      <c r="BD90" s="36">
        <f>BD88-BD89</f>
        <v/>
      </c>
      <c r="BE90" s="36">
        <f>BE88-BE89</f>
        <v/>
      </c>
      <c r="BF90" s="36">
        <f>BF88-BF89</f>
        <v/>
      </c>
      <c r="BG90" s="36">
        <f>BG88-BG89</f>
        <v/>
      </c>
      <c r="BH90" s="36">
        <f>BH88-BH89</f>
        <v/>
      </c>
      <c r="BI90" s="36">
        <f>BI88-BI89</f>
        <v/>
      </c>
      <c r="BJ90" s="36">
        <f>BJ88-BJ89</f>
        <v/>
      </c>
      <c r="BK90" s="36">
        <f>BK88-BK89</f>
        <v/>
      </c>
      <c r="BL90" s="36">
        <f>BL88-BL89</f>
        <v/>
      </c>
      <c r="BM90" s="36">
        <f>BM88-BM89</f>
        <v/>
      </c>
      <c r="BN90" s="36">
        <f>BN88-BN89</f>
        <v/>
      </c>
      <c r="BO90" s="36">
        <f>BO88-BO89</f>
        <v/>
      </c>
      <c r="BP90" s="36">
        <f>BP88-BP89</f>
        <v/>
      </c>
      <c r="BQ90" s="36">
        <f>BQ88-BQ89</f>
        <v/>
      </c>
      <c r="BR90" s="36">
        <f>BR88-BR89</f>
        <v/>
      </c>
      <c r="BY90" s="36">
        <f>SUM(C90:BR90)</f>
        <v/>
      </c>
    </row>
    <row r="91"/>
    <row r="92">
      <c r="B92" s="28" t="inlineStr">
        <is>
          <t>Nota</t>
        </is>
      </c>
      <c r="C92" s="28" t="inlineStr">
        <is>
          <t>Z contiene consumo intermedio nacional/domestico. El ajuste intermedio fuera de Z queda visible antes del valor agregado.</t>
        </is>
      </c>
    </row>
  </sheetData>
  <mergeCells count="9">
    <mergeCell ref="BY10:BY12"/>
    <mergeCell ref="BX10:BX12"/>
    <mergeCell ref="A3:H4"/>
    <mergeCell ref="B10:B12"/>
    <mergeCell ref="A10:A12"/>
    <mergeCell ref="A1:H1"/>
    <mergeCell ref="C10:BR10"/>
    <mergeCell ref="BS10:BS12"/>
    <mergeCell ref="BT10:BW10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Y92"/>
  <sheetViews>
    <sheetView showGridLines="0" zoomScale="70" workbookViewId="0">
      <pane xSplit="2" ySplit="13" topLeftCell="C1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.7" customWidth="1" min="1" max="1"/>
    <col width="77.7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</cols>
  <sheetData>
    <row r="1" ht="44" customHeight="1"/>
    <row r="2"/>
    <row r="3" ht="16" customHeight="1">
      <c r="A3" s="20" t="inlineStr">
        <is>
          <t>Matriz insumo producto, actividad por actividad - Importada / ajuste</t>
        </is>
      </c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20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20" t="n"/>
      <c r="AE3" s="20" t="n"/>
      <c r="AF3" s="20" t="n"/>
      <c r="AG3" s="20" t="n"/>
      <c r="AH3" s="20" t="n"/>
      <c r="AI3" s="20" t="n"/>
      <c r="AJ3" s="20" t="n"/>
      <c r="AK3" s="20" t="n"/>
      <c r="AL3" s="20" t="n"/>
      <c r="AM3" s="20" t="n"/>
      <c r="AN3" s="20" t="n"/>
      <c r="AO3" s="20" t="n"/>
      <c r="AP3" s="20" t="n"/>
      <c r="AQ3" s="20" t="n"/>
      <c r="AR3" s="20" t="n"/>
      <c r="AS3" s="20" t="n"/>
      <c r="AT3" s="20" t="n"/>
      <c r="AU3" s="20" t="n"/>
      <c r="AV3" s="20" t="n"/>
      <c r="AW3" s="20" t="n"/>
      <c r="AX3" s="20" t="n"/>
      <c r="AY3" s="20" t="n"/>
      <c r="AZ3" s="20" t="n"/>
      <c r="BA3" s="20" t="n"/>
      <c r="BB3" s="20" t="n"/>
      <c r="BC3" s="20" t="n"/>
      <c r="BD3" s="20" t="n"/>
      <c r="BE3" s="20" t="n"/>
      <c r="BF3" s="20" t="n"/>
      <c r="BG3" s="20" t="n"/>
      <c r="BH3" s="20" t="n"/>
      <c r="BI3" s="20" t="n"/>
      <c r="BJ3" s="20" t="n"/>
      <c r="BK3" s="20" t="n"/>
      <c r="BL3" s="20" t="n"/>
      <c r="BM3" s="20" t="n"/>
      <c r="BN3" s="20" t="n"/>
      <c r="BO3" s="20" t="n"/>
      <c r="BP3" s="20" t="n"/>
      <c r="BQ3" s="20" t="n"/>
      <c r="BR3" s="20" t="n"/>
      <c r="BS3" s="20" t="n"/>
      <c r="BT3" s="20" t="n"/>
      <c r="BU3" s="20" t="n"/>
      <c r="BV3" s="20" t="n"/>
      <c r="BW3" s="20" t="n"/>
      <c r="BX3" s="20" t="n"/>
      <c r="BY3" s="20" t="n"/>
    </row>
    <row r="4" ht="16" customHeight="1"/>
    <row r="5">
      <c r="A5" s="21" t="inlineStr">
        <is>
          <t>Valores a precios corrientes</t>
        </is>
      </c>
    </row>
    <row r="6" ht="16.5" customHeight="1">
      <c r="A6" s="21" t="inlineStr">
        <is>
          <t>Ano 2021</t>
        </is>
      </c>
      <c r="J6" s="22" t="inlineStr">
        <is>
          <t>Indice</t>
        </is>
      </c>
    </row>
    <row r="7">
      <c r="A7" s="21" t="inlineStr">
        <is>
          <t>Base / fuente original</t>
        </is>
      </c>
    </row>
    <row r="8">
      <c r="A8" s="21" t="inlineStr">
        <is>
          <t>Unidades monetarias de la fuente</t>
        </is>
      </c>
    </row>
    <row r="9"/>
    <row r="10" ht="16" customHeight="1">
      <c r="A10" s="23" t="inlineStr">
        <is>
          <t>Codigo</t>
        </is>
      </c>
      <c r="B10" s="23" t="inlineStr">
        <is>
          <t>Actividad economica</t>
        </is>
      </c>
      <c r="C10" s="23" t="inlineStr">
        <is>
          <t>Consumo intermedio por actividades economicas</t>
        </is>
      </c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  <c r="Q10" s="24" t="n"/>
      <c r="R10" s="24" t="n"/>
      <c r="S10" s="24" t="n"/>
      <c r="T10" s="24" t="n"/>
      <c r="U10" s="24" t="n"/>
      <c r="V10" s="24" t="n"/>
      <c r="W10" s="24" t="n"/>
      <c r="X10" s="24" t="n"/>
      <c r="Y10" s="24" t="n"/>
      <c r="Z10" s="24" t="n"/>
      <c r="AA10" s="24" t="n"/>
      <c r="AB10" s="24" t="n"/>
      <c r="AC10" s="24" t="n"/>
      <c r="AD10" s="24" t="n"/>
      <c r="AE10" s="24" t="n"/>
      <c r="AF10" s="24" t="n"/>
      <c r="AG10" s="24" t="n"/>
      <c r="AH10" s="24" t="n"/>
      <c r="AI10" s="24" t="n"/>
      <c r="AJ10" s="24" t="n"/>
      <c r="AK10" s="24" t="n"/>
      <c r="AL10" s="24" t="n"/>
      <c r="AM10" s="24" t="n"/>
      <c r="AN10" s="24" t="n"/>
      <c r="AO10" s="24" t="n"/>
      <c r="AP10" s="24" t="n"/>
      <c r="AQ10" s="24" t="n"/>
      <c r="AR10" s="24" t="n"/>
      <c r="AS10" s="24" t="n"/>
      <c r="AT10" s="24" t="n"/>
      <c r="AU10" s="24" t="n"/>
      <c r="AV10" s="24" t="n"/>
      <c r="AW10" s="24" t="n"/>
      <c r="AX10" s="24" t="n"/>
      <c r="AY10" s="24" t="n"/>
      <c r="AZ10" s="24" t="n"/>
      <c r="BA10" s="24" t="n"/>
      <c r="BB10" s="24" t="n"/>
      <c r="BC10" s="24" t="n"/>
      <c r="BD10" s="24" t="n"/>
      <c r="BE10" s="24" t="n"/>
      <c r="BF10" s="24" t="n"/>
      <c r="BG10" s="24" t="n"/>
      <c r="BH10" s="24" t="n"/>
      <c r="BI10" s="24" t="n"/>
      <c r="BJ10" s="24" t="n"/>
      <c r="BK10" s="24" t="n"/>
      <c r="BL10" s="24" t="n"/>
      <c r="BM10" s="24" t="n"/>
      <c r="BN10" s="24" t="n"/>
      <c r="BO10" s="24" t="n"/>
      <c r="BP10" s="24" t="n"/>
      <c r="BQ10" s="24" t="n"/>
      <c r="BR10" s="24" t="n"/>
      <c r="BS10" s="23" t="inlineStr">
        <is>
          <t>Total consumo intermedio</t>
        </is>
      </c>
      <c r="BT10" s="23" t="inlineStr">
        <is>
          <t>Demanda final</t>
        </is>
      </c>
      <c r="BU10" s="24" t="n"/>
      <c r="BV10" s="24" t="n"/>
      <c r="BW10" s="24" t="n"/>
      <c r="BX10" s="23" t="inlineStr">
        <is>
          <t>Total demanda final</t>
        </is>
      </c>
      <c r="BY10" s="23" t="inlineStr">
        <is>
          <t>Total</t>
        </is>
      </c>
    </row>
    <row r="11" ht="15" customHeight="1">
      <c r="C11" s="25" t="inlineStr">
        <is>
          <t>0191</t>
        </is>
      </c>
      <c r="D11" s="25" t="inlineStr">
        <is>
          <t>0192</t>
        </is>
      </c>
      <c r="E11" s="25" t="inlineStr">
        <is>
          <t>0280</t>
        </is>
      </c>
      <c r="F11" s="25" t="inlineStr">
        <is>
          <t>0580</t>
        </is>
      </c>
      <c r="G11" s="25" t="inlineStr">
        <is>
          <t>0680</t>
        </is>
      </c>
      <c r="H11" s="25" t="inlineStr">
        <is>
          <t>0791</t>
        </is>
      </c>
      <c r="I11" s="25" t="inlineStr">
        <is>
          <t>0792</t>
        </is>
      </c>
      <c r="J11" s="25" t="inlineStr">
        <is>
          <t>1091</t>
        </is>
      </c>
      <c r="K11" s="25" t="inlineStr">
        <is>
          <t>1092</t>
        </is>
      </c>
      <c r="L11" s="25" t="inlineStr">
        <is>
          <t>1093</t>
        </is>
      </c>
      <c r="M11" s="25" t="inlineStr">
        <is>
          <t>1100</t>
        </is>
      </c>
      <c r="N11" s="25" t="inlineStr">
        <is>
          <t>1200</t>
        </is>
      </c>
      <c r="O11" s="25" t="inlineStr">
        <is>
          <t>1300</t>
        </is>
      </c>
      <c r="P11" s="25" t="inlineStr">
        <is>
          <t>1400</t>
        </is>
      </c>
      <c r="Q11" s="25" t="inlineStr">
        <is>
          <t>1500</t>
        </is>
      </c>
      <c r="R11" s="25" t="inlineStr">
        <is>
          <t>1600</t>
        </is>
      </c>
      <c r="S11" s="25" t="inlineStr">
        <is>
          <t>1700</t>
        </is>
      </c>
      <c r="T11" s="25" t="inlineStr">
        <is>
          <t>1800</t>
        </is>
      </c>
      <c r="U11" s="25" t="inlineStr">
        <is>
          <t>1991</t>
        </is>
      </c>
      <c r="V11" s="25" t="inlineStr">
        <is>
          <t>1992</t>
        </is>
      </c>
      <c r="W11" s="25" t="inlineStr">
        <is>
          <t>2091</t>
        </is>
      </c>
      <c r="X11" s="25" t="inlineStr">
        <is>
          <t>2092</t>
        </is>
      </c>
      <c r="Y11" s="25" t="inlineStr">
        <is>
          <t>2093</t>
        </is>
      </c>
      <c r="Z11" s="25" t="inlineStr">
        <is>
          <t>2100</t>
        </is>
      </c>
      <c r="AA11" s="25" t="inlineStr">
        <is>
          <t>2200</t>
        </is>
      </c>
      <c r="AB11" s="25" t="inlineStr">
        <is>
          <t>2300</t>
        </is>
      </c>
      <c r="AC11" s="25" t="inlineStr">
        <is>
          <t>2491</t>
        </is>
      </c>
      <c r="AD11" s="25" t="inlineStr">
        <is>
          <t>2492</t>
        </is>
      </c>
      <c r="AE11" s="25" t="inlineStr">
        <is>
          <t>2500</t>
        </is>
      </c>
      <c r="AF11" s="25" t="inlineStr">
        <is>
          <t>2600</t>
        </is>
      </c>
      <c r="AG11" s="25" t="inlineStr">
        <is>
          <t>2700</t>
        </is>
      </c>
      <c r="AH11" s="25" t="inlineStr">
        <is>
          <t>2800</t>
        </is>
      </c>
      <c r="AI11" s="25" t="inlineStr">
        <is>
          <t>2991</t>
        </is>
      </c>
      <c r="AJ11" s="25" t="inlineStr">
        <is>
          <t>2992</t>
        </is>
      </c>
      <c r="AK11" s="25" t="inlineStr">
        <is>
          <t>3000</t>
        </is>
      </c>
      <c r="AL11" s="25" t="inlineStr">
        <is>
          <t>3180</t>
        </is>
      </c>
      <c r="AM11" s="25" t="inlineStr">
        <is>
          <t>3300</t>
        </is>
      </c>
      <c r="AN11" s="25" t="inlineStr">
        <is>
          <t>3500</t>
        </is>
      </c>
      <c r="AO11" s="25" t="inlineStr">
        <is>
          <t>3680</t>
        </is>
      </c>
      <c r="AP11" s="25" t="inlineStr">
        <is>
          <t>4180</t>
        </is>
      </c>
      <c r="AQ11" s="25" t="inlineStr">
        <is>
          <t>4500</t>
        </is>
      </c>
      <c r="AR11" s="25" t="inlineStr">
        <is>
          <t>4680</t>
        </is>
      </c>
      <c r="AS11" s="25" t="inlineStr">
        <is>
          <t>4900</t>
        </is>
      </c>
      <c r="AT11" s="25" t="inlineStr">
        <is>
          <t>5000</t>
        </is>
      </c>
      <c r="AU11" s="25" t="inlineStr">
        <is>
          <t>5100</t>
        </is>
      </c>
      <c r="AV11" s="25" t="inlineStr">
        <is>
          <t>5280</t>
        </is>
      </c>
      <c r="AW11" s="25" t="inlineStr">
        <is>
          <t>5500</t>
        </is>
      </c>
      <c r="AX11" s="25" t="inlineStr">
        <is>
          <t>5600</t>
        </is>
      </c>
      <c r="AY11" s="25" t="inlineStr">
        <is>
          <t>5800</t>
        </is>
      </c>
      <c r="AZ11" s="25" t="inlineStr">
        <is>
          <t>5980</t>
        </is>
      </c>
      <c r="BA11" s="25" t="inlineStr">
        <is>
          <t>6100</t>
        </is>
      </c>
      <c r="BB11" s="25" t="inlineStr">
        <is>
          <t>6280</t>
        </is>
      </c>
      <c r="BC11" s="25" t="inlineStr">
        <is>
          <t>6480</t>
        </is>
      </c>
      <c r="BD11" s="25" t="inlineStr">
        <is>
          <t>6800</t>
        </is>
      </c>
      <c r="BE11" s="25" t="inlineStr">
        <is>
          <t>6980</t>
        </is>
      </c>
      <c r="BF11" s="25" t="inlineStr">
        <is>
          <t>7180</t>
        </is>
      </c>
      <c r="BG11" s="25" t="inlineStr">
        <is>
          <t>7380</t>
        </is>
      </c>
      <c r="BH11" s="25" t="inlineStr">
        <is>
          <t>7700</t>
        </is>
      </c>
      <c r="BI11" s="25" t="inlineStr">
        <is>
          <t>7880</t>
        </is>
      </c>
      <c r="BJ11" s="25" t="inlineStr">
        <is>
          <t>8000</t>
        </is>
      </c>
      <c r="BK11" s="25" t="inlineStr">
        <is>
          <t>8400</t>
        </is>
      </c>
      <c r="BL11" s="25" t="inlineStr">
        <is>
          <t>8591</t>
        </is>
      </c>
      <c r="BM11" s="25" t="inlineStr">
        <is>
          <t>8592</t>
        </is>
      </c>
      <c r="BN11" s="25" t="inlineStr">
        <is>
          <t>8691</t>
        </is>
      </c>
      <c r="BO11" s="25" t="inlineStr">
        <is>
          <t>8692</t>
        </is>
      </c>
      <c r="BP11" s="25" t="inlineStr">
        <is>
          <t>9080</t>
        </is>
      </c>
      <c r="BQ11" s="25" t="inlineStr">
        <is>
          <t>9480</t>
        </is>
      </c>
      <c r="BR11" s="25" t="inlineStr">
        <is>
          <t>9700</t>
        </is>
      </c>
      <c r="BT11" s="25" t="inlineStr"/>
      <c r="BU11" s="25" t="inlineStr"/>
      <c r="BV11" s="25" t="inlineStr"/>
      <c r="BW11" s="25" t="inlineStr"/>
    </row>
    <row r="12" ht="90" customHeight="1">
      <c r="A12" s="26" t="n"/>
      <c r="B12" s="26" t="n"/>
      <c r="C12" s="27" t="inlineStr">
        <is>
          <t>Agricultura, inclusive o apoio à agricultura e a pós-colheita</t>
        </is>
      </c>
      <c r="D12" s="27" t="inlineStr">
        <is>
          <t>Pecuária, inclusive o apoio à pecuária</t>
        </is>
      </c>
      <c r="E12" s="27" t="inlineStr">
        <is>
          <t>Produção florestal; pesca e aquicultura</t>
        </is>
      </c>
      <c r="F12" s="27" t="inlineStr">
        <is>
          <t>Extração de carvão mineral e de minerais não-metálicos</t>
        </is>
      </c>
      <c r="G12" s="27" t="inlineStr">
        <is>
          <t>Extração de petróleo e gás, inclusive as atividades de apoio</t>
        </is>
      </c>
      <c r="H12" s="27" t="inlineStr">
        <is>
          <t>Extração de minério de ferro, inclusive beneficiamentos e a aglomeração</t>
        </is>
      </c>
      <c r="I12" s="27" t="inlineStr">
        <is>
          <t>Extração de minerais metálicos não-ferrosos, inclusive beneficiamentos</t>
        </is>
      </c>
      <c r="J12" s="27" t="inlineStr">
        <is>
          <t>Abate e produtos de carne, inclusive os produtos do laticínio e da pesca</t>
        </is>
      </c>
      <c r="K12" s="27" t="inlineStr">
        <is>
          <t>Fabricação e refino de açúcar</t>
        </is>
      </c>
      <c r="L12" s="27" t="inlineStr">
        <is>
          <t>Outros produtos alimentares</t>
        </is>
      </c>
      <c r="M12" s="27" t="inlineStr">
        <is>
          <t>Fabricação de bebidas</t>
        </is>
      </c>
      <c r="N12" s="27" t="inlineStr">
        <is>
          <t>Fabricação de produtos do fumo</t>
        </is>
      </c>
      <c r="O12" s="27" t="inlineStr">
        <is>
          <t>Fabricação de produtos têxteis</t>
        </is>
      </c>
      <c r="P12" s="27" t="inlineStr">
        <is>
          <t>Confecção de artefatos do vestuário e acessórios</t>
        </is>
      </c>
      <c r="Q12" s="27" t="inlineStr">
        <is>
          <t>Fabricação de calçados e de artefatos de couro</t>
        </is>
      </c>
      <c r="R12" s="27" t="inlineStr">
        <is>
          <t>Fabricação de produtos da madeira</t>
        </is>
      </c>
      <c r="S12" s="27" t="inlineStr">
        <is>
          <t>Fabricação de celulose, papel e produtos de papel</t>
        </is>
      </c>
      <c r="T12" s="27" t="inlineStr">
        <is>
          <t>Impressão e reprodução de gravações</t>
        </is>
      </c>
      <c r="U12" s="27" t="inlineStr">
        <is>
          <t>Refino de petróleo e coquerias</t>
        </is>
      </c>
      <c r="V12" s="27" t="inlineStr">
        <is>
          <t>Fabricação de biocombustíveis</t>
        </is>
      </c>
      <c r="W12" s="27" t="inlineStr">
        <is>
          <t>Fabricação de químicos orgânicos e inorgânicos, resinas e elastômeros</t>
        </is>
      </c>
      <c r="X12" s="27" t="inlineStr">
        <is>
          <t>Fabricação de defensivos, desinfestantes, tintas e químicos diversos</t>
        </is>
      </c>
      <c r="Y12" s="27" t="inlineStr">
        <is>
          <t>Fabricação de produtos de limpeza, cosméticos/perfumaria e higiene pessoal</t>
        </is>
      </c>
      <c r="Z12" s="27" t="inlineStr">
        <is>
          <t>Fabricação de produtos farmoquímicos e farmacêuticos</t>
        </is>
      </c>
      <c r="AA12" s="27" t="inlineStr">
        <is>
          <t>Fabricação de produtos de borracha e de material plástico</t>
        </is>
      </c>
      <c r="AB12" s="27" t="inlineStr">
        <is>
          <t>Fabricação de produtos de minerais não-metálicos</t>
        </is>
      </c>
      <c r="AC12" s="27" t="inlineStr">
        <is>
          <t>Produção de ferro-gusa/ferroligas, siderurgia e tubos de aço sem costura</t>
        </is>
      </c>
      <c r="AD12" s="27" t="inlineStr">
        <is>
          <t>Metalurgia de metais não-ferrosos e a fundição de metais</t>
        </is>
      </c>
      <c r="AE12" s="27" t="inlineStr">
        <is>
          <t>Fabricação de produtos de metal, exceto máquinas e equipamentos</t>
        </is>
      </c>
      <c r="AF12" s="27" t="inlineStr">
        <is>
          <t>Fabricação de equipamentos de informática, produtos eletrônicos e ópticos</t>
        </is>
      </c>
      <c r="AG12" s="27" t="inlineStr">
        <is>
          <t>Fabricação de máquinas e equipamentos elétricos</t>
        </is>
      </c>
      <c r="AH12" s="27" t="inlineStr">
        <is>
          <t>Fabricação de máquinas e equipamentos mecânicos</t>
        </is>
      </c>
      <c r="AI12" s="27" t="inlineStr">
        <is>
          <t>Fabricação de automóveis, caminhões e ônibus, exceto peças</t>
        </is>
      </c>
      <c r="AJ12" s="27" t="inlineStr">
        <is>
          <t>Fabricação de peças e acessórios para veículos automotores</t>
        </is>
      </c>
      <c r="AK12" s="27" t="inlineStr">
        <is>
          <t>Fabricação de outros equipamentos de transporte, exceto veículos automotores</t>
        </is>
      </c>
      <c r="AL12" s="27" t="inlineStr">
        <is>
          <t>Fabricação de móveis e de produtos de indústrias diversas</t>
        </is>
      </c>
      <c r="AM12" s="27" t="inlineStr">
        <is>
          <t>Manutenção, reparação e instalação de máquinas e equipamentos</t>
        </is>
      </c>
      <c r="AN12" s="27" t="inlineStr">
        <is>
          <t>Energia elétrica, gás natural e outras utilidades</t>
        </is>
      </c>
      <c r="AO12" s="27" t="inlineStr">
        <is>
          <t>Água, esgoto e gestão de resíduos</t>
        </is>
      </c>
      <c r="AP12" s="27" t="inlineStr">
        <is>
          <t>Construção</t>
        </is>
      </c>
      <c r="AQ12" s="27" t="inlineStr">
        <is>
          <t>Comércio e reparação de veículos automotores e motocicletas</t>
        </is>
      </c>
      <c r="AR12" s="27" t="inlineStr">
        <is>
          <t>Comércio por atacado e a varejo, exceto veículos automotores</t>
        </is>
      </c>
      <c r="AS12" s="27" t="inlineStr">
        <is>
          <t>Transporte terrestre</t>
        </is>
      </c>
      <c r="AT12" s="27" t="inlineStr">
        <is>
          <t>Transporte aquaviário</t>
        </is>
      </c>
      <c r="AU12" s="27" t="inlineStr">
        <is>
          <t>Transporte aéreo</t>
        </is>
      </c>
      <c r="AV12" s="27" t="inlineStr">
        <is>
          <t>Armazenamento, atividades auxiliares dos transportes e correio</t>
        </is>
      </c>
      <c r="AW12" s="27" t="inlineStr">
        <is>
          <t>Alojamento</t>
        </is>
      </c>
      <c r="AX12" s="27" t="inlineStr">
        <is>
          <t>Alimentação</t>
        </is>
      </c>
      <c r="AY12" s="27" t="inlineStr">
        <is>
          <t>Edição e edição integrada à impressão</t>
        </is>
      </c>
      <c r="AZ12" s="27" t="inlineStr">
        <is>
          <t>Atividades de televisão, rádio, cinema e  gravação/edição de som e imagem</t>
        </is>
      </c>
      <c r="BA12" s="27" t="inlineStr">
        <is>
          <t>Telecomunicações</t>
        </is>
      </c>
      <c r="BB12" s="27" t="inlineStr">
        <is>
          <t>Desenvolvimento de sistemas e outros serviços de informação</t>
        </is>
      </c>
      <c r="BC12" s="27" t="inlineStr">
        <is>
          <t>Intermediação financeira, seguros e previdência complementar</t>
        </is>
      </c>
      <c r="BD12" s="27" t="inlineStr">
        <is>
          <t>Atividades imobiliárias</t>
        </is>
      </c>
      <c r="BE12" s="27" t="inlineStr">
        <is>
          <t>Atividades jurídicas, contábeis, consultoria e sedes de empresas</t>
        </is>
      </c>
      <c r="BF12" s="27" t="inlineStr">
        <is>
          <t>Serviços de arquitetura, engenharia, testes/análises técnicas e P &amp; D</t>
        </is>
      </c>
      <c r="BG12" s="27" t="inlineStr">
        <is>
          <t>Outras atividades profissionais, científicas e técnicas</t>
        </is>
      </c>
      <c r="BH12" s="27" t="inlineStr">
        <is>
          <t>Aluguéis não-imobiliários e gestão de ativos de propriedade intelectual</t>
        </is>
      </c>
      <c r="BI12" s="27" t="inlineStr">
        <is>
          <t>Outras atividades administrativas e serviços complementares</t>
        </is>
      </c>
      <c r="BJ12" s="27" t="inlineStr">
        <is>
          <t>Atividades de vigilância, segurança e investigação</t>
        </is>
      </c>
      <c r="BK12" s="27" t="inlineStr">
        <is>
          <t>Administração pública, defesa e seguridade social</t>
        </is>
      </c>
      <c r="BL12" s="27" t="inlineStr">
        <is>
          <t>Educação pública</t>
        </is>
      </c>
      <c r="BM12" s="27" t="inlineStr">
        <is>
          <t>Educação privada</t>
        </is>
      </c>
      <c r="BN12" s="27" t="inlineStr">
        <is>
          <t>Saúde pública</t>
        </is>
      </c>
      <c r="BO12" s="27" t="inlineStr">
        <is>
          <t>Saúde privada</t>
        </is>
      </c>
      <c r="BP12" s="27" t="inlineStr">
        <is>
          <t>Atividades artísticas, criativas e de espetáculos</t>
        </is>
      </c>
      <c r="BQ12" s="27" t="inlineStr">
        <is>
          <t>Organizações associativas e outros serviços pessoais</t>
        </is>
      </c>
      <c r="BR12" s="27" t="inlineStr">
        <is>
          <t>Serviços domésticos</t>
        </is>
      </c>
      <c r="BS12" s="26" t="n"/>
      <c r="BT12" s="27" t="inlineStr">
        <is>
          <t>Gasto de consumo final</t>
        </is>
      </c>
      <c r="BU12" s="27" t="inlineStr">
        <is>
          <t>Formacion bruta de capital</t>
        </is>
      </c>
      <c r="BV12" s="27" t="inlineStr">
        <is>
          <t>Exportaciones netas</t>
        </is>
      </c>
      <c r="BW12" s="27" t="inlineStr">
        <is>
          <t>Sin desglose fuente</t>
        </is>
      </c>
      <c r="BX12" s="26" t="n"/>
      <c r="BY12" s="26" t="n"/>
    </row>
    <row r="13"/>
    <row r="14">
      <c r="A14" s="28" t="inlineStr">
        <is>
          <t>0191</t>
        </is>
      </c>
      <c r="B14" s="28" t="inlineStr">
        <is>
          <t>Agricultura, inclusive o apoio à agricultura e a pós-colheita</t>
        </is>
      </c>
      <c r="C14" s="29" t="n">
        <v>3985.220538540268</v>
      </c>
      <c r="D14" s="29" t="n">
        <v>2952.615446538416</v>
      </c>
      <c r="E14" s="29" t="n">
        <v>76.61125167459149</v>
      </c>
      <c r="F14" s="29" t="n">
        <v>0.9456961232251366</v>
      </c>
      <c r="G14" s="29" t="n">
        <v>1.495915403109227</v>
      </c>
      <c r="H14" s="29" t="n">
        <v>1.13169861609698</v>
      </c>
      <c r="I14" s="29" t="n">
        <v>0.1342372604943604</v>
      </c>
      <c r="J14" s="29" t="n">
        <v>1924.409944859787</v>
      </c>
      <c r="K14" s="29" t="n">
        <v>2396.969241214032</v>
      </c>
      <c r="L14" s="29" t="n">
        <v>31567.34797584916</v>
      </c>
      <c r="M14" s="29" t="n">
        <v>536.3259437429092</v>
      </c>
      <c r="N14" s="29" t="n">
        <v>2232.332816146792</v>
      </c>
      <c r="O14" s="29" t="n">
        <v>1624.775814886093</v>
      </c>
      <c r="P14" s="29" t="n">
        <v>424.2154379538894</v>
      </c>
      <c r="Q14" s="29" t="n">
        <v>3.607107820931401</v>
      </c>
      <c r="R14" s="29" t="n">
        <v>34.43796387907423</v>
      </c>
      <c r="S14" s="29" t="n">
        <v>70.52998198515948</v>
      </c>
      <c r="T14" s="29" t="n">
        <v>0.01700172923453651</v>
      </c>
      <c r="U14" s="29" t="n">
        <v>4.245097929297099</v>
      </c>
      <c r="V14" s="29" t="n">
        <v>2566.470689435964</v>
      </c>
      <c r="W14" s="29" t="n">
        <v>8.931175523002116</v>
      </c>
      <c r="X14" s="29" t="n">
        <v>8.526063163737438</v>
      </c>
      <c r="Y14" s="29" t="n">
        <v>1.261087817005513</v>
      </c>
      <c r="Z14" s="29" t="n">
        <v>13.22111683370516</v>
      </c>
      <c r="AA14" s="29" t="n">
        <v>14.65410045882656</v>
      </c>
      <c r="AB14" s="29" t="n">
        <v>9.556769239059168</v>
      </c>
      <c r="AC14" s="29" t="n">
        <v>14.36168022171763</v>
      </c>
      <c r="AD14" s="29" t="n">
        <v>2.388290593876447</v>
      </c>
      <c r="AE14" s="29" t="n">
        <v>2.269673212274599</v>
      </c>
      <c r="AF14" s="29" t="n">
        <v>0.07705268498507725</v>
      </c>
      <c r="AG14" s="29" t="n">
        <v>0.1376298422110364</v>
      </c>
      <c r="AH14" s="29" t="n">
        <v>0.272254384727656</v>
      </c>
      <c r="AI14" s="29" t="n">
        <v>0.1238063567245119</v>
      </c>
      <c r="AJ14" s="29" t="n">
        <v>0.1099275298747569</v>
      </c>
      <c r="AK14" s="29" t="n">
        <v>0.1017852420857265</v>
      </c>
      <c r="AL14" s="29" t="n">
        <v>7.206449333851183</v>
      </c>
      <c r="AM14" s="29" t="n">
        <v>0.03395398858687617</v>
      </c>
      <c r="AN14" s="29" t="n">
        <v>0.1569031582167644</v>
      </c>
      <c r="AO14" s="29" t="n">
        <v>25.45750071982461</v>
      </c>
      <c r="AP14" s="29" t="n">
        <v>40.74202231903528</v>
      </c>
      <c r="AQ14" s="29" t="n">
        <v>0.7866654983242483</v>
      </c>
      <c r="AR14" s="29" t="n">
        <v>2228.213462613711</v>
      </c>
      <c r="AS14" s="29" t="n">
        <v>0.3161191250389381</v>
      </c>
      <c r="AT14" s="29" t="n">
        <v>0.008020823356387726</v>
      </c>
      <c r="AU14" s="29" t="n">
        <v>0.1346388380382023</v>
      </c>
      <c r="AV14" s="29" t="n">
        <v>1.054532301069707</v>
      </c>
      <c r="AW14" s="29" t="n">
        <v>172.3504643182503</v>
      </c>
      <c r="AX14" s="29" t="n">
        <v>1919.275208643018</v>
      </c>
      <c r="AY14" s="29" t="n">
        <v>0.03383901210019752</v>
      </c>
      <c r="AZ14" s="29" t="n">
        <v>0.1236634687618905</v>
      </c>
      <c r="BA14" s="29" t="n">
        <v>2.21557498774137</v>
      </c>
      <c r="BB14" s="29" t="n">
        <v>0.6267829343293073</v>
      </c>
      <c r="BC14" s="29" t="n">
        <v>1.684044642656523</v>
      </c>
      <c r="BD14" s="29" t="n">
        <v>1.34971850072418</v>
      </c>
      <c r="BE14" s="29" t="n">
        <v>2.497334736431602</v>
      </c>
      <c r="BF14" s="29" t="n">
        <v>1.69689377464351</v>
      </c>
      <c r="BG14" s="29" t="n">
        <v>0.2272175675046968</v>
      </c>
      <c r="BH14" s="29" t="n">
        <v>0.1820329353965384</v>
      </c>
      <c r="BI14" s="29" t="n">
        <v>69.5953531472437</v>
      </c>
      <c r="BJ14" s="29" t="n">
        <v>0.05446800963502441</v>
      </c>
      <c r="BK14" s="29" t="n">
        <v>518.9075579629981</v>
      </c>
      <c r="BL14" s="29" t="n">
        <v>194.9577372891713</v>
      </c>
      <c r="BM14" s="29" t="n">
        <v>32.09707723229531</v>
      </c>
      <c r="BN14" s="29" t="n">
        <v>243.1935023939602</v>
      </c>
      <c r="BO14" s="29" t="n">
        <v>100.9286191581489</v>
      </c>
      <c r="BP14" s="29" t="n">
        <v>0.5516256325748254</v>
      </c>
      <c r="BQ14" s="29" t="n">
        <v>172.638711594501</v>
      </c>
      <c r="BR14" s="29" t="n">
        <v>0</v>
      </c>
      <c r="BS14" s="29">
        <f>SUM(C14:BR14)</f>
        <v/>
      </c>
      <c r="BT14" s="29" t="n">
        <v>0</v>
      </c>
      <c r="BU14" s="29" t="n">
        <v>0</v>
      </c>
      <c r="BV14" s="29" t="n">
        <v>0</v>
      </c>
      <c r="BW14" s="29" t="n">
        <v>0</v>
      </c>
      <c r="BX14" s="29">
        <f>SUM(BT14:BW14)</f>
        <v/>
      </c>
      <c r="BY14" s="29">
        <f>BS14+BX14</f>
        <v/>
      </c>
    </row>
    <row r="15">
      <c r="A15" s="30" t="inlineStr">
        <is>
          <t>0192</t>
        </is>
      </c>
      <c r="B15" s="30" t="inlineStr">
        <is>
          <t>Pecuária, inclusive o apoio à pecuária</t>
        </is>
      </c>
      <c r="C15" s="31" t="n">
        <v>349.2287900809512</v>
      </c>
      <c r="D15" s="31" t="n">
        <v>1646.026304508528</v>
      </c>
      <c r="E15" s="31" t="n">
        <v>90.56513917786526</v>
      </c>
      <c r="F15" s="31" t="n">
        <v>2.50688017636087</v>
      </c>
      <c r="G15" s="31" t="n">
        <v>5.74628422346719</v>
      </c>
      <c r="H15" s="31" t="n">
        <v>1.948120994167354</v>
      </c>
      <c r="I15" s="31" t="n">
        <v>0.2582040248381888</v>
      </c>
      <c r="J15" s="31" t="n">
        <v>18608.43654711344</v>
      </c>
      <c r="K15" s="31" t="n">
        <v>14.24462244835875</v>
      </c>
      <c r="L15" s="31" t="n">
        <v>1592.943508524993</v>
      </c>
      <c r="M15" s="31" t="n">
        <v>40.83404358858118</v>
      </c>
      <c r="N15" s="31" t="n">
        <v>109.1568093004296</v>
      </c>
      <c r="O15" s="31" t="n">
        <v>234.7880246294209</v>
      </c>
      <c r="P15" s="31" t="n">
        <v>197.8704027585348</v>
      </c>
      <c r="Q15" s="31" t="n">
        <v>3.076546561465027</v>
      </c>
      <c r="R15" s="31" t="n">
        <v>69.02141351488252</v>
      </c>
      <c r="S15" s="31" t="n">
        <v>116.8230006525454</v>
      </c>
      <c r="T15" s="31" t="n">
        <v>0.03574504768241182</v>
      </c>
      <c r="U15" s="31" t="n">
        <v>0.1148794464784541</v>
      </c>
      <c r="V15" s="31" t="n">
        <v>46.47531757302643</v>
      </c>
      <c r="W15" s="31" t="n">
        <v>34.60029566970481</v>
      </c>
      <c r="X15" s="31" t="n">
        <v>4.240054416079508</v>
      </c>
      <c r="Y15" s="31" t="n">
        <v>3.547716577963886</v>
      </c>
      <c r="Z15" s="31" t="n">
        <v>6.467493195749552</v>
      </c>
      <c r="AA15" s="31" t="n">
        <v>21.09914585161183</v>
      </c>
      <c r="AB15" s="31" t="n">
        <v>46.93388236524753</v>
      </c>
      <c r="AC15" s="31" t="n">
        <v>31.83617828510765</v>
      </c>
      <c r="AD15" s="31" t="n">
        <v>6.145827769883302</v>
      </c>
      <c r="AE15" s="31" t="n">
        <v>1.607172369233915</v>
      </c>
      <c r="AF15" s="31" t="n">
        <v>0.2369079205910881</v>
      </c>
      <c r="AG15" s="31" t="n">
        <v>0.5644383428586444</v>
      </c>
      <c r="AH15" s="31" t="n">
        <v>0.7096004751766148</v>
      </c>
      <c r="AI15" s="31" t="n">
        <v>0.2876158288493363</v>
      </c>
      <c r="AJ15" s="31" t="n">
        <v>0.3821935763334272</v>
      </c>
      <c r="AK15" s="31" t="n">
        <v>0.1396508951624185</v>
      </c>
      <c r="AL15" s="31" t="n">
        <v>4.077640907826226</v>
      </c>
      <c r="AM15" s="31" t="n">
        <v>0.1095627160002445</v>
      </c>
      <c r="AN15" s="31" t="n">
        <v>0.3636516296593001</v>
      </c>
      <c r="AO15" s="31" t="n">
        <v>4.646721416087439</v>
      </c>
      <c r="AP15" s="31" t="n">
        <v>104.1888580295598</v>
      </c>
      <c r="AQ15" s="31" t="n">
        <v>0.9787096886772161</v>
      </c>
      <c r="AR15" s="31" t="n">
        <v>103.4790085724559</v>
      </c>
      <c r="AS15" s="31" t="n">
        <v>0.4237736533594092</v>
      </c>
      <c r="AT15" s="31" t="n">
        <v>0.01250915016539892</v>
      </c>
      <c r="AU15" s="31" t="n">
        <v>0.1405778884552165</v>
      </c>
      <c r="AV15" s="31" t="n">
        <v>1.998229236975484</v>
      </c>
      <c r="AW15" s="31" t="n">
        <v>85.82484567488322</v>
      </c>
      <c r="AX15" s="31" t="n">
        <v>551.1135187868725</v>
      </c>
      <c r="AY15" s="31" t="n">
        <v>0.09850712430893058</v>
      </c>
      <c r="AZ15" s="31" t="n">
        <v>0.2901122789551547</v>
      </c>
      <c r="BA15" s="31" t="n">
        <v>4.04315114143354</v>
      </c>
      <c r="BB15" s="31" t="n">
        <v>1.661127611265727</v>
      </c>
      <c r="BC15" s="31" t="n">
        <v>2.822880577330066</v>
      </c>
      <c r="BD15" s="31" t="n">
        <v>3.36517056607366</v>
      </c>
      <c r="BE15" s="31" t="n">
        <v>1.111690760928856</v>
      </c>
      <c r="BF15" s="31" t="n">
        <v>1.63447984560479</v>
      </c>
      <c r="BG15" s="31" t="n">
        <v>1.288863328186655</v>
      </c>
      <c r="BH15" s="31" t="n">
        <v>0.3836021810005507</v>
      </c>
      <c r="BI15" s="31" t="n">
        <v>5.035288694532555</v>
      </c>
      <c r="BJ15" s="31" t="n">
        <v>0.09829005394258973</v>
      </c>
      <c r="BK15" s="31" t="n">
        <v>68.03979456152416</v>
      </c>
      <c r="BL15" s="31" t="n">
        <v>26.82187316471504</v>
      </c>
      <c r="BM15" s="31" t="n">
        <v>5.857052029676016</v>
      </c>
      <c r="BN15" s="31" t="n">
        <v>31.65516398918419</v>
      </c>
      <c r="BO15" s="31" t="n">
        <v>19.28111556380609</v>
      </c>
      <c r="BP15" s="31" t="n">
        <v>0.4844953330221896</v>
      </c>
      <c r="BQ15" s="31" t="n">
        <v>20.83148055295342</v>
      </c>
      <c r="BR15" s="31" t="n">
        <v>0</v>
      </c>
      <c r="BS15" s="31">
        <f>SUM(C15:BR15)</f>
        <v/>
      </c>
      <c r="BT15" s="31" t="n">
        <v>0</v>
      </c>
      <c r="BU15" s="31" t="n">
        <v>0</v>
      </c>
      <c r="BV15" s="31" t="n">
        <v>0</v>
      </c>
      <c r="BW15" s="31" t="n">
        <v>0</v>
      </c>
      <c r="BX15" s="31">
        <f>SUM(BT15:BW15)</f>
        <v/>
      </c>
      <c r="BY15" s="31">
        <f>BS15+BX15</f>
        <v/>
      </c>
    </row>
    <row r="16">
      <c r="A16" s="28" t="inlineStr">
        <is>
          <t>0280</t>
        </is>
      </c>
      <c r="B16" s="28" t="inlineStr">
        <is>
          <t>Produção florestal; pesca e aquicultura</t>
        </is>
      </c>
      <c r="C16" s="29" t="n">
        <v>592.0637703812466</v>
      </c>
      <c r="D16" s="29" t="n">
        <v>590.5541406987248</v>
      </c>
      <c r="E16" s="29" t="n">
        <v>1087.469615268234</v>
      </c>
      <c r="F16" s="29" t="n">
        <v>0.6378139239677713</v>
      </c>
      <c r="G16" s="29" t="n">
        <v>0.4722065788214955</v>
      </c>
      <c r="H16" s="29" t="n">
        <v>0.1790427838527263</v>
      </c>
      <c r="I16" s="29" t="n">
        <v>0.02027096254762922</v>
      </c>
      <c r="J16" s="29" t="n">
        <v>1347.333813747754</v>
      </c>
      <c r="K16" s="29" t="n">
        <v>0.1296619661638685</v>
      </c>
      <c r="L16" s="29" t="n">
        <v>103.1673205319544</v>
      </c>
      <c r="M16" s="29" t="n">
        <v>6.739199712874528</v>
      </c>
      <c r="N16" s="29" t="n">
        <v>5.556869957250463</v>
      </c>
      <c r="O16" s="29" t="n">
        <v>9.565452285129764</v>
      </c>
      <c r="P16" s="29" t="n">
        <v>2.639439539144649</v>
      </c>
      <c r="Q16" s="29" t="n">
        <v>1.518585974521178</v>
      </c>
      <c r="R16" s="29" t="n">
        <v>812.4930697562656</v>
      </c>
      <c r="S16" s="29" t="n">
        <v>1319.678393458073</v>
      </c>
      <c r="T16" s="29" t="n">
        <v>0.0032617177591285</v>
      </c>
      <c r="U16" s="29" t="n">
        <v>0.01142416023782847</v>
      </c>
      <c r="V16" s="29" t="n">
        <v>2.566332877322012</v>
      </c>
      <c r="W16" s="29" t="n">
        <v>91.70896635511745</v>
      </c>
      <c r="X16" s="29" t="n">
        <v>1.397036294366736</v>
      </c>
      <c r="Y16" s="29" t="n">
        <v>0.04224711988222603</v>
      </c>
      <c r="Z16" s="29" t="n">
        <v>0.08323540628501158</v>
      </c>
      <c r="AA16" s="29" t="n">
        <v>217.1956226410642</v>
      </c>
      <c r="AB16" s="29" t="n">
        <v>27.63643455025442</v>
      </c>
      <c r="AC16" s="29" t="n">
        <v>329.2516792199621</v>
      </c>
      <c r="AD16" s="29" t="n">
        <v>0.4698781559483053</v>
      </c>
      <c r="AE16" s="29" t="n">
        <v>2.111903358896192</v>
      </c>
      <c r="AF16" s="29" t="n">
        <v>0.02738871757395965</v>
      </c>
      <c r="AG16" s="29" t="n">
        <v>0.05374083837545368</v>
      </c>
      <c r="AH16" s="29" t="n">
        <v>0.0881193466601351</v>
      </c>
      <c r="AI16" s="29" t="n">
        <v>0.03551870574315909</v>
      </c>
      <c r="AJ16" s="29" t="n">
        <v>0.0379437298159501</v>
      </c>
      <c r="AK16" s="29" t="n">
        <v>0.01407923278470884</v>
      </c>
      <c r="AL16" s="29" t="n">
        <v>0.6720418658198676</v>
      </c>
      <c r="AM16" s="29" t="n">
        <v>0.01299175624960256</v>
      </c>
      <c r="AN16" s="29" t="n">
        <v>0.04824043745161111</v>
      </c>
      <c r="AO16" s="29" t="n">
        <v>0.3286361900982789</v>
      </c>
      <c r="AP16" s="29" t="n">
        <v>239.3127085206146</v>
      </c>
      <c r="AQ16" s="29" t="n">
        <v>0.09332028756807356</v>
      </c>
      <c r="AR16" s="29" t="n">
        <v>61.72538028571195</v>
      </c>
      <c r="AS16" s="29" t="n">
        <v>0.05050617490351966</v>
      </c>
      <c r="AT16" s="29" t="n">
        <v>0.001448303333597723</v>
      </c>
      <c r="AU16" s="29" t="n">
        <v>0.0112833604553732</v>
      </c>
      <c r="AV16" s="29" t="n">
        <v>0.1707960943902795</v>
      </c>
      <c r="AW16" s="29" t="n">
        <v>23.49706827225857</v>
      </c>
      <c r="AX16" s="29" t="n">
        <v>296.3487459356504</v>
      </c>
      <c r="AY16" s="29" t="n">
        <v>0.01164720128907135</v>
      </c>
      <c r="AZ16" s="29" t="n">
        <v>0.03479973624754614</v>
      </c>
      <c r="BA16" s="29" t="n">
        <v>0.3037785484733843</v>
      </c>
      <c r="BB16" s="29" t="n">
        <v>0.1836380284925068</v>
      </c>
      <c r="BC16" s="29" t="n">
        <v>0.2562757679264112</v>
      </c>
      <c r="BD16" s="29" t="n">
        <v>0.2695484820681935</v>
      </c>
      <c r="BE16" s="29" t="n">
        <v>0.1080995761587304</v>
      </c>
      <c r="BF16" s="29" t="n">
        <v>0.8889954806260711</v>
      </c>
      <c r="BG16" s="29" t="n">
        <v>0.05391929196203048</v>
      </c>
      <c r="BH16" s="29" t="n">
        <v>0.04324355963652195</v>
      </c>
      <c r="BI16" s="29" t="n">
        <v>0.2953008358575094</v>
      </c>
      <c r="BJ16" s="29" t="n">
        <v>0.01116840911793653</v>
      </c>
      <c r="BK16" s="29" t="n">
        <v>61.25659538718739</v>
      </c>
      <c r="BL16" s="29" t="n">
        <v>40.06286094311422</v>
      </c>
      <c r="BM16" s="29" t="n">
        <v>5.832806108744393</v>
      </c>
      <c r="BN16" s="29" t="n">
        <v>50.22788637433967</v>
      </c>
      <c r="BO16" s="29" t="n">
        <v>10.38714708780312</v>
      </c>
      <c r="BP16" s="29" t="n">
        <v>0.04532971720627973</v>
      </c>
      <c r="BQ16" s="29" t="n">
        <v>1.63460125501084</v>
      </c>
      <c r="BR16" s="29" t="n">
        <v>0</v>
      </c>
      <c r="BS16" s="29">
        <f>SUM(C16:BR16)</f>
        <v/>
      </c>
      <c r="BT16" s="29" t="n">
        <v>0</v>
      </c>
      <c r="BU16" s="29" t="n">
        <v>0</v>
      </c>
      <c r="BV16" s="29" t="n">
        <v>0</v>
      </c>
      <c r="BW16" s="29" t="n">
        <v>0</v>
      </c>
      <c r="BX16" s="29">
        <f>SUM(BT16:BW16)</f>
        <v/>
      </c>
      <c r="BY16" s="29">
        <f>BS16+BX16</f>
        <v/>
      </c>
    </row>
    <row r="17">
      <c r="A17" s="30" t="inlineStr">
        <is>
          <t>0580</t>
        </is>
      </c>
      <c r="B17" s="30" t="inlineStr">
        <is>
          <t>Extração de carvão mineral e de minerais não-metálicos</t>
        </is>
      </c>
      <c r="C17" s="31" t="n">
        <v>91.37429525066743</v>
      </c>
      <c r="D17" s="31" t="n">
        <v>373.4160408517697</v>
      </c>
      <c r="E17" s="31" t="n">
        <v>11.56575351426152</v>
      </c>
      <c r="F17" s="31" t="n">
        <v>173.0950855255489</v>
      </c>
      <c r="G17" s="31" t="n">
        <v>352.2296147667267</v>
      </c>
      <c r="H17" s="31" t="n">
        <v>1.049213297054382</v>
      </c>
      <c r="I17" s="31" t="n">
        <v>13.16474997093247</v>
      </c>
      <c r="J17" s="31" t="n">
        <v>59.06774513259813</v>
      </c>
      <c r="K17" s="31" t="n">
        <v>9.51879069123672</v>
      </c>
      <c r="L17" s="31" t="n">
        <v>167.5066032196981</v>
      </c>
      <c r="M17" s="31" t="n">
        <v>13.75362711086469</v>
      </c>
      <c r="N17" s="31" t="n">
        <v>-0.06844268639857103</v>
      </c>
      <c r="O17" s="31" t="n">
        <v>0.2028453526669543</v>
      </c>
      <c r="P17" s="31" t="n">
        <v>-0.2137417548247128</v>
      </c>
      <c r="Q17" s="31" t="n">
        <v>0.1020137654556951</v>
      </c>
      <c r="R17" s="31" t="n">
        <v>-0.1423953013086515</v>
      </c>
      <c r="S17" s="31" t="n">
        <v>14.47993998887405</v>
      </c>
      <c r="T17" s="31" t="n">
        <v>0.8479979079155249</v>
      </c>
      <c r="U17" s="31" t="n">
        <v>90.16291962557422</v>
      </c>
      <c r="V17" s="31" t="n">
        <v>263.479744969381</v>
      </c>
      <c r="W17" s="31" t="n">
        <v>2283.660555946576</v>
      </c>
      <c r="X17" s="31" t="n">
        <v>65.10636394961854</v>
      </c>
      <c r="Y17" s="31" t="n">
        <v>4.470231182456304</v>
      </c>
      <c r="Z17" s="31" t="n">
        <v>0.5174697664573253</v>
      </c>
      <c r="AA17" s="31" t="n">
        <v>4.130544803007274</v>
      </c>
      <c r="AB17" s="31" t="n">
        <v>3434.159209432268</v>
      </c>
      <c r="AC17" s="31" t="n">
        <v>13992.33839136125</v>
      </c>
      <c r="AD17" s="31" t="n">
        <v>1292.984777355282</v>
      </c>
      <c r="AE17" s="31" t="n">
        <v>10.93866996069682</v>
      </c>
      <c r="AF17" s="31" t="n">
        <v>0.3234354400032453</v>
      </c>
      <c r="AG17" s="31" t="n">
        <v>50.09256323967459</v>
      </c>
      <c r="AH17" s="31" t="n">
        <v>7.113928502921442</v>
      </c>
      <c r="AI17" s="31" t="n">
        <v>13.14424417139438</v>
      </c>
      <c r="AJ17" s="31" t="n">
        <v>130.1505181611743</v>
      </c>
      <c r="AK17" s="31" t="n">
        <v>3.079415706590043</v>
      </c>
      <c r="AL17" s="31" t="n">
        <v>25.85350138248539</v>
      </c>
      <c r="AM17" s="31" t="n">
        <v>3.963883888044597</v>
      </c>
      <c r="AN17" s="31" t="n">
        <v>3804.871762595137</v>
      </c>
      <c r="AO17" s="31" t="n">
        <v>267.7329369552195</v>
      </c>
      <c r="AP17" s="31" t="n">
        <v>3641.111627988814</v>
      </c>
      <c r="AQ17" s="31" t="n">
        <v>1.311807223910913</v>
      </c>
      <c r="AR17" s="31" t="n">
        <v>51.0682827895422</v>
      </c>
      <c r="AS17" s="31" t="n">
        <v>0.06920143063749121</v>
      </c>
      <c r="AT17" s="31" t="n">
        <v>0.04218369332902865</v>
      </c>
      <c r="AU17" s="31" t="n">
        <v>0.003234025696304724</v>
      </c>
      <c r="AV17" s="31" t="n">
        <v>2.827217460755913</v>
      </c>
      <c r="AW17" s="31" t="n">
        <v>1.265237631835642</v>
      </c>
      <c r="AX17" s="31" t="n">
        <v>6.646218260272488</v>
      </c>
      <c r="AY17" s="31" t="n">
        <v>-0.08300384279601762</v>
      </c>
      <c r="AZ17" s="31" t="n">
        <v>-0.1324128674075307</v>
      </c>
      <c r="BA17" s="31" t="n">
        <v>-0.6871142424703297</v>
      </c>
      <c r="BB17" s="31" t="n">
        <v>-0.1179683846882042</v>
      </c>
      <c r="BC17" s="31" t="n">
        <v>0.02015732791158998</v>
      </c>
      <c r="BD17" s="31" t="n">
        <v>128.121902863609</v>
      </c>
      <c r="BE17" s="31" t="n">
        <v>-0.04962556635222238</v>
      </c>
      <c r="BF17" s="31" t="n">
        <v>11.03415574186946</v>
      </c>
      <c r="BG17" s="31" t="n">
        <v>-0.04246102942596944</v>
      </c>
      <c r="BH17" s="31" t="n">
        <v>0.02556936869717509</v>
      </c>
      <c r="BI17" s="31" t="n">
        <v>0.5802217176488407</v>
      </c>
      <c r="BJ17" s="31" t="n">
        <v>-0.009868015944363855</v>
      </c>
      <c r="BK17" s="31" t="n">
        <v>42.65755761487134</v>
      </c>
      <c r="BL17" s="31" t="n">
        <v>9.287708358194823</v>
      </c>
      <c r="BM17" s="31" t="n">
        <v>0.1260707460108907</v>
      </c>
      <c r="BN17" s="31" t="n">
        <v>6.848802903622146</v>
      </c>
      <c r="BO17" s="31" t="n">
        <v>2.467801063039482</v>
      </c>
      <c r="BP17" s="31" t="n">
        <v>0.03693952450355556</v>
      </c>
      <c r="BQ17" s="31" t="n">
        <v>1.523000378808529</v>
      </c>
      <c r="BR17" s="31" t="n">
        <v>0</v>
      </c>
      <c r="BS17" s="31">
        <f>SUM(C17:BR17)</f>
        <v/>
      </c>
      <c r="BT17" s="31" t="n">
        <v>0</v>
      </c>
      <c r="BU17" s="31" t="n">
        <v>0</v>
      </c>
      <c r="BV17" s="31" t="n">
        <v>0</v>
      </c>
      <c r="BW17" s="31" t="n">
        <v>0</v>
      </c>
      <c r="BX17" s="31">
        <f>SUM(BT17:BW17)</f>
        <v/>
      </c>
      <c r="BY17" s="31">
        <f>BS17+BX17</f>
        <v/>
      </c>
    </row>
    <row r="18">
      <c r="A18" s="28" t="inlineStr">
        <is>
          <t>0680</t>
        </is>
      </c>
      <c r="B18" s="28" t="inlineStr">
        <is>
          <t>Extração de petróleo e gás, inclusive as atividades de apoio</t>
        </is>
      </c>
      <c r="C18" s="29" t="n">
        <v>26.50867034097289</v>
      </c>
      <c r="D18" s="29" t="n">
        <v>17.88398879098373</v>
      </c>
      <c r="E18" s="29" t="n">
        <v>1.101661170621757</v>
      </c>
      <c r="F18" s="29" t="n">
        <v>1.061706735199874</v>
      </c>
      <c r="G18" s="29" t="n">
        <v>1294.608841192934</v>
      </c>
      <c r="H18" s="29" t="n">
        <v>133.663572627647</v>
      </c>
      <c r="I18" s="29" t="n">
        <v>9.51686263865146</v>
      </c>
      <c r="J18" s="29" t="n">
        <v>13.45938020532107</v>
      </c>
      <c r="K18" s="29" t="n">
        <v>0.1229227990352594</v>
      </c>
      <c r="L18" s="29" t="n">
        <v>122.6081740499354</v>
      </c>
      <c r="M18" s="29" t="n">
        <v>25.17613311463728</v>
      </c>
      <c r="N18" s="29" t="n">
        <v>0.06861131382456916</v>
      </c>
      <c r="O18" s="29" t="n">
        <v>20.77495548544276</v>
      </c>
      <c r="P18" s="29" t="n">
        <v>0.04992167148342606</v>
      </c>
      <c r="Q18" s="29" t="n">
        <v>1.041418187197711</v>
      </c>
      <c r="R18" s="29" t="n">
        <v>11.20186842266652</v>
      </c>
      <c r="S18" s="29" t="n">
        <v>139.964238706954</v>
      </c>
      <c r="T18" s="29" t="n">
        <v>0.06660666921162756</v>
      </c>
      <c r="U18" s="29" t="n">
        <v>26342.21893137985</v>
      </c>
      <c r="V18" s="29" t="n">
        <v>0.2525899048780011</v>
      </c>
      <c r="W18" s="29" t="n">
        <v>366.5153924924758</v>
      </c>
      <c r="X18" s="29" t="n">
        <v>24.18869058499673</v>
      </c>
      <c r="Y18" s="29" t="n">
        <v>6.99743219114244</v>
      </c>
      <c r="Z18" s="29" t="n">
        <v>5.881127007792347</v>
      </c>
      <c r="AA18" s="29" t="n">
        <v>33.39475010971314</v>
      </c>
      <c r="AB18" s="29" t="n">
        <v>144.1699702645539</v>
      </c>
      <c r="AC18" s="29" t="n">
        <v>93.91486411551399</v>
      </c>
      <c r="AD18" s="29" t="n">
        <v>55.14483860813723</v>
      </c>
      <c r="AE18" s="29" t="n">
        <v>68.05337626523961</v>
      </c>
      <c r="AF18" s="29" t="n">
        <v>0.3150929056846278</v>
      </c>
      <c r="AG18" s="29" t="n">
        <v>13.49183221746694</v>
      </c>
      <c r="AH18" s="29" t="n">
        <v>88.8693220294349</v>
      </c>
      <c r="AI18" s="29" t="n">
        <v>14.24950257091361</v>
      </c>
      <c r="AJ18" s="29" t="n">
        <v>26.23681576558729</v>
      </c>
      <c r="AK18" s="29" t="n">
        <v>1.695069653086695</v>
      </c>
      <c r="AL18" s="29" t="n">
        <v>1.121036741995243</v>
      </c>
      <c r="AM18" s="29" t="n">
        <v>37.58174926796065</v>
      </c>
      <c r="AN18" s="29" t="n">
        <v>3929.116008064409</v>
      </c>
      <c r="AO18" s="29" t="n">
        <v>82.88295753452144</v>
      </c>
      <c r="AP18" s="29" t="n">
        <v>124.2170312551704</v>
      </c>
      <c r="AQ18" s="29" t="n">
        <v>1.581022229278243</v>
      </c>
      <c r="AR18" s="29" t="n">
        <v>63.44953301864947</v>
      </c>
      <c r="AS18" s="29" t="n">
        <v>48.59031856348344</v>
      </c>
      <c r="AT18" s="29" t="n">
        <v>1.973957313249632</v>
      </c>
      <c r="AU18" s="29" t="n">
        <v>0.01663160623125427</v>
      </c>
      <c r="AV18" s="29" t="n">
        <v>9.545021514862707</v>
      </c>
      <c r="AW18" s="29" t="n">
        <v>0.2732204570565565</v>
      </c>
      <c r="AX18" s="29" t="n">
        <v>25.89742920913594</v>
      </c>
      <c r="AY18" s="29" t="n">
        <v>0.03452117380292583</v>
      </c>
      <c r="AZ18" s="29" t="n">
        <v>0.0877222888233582</v>
      </c>
      <c r="BA18" s="29" t="n">
        <v>10.05177295756815</v>
      </c>
      <c r="BB18" s="29" t="n">
        <v>0.3117897580534025</v>
      </c>
      <c r="BC18" s="29" t="n">
        <v>0.3929951627632943</v>
      </c>
      <c r="BD18" s="29" t="n">
        <v>0.3049631166563003</v>
      </c>
      <c r="BE18" s="29" t="n">
        <v>0.4720843237814401</v>
      </c>
      <c r="BF18" s="29" t="n">
        <v>11.72028543604288</v>
      </c>
      <c r="BG18" s="29" t="n">
        <v>0.6383786449982084</v>
      </c>
      <c r="BH18" s="29" t="n">
        <v>3.118591993017516</v>
      </c>
      <c r="BI18" s="29" t="n">
        <v>6.328441260002067</v>
      </c>
      <c r="BJ18" s="29" t="n">
        <v>0.04592051311700686</v>
      </c>
      <c r="BK18" s="29" t="n">
        <v>174.042029010747</v>
      </c>
      <c r="BL18" s="29" t="n">
        <v>2.944842535674713</v>
      </c>
      <c r="BM18" s="29" t="n">
        <v>0.4095435509043531</v>
      </c>
      <c r="BN18" s="29" t="n">
        <v>1.252772097779537</v>
      </c>
      <c r="BO18" s="29" t="n">
        <v>0.7027729805027475</v>
      </c>
      <c r="BP18" s="29" t="n">
        <v>0.3698271466899897</v>
      </c>
      <c r="BQ18" s="29" t="n">
        <v>4.869074316613776</v>
      </c>
      <c r="BR18" s="29" t="n">
        <v>0</v>
      </c>
      <c r="BS18" s="29">
        <f>SUM(C18:BR18)</f>
        <v/>
      </c>
      <c r="BT18" s="29" t="n">
        <v>0</v>
      </c>
      <c r="BU18" s="29" t="n">
        <v>0</v>
      </c>
      <c r="BV18" s="29" t="n">
        <v>0</v>
      </c>
      <c r="BW18" s="29" t="n">
        <v>0</v>
      </c>
      <c r="BX18" s="29">
        <f>SUM(BT18:BW18)</f>
        <v/>
      </c>
      <c r="BY18" s="29">
        <f>BS18+BX18</f>
        <v/>
      </c>
    </row>
    <row r="19">
      <c r="A19" s="30" t="inlineStr">
        <is>
          <t>0791</t>
        </is>
      </c>
      <c r="B19" s="30" t="inlineStr">
        <is>
          <t>Extração de minério de ferro, inclusive beneficiamentos e a aglomeração</t>
        </is>
      </c>
      <c r="C19" s="31" t="n">
        <v>0.04456085266236848</v>
      </c>
      <c r="D19" s="31" t="n">
        <v>0.0998547808163284</v>
      </c>
      <c r="E19" s="31" t="n">
        <v>0.01194361581892004</v>
      </c>
      <c r="F19" s="31" t="n">
        <v>0.08251348620307039</v>
      </c>
      <c r="G19" s="31" t="n">
        <v>11.10358863752762</v>
      </c>
      <c r="H19" s="31" t="n">
        <v>943.8871430587035</v>
      </c>
      <c r="I19" s="31" t="n">
        <v>17.95253586122507</v>
      </c>
      <c r="J19" s="31" t="n">
        <v>0.5343365762720359</v>
      </c>
      <c r="K19" s="31" t="n">
        <v>0.001373576671581798</v>
      </c>
      <c r="L19" s="31" t="n">
        <v>0.9206522972792882</v>
      </c>
      <c r="M19" s="31" t="n">
        <v>0.0005814085402482216</v>
      </c>
      <c r="N19" s="31" t="n">
        <v>0.0001668682514487273</v>
      </c>
      <c r="O19" s="31" t="n">
        <v>0.009699423537870001</v>
      </c>
      <c r="P19" s="31" t="n">
        <v>0.0006204724828764559</v>
      </c>
      <c r="Q19" s="31" t="n">
        <v>0.0002298873042537054</v>
      </c>
      <c r="R19" s="31" t="n">
        <v>0.1942357591351161</v>
      </c>
      <c r="S19" s="31" t="n">
        <v>0.4826418142657901</v>
      </c>
      <c r="T19" s="31" t="n">
        <v>0.4547870690829919</v>
      </c>
      <c r="U19" s="31" t="n">
        <v>0.01359761156860384</v>
      </c>
      <c r="V19" s="31" t="n">
        <v>0.0005052664238703869</v>
      </c>
      <c r="W19" s="31" t="n">
        <v>0.05151563040927622</v>
      </c>
      <c r="X19" s="31" t="n">
        <v>0.3282471224435646</v>
      </c>
      <c r="Y19" s="31" t="n">
        <v>0.000580733973959684</v>
      </c>
      <c r="Z19" s="31" t="n">
        <v>0.01668748674187234</v>
      </c>
      <c r="AA19" s="31" t="n">
        <v>0.2949905246277205</v>
      </c>
      <c r="AB19" s="31" t="n">
        <v>48.19502154842708</v>
      </c>
      <c r="AC19" s="31" t="n">
        <v>7059.694806452096</v>
      </c>
      <c r="AD19" s="31" t="n">
        <v>53.67185958886535</v>
      </c>
      <c r="AE19" s="31" t="n">
        <v>4.763170893950976</v>
      </c>
      <c r="AF19" s="31" t="n">
        <v>0.3750418284701371</v>
      </c>
      <c r="AG19" s="31" t="n">
        <v>13.05093469822988</v>
      </c>
      <c r="AH19" s="31" t="n">
        <v>35.53142955226411</v>
      </c>
      <c r="AI19" s="31" t="n">
        <v>2.984590184660737</v>
      </c>
      <c r="AJ19" s="31" t="n">
        <v>4.759771381440664</v>
      </c>
      <c r="AK19" s="31" t="n">
        <v>1.782725412647104</v>
      </c>
      <c r="AL19" s="31" t="n">
        <v>4.305197549803983</v>
      </c>
      <c r="AM19" s="31" t="n">
        <v>14.82707616713348</v>
      </c>
      <c r="AN19" s="31" t="n">
        <v>0.05219700962408517</v>
      </c>
      <c r="AO19" s="31" t="n">
        <v>1.339949830973467</v>
      </c>
      <c r="AP19" s="31" t="n">
        <v>18.67319243318159</v>
      </c>
      <c r="AQ19" s="31" t="n">
        <v>0.4885976053058406</v>
      </c>
      <c r="AR19" s="31" t="n">
        <v>0.8046652197473163</v>
      </c>
      <c r="AS19" s="31" t="n">
        <v>0.1458891853344152</v>
      </c>
      <c r="AT19" s="31" t="n">
        <v>0.3680314950490763</v>
      </c>
      <c r="AU19" s="31" t="n">
        <v>0.0001224596103655324</v>
      </c>
      <c r="AV19" s="31" t="n">
        <v>0.8476362858627854</v>
      </c>
      <c r="AW19" s="31" t="n">
        <v>0.02356380088017145</v>
      </c>
      <c r="AX19" s="31" t="n">
        <v>0.1551828726881077</v>
      </c>
      <c r="AY19" s="31" t="n">
        <v>0.00023879085305654</v>
      </c>
      <c r="AZ19" s="31" t="n">
        <v>0.0006209762919323052</v>
      </c>
      <c r="BA19" s="31" t="n">
        <v>1.241781264760416</v>
      </c>
      <c r="BB19" s="31" t="n">
        <v>0.004626967314119579</v>
      </c>
      <c r="BC19" s="31" t="n">
        <v>0.2446733344067588</v>
      </c>
      <c r="BD19" s="31" t="n">
        <v>0.451619187898444</v>
      </c>
      <c r="BE19" s="31" t="n">
        <v>0.08918714300016259</v>
      </c>
      <c r="BF19" s="31" t="n">
        <v>0.9746554234875825</v>
      </c>
      <c r="BG19" s="31" t="n">
        <v>0.007549069995343349</v>
      </c>
      <c r="BH19" s="31" t="n">
        <v>0.002399750030608132</v>
      </c>
      <c r="BI19" s="31" t="n">
        <v>2.735710634227795</v>
      </c>
      <c r="BJ19" s="31" t="n">
        <v>0.003497345378031389</v>
      </c>
      <c r="BK19" s="31" t="n">
        <v>3.045154325999633</v>
      </c>
      <c r="BL19" s="31" t="n">
        <v>0.1472642254149542</v>
      </c>
      <c r="BM19" s="31" t="n">
        <v>0.007240855681289204</v>
      </c>
      <c r="BN19" s="31" t="n">
        <v>1.163136017594824</v>
      </c>
      <c r="BO19" s="31" t="n">
        <v>0.003857863290093873</v>
      </c>
      <c r="BP19" s="31" t="n">
        <v>0.04355912824601817</v>
      </c>
      <c r="BQ19" s="31" t="n">
        <v>0.02462044067118301</v>
      </c>
      <c r="BR19" s="31" t="n">
        <v>0</v>
      </c>
      <c r="BS19" s="31">
        <f>SUM(C19:BR19)</f>
        <v/>
      </c>
      <c r="BT19" s="31" t="n">
        <v>0</v>
      </c>
      <c r="BU19" s="31" t="n">
        <v>0</v>
      </c>
      <c r="BV19" s="31" t="n">
        <v>0</v>
      </c>
      <c r="BW19" s="31" t="n">
        <v>0</v>
      </c>
      <c r="BX19" s="31">
        <f>SUM(BT19:BW19)</f>
        <v/>
      </c>
      <c r="BY19" s="31">
        <f>BS19+BX19</f>
        <v/>
      </c>
    </row>
    <row r="20">
      <c r="A20" s="28" t="inlineStr">
        <is>
          <t>0792</t>
        </is>
      </c>
      <c r="B20" s="28" t="inlineStr">
        <is>
          <t>Extração de minerais metálicos não-ferrosos, inclusive beneficiamentos</t>
        </is>
      </c>
      <c r="C20" s="29" t="n">
        <v>2.888479118892974</v>
      </c>
      <c r="D20" s="29" t="n">
        <v>0.8763009079650718</v>
      </c>
      <c r="E20" s="29" t="n">
        <v>0.03455153354231347</v>
      </c>
      <c r="F20" s="29" t="n">
        <v>0.02520797537689218</v>
      </c>
      <c r="G20" s="29" t="n">
        <v>32.03324363383987</v>
      </c>
      <c r="H20" s="29" t="n">
        <v>15.93005675302723</v>
      </c>
      <c r="I20" s="29" t="n">
        <v>687.2572033896671</v>
      </c>
      <c r="J20" s="29" t="n">
        <v>3.80887911803153</v>
      </c>
      <c r="K20" s="29" t="n">
        <v>0.04347390024808864</v>
      </c>
      <c r="L20" s="29" t="n">
        <v>8.172041351035078</v>
      </c>
      <c r="M20" s="29" t="n">
        <v>0.5052497846613996</v>
      </c>
      <c r="N20" s="29" t="n">
        <v>-0.02429942690091497</v>
      </c>
      <c r="O20" s="29" t="n">
        <v>-0.03205250829971528</v>
      </c>
      <c r="P20" s="29" t="n">
        <v>-0.07761567083816909</v>
      </c>
      <c r="Q20" s="29" t="n">
        <v>-0.05174523804763327</v>
      </c>
      <c r="R20" s="29" t="n">
        <v>-0.05965100784006623</v>
      </c>
      <c r="S20" s="29" t="n">
        <v>5.030525182558828</v>
      </c>
      <c r="T20" s="29" t="n">
        <v>3.966465225173017</v>
      </c>
      <c r="U20" s="29" t="n">
        <v>-0.06741878087735327</v>
      </c>
      <c r="V20" s="29" t="n">
        <v>-0.08761802187570937</v>
      </c>
      <c r="W20" s="29" t="n">
        <v>9.996668172129352</v>
      </c>
      <c r="X20" s="29" t="n">
        <v>3.682695561468154</v>
      </c>
      <c r="Y20" s="29" t="n">
        <v>0.2839953824346443</v>
      </c>
      <c r="Z20" s="29" t="n">
        <v>0.04917999494231022</v>
      </c>
      <c r="AA20" s="29" t="n">
        <v>1.559653589388211</v>
      </c>
      <c r="AB20" s="29" t="n">
        <v>30.49812480458013</v>
      </c>
      <c r="AC20" s="29" t="n">
        <v>1136.043377642508</v>
      </c>
      <c r="AD20" s="29" t="n">
        <v>3961.852577379079</v>
      </c>
      <c r="AE20" s="29" t="n">
        <v>41.26293245322087</v>
      </c>
      <c r="AF20" s="29" t="n">
        <v>2.506546150233954</v>
      </c>
      <c r="AG20" s="29" t="n">
        <v>108.9515002577132</v>
      </c>
      <c r="AH20" s="29" t="n">
        <v>17.86652144618534</v>
      </c>
      <c r="AI20" s="29" t="n">
        <v>9.751632622889586</v>
      </c>
      <c r="AJ20" s="29" t="n">
        <v>46.06506279980406</v>
      </c>
      <c r="AK20" s="29" t="n">
        <v>10.75477206481697</v>
      </c>
      <c r="AL20" s="29" t="n">
        <v>38.15778087788018</v>
      </c>
      <c r="AM20" s="29" t="n">
        <v>6.038998461124916</v>
      </c>
      <c r="AN20" s="29" t="n">
        <v>0.2113152094679988</v>
      </c>
      <c r="AO20" s="29" t="n">
        <v>1.650510388998065</v>
      </c>
      <c r="AP20" s="29" t="n">
        <v>39.69504991284966</v>
      </c>
      <c r="AQ20" s="29" t="n">
        <v>0.04997124061066741</v>
      </c>
      <c r="AR20" s="29" t="n">
        <v>-0.1894390458321971</v>
      </c>
      <c r="AS20" s="29" t="n">
        <v>0.2186783377375063</v>
      </c>
      <c r="AT20" s="29" t="n">
        <v>0.002270858911869103</v>
      </c>
      <c r="AU20" s="29" t="n">
        <v>0</v>
      </c>
      <c r="AV20" s="29" t="n">
        <v>0.002344993481156926</v>
      </c>
      <c r="AW20" s="29" t="n">
        <v>0.04267316690276214</v>
      </c>
      <c r="AX20" s="29" t="n">
        <v>0.1466743550692598</v>
      </c>
      <c r="AY20" s="29" t="n">
        <v>-0.03175724872741646</v>
      </c>
      <c r="AZ20" s="29" t="n">
        <v>-0.04852378044725296</v>
      </c>
      <c r="BA20" s="29" t="n">
        <v>-0.2546243485043074</v>
      </c>
      <c r="BB20" s="29" t="n">
        <v>-0.05752763856189746</v>
      </c>
      <c r="BC20" s="29" t="n">
        <v>-0.006446802316945181</v>
      </c>
      <c r="BD20" s="29" t="n">
        <v>0.6642373839610135</v>
      </c>
      <c r="BE20" s="29" t="n">
        <v>-0.03885450792668516</v>
      </c>
      <c r="BF20" s="29" t="n">
        <v>0.261837730705893</v>
      </c>
      <c r="BG20" s="29" t="n">
        <v>-0.02939788455734686</v>
      </c>
      <c r="BH20" s="29" t="n">
        <v>1.009032004622937e-05</v>
      </c>
      <c r="BI20" s="29" t="n">
        <v>-0.0166682686649873</v>
      </c>
      <c r="BJ20" s="29" t="n">
        <v>-0.005499953176836711</v>
      </c>
      <c r="BK20" s="29" t="n">
        <v>0.1987953450506152</v>
      </c>
      <c r="BL20" s="29" t="n">
        <v>0.05819359584586841</v>
      </c>
      <c r="BM20" s="29" t="n">
        <v>-0.001330361121753055</v>
      </c>
      <c r="BN20" s="29" t="n">
        <v>0.116702797057454</v>
      </c>
      <c r="BO20" s="29" t="n">
        <v>0.1397602293569283</v>
      </c>
      <c r="BP20" s="29" t="n">
        <v>-0.001737264355605792</v>
      </c>
      <c r="BQ20" s="29" t="n">
        <v>0.09692380555658804</v>
      </c>
      <c r="BR20" s="29" t="n">
        <v>0</v>
      </c>
      <c r="BS20" s="29">
        <f>SUM(C20:BR20)</f>
        <v/>
      </c>
      <c r="BT20" s="29" t="n">
        <v>0</v>
      </c>
      <c r="BU20" s="29" t="n">
        <v>0</v>
      </c>
      <c r="BV20" s="29" t="n">
        <v>0</v>
      </c>
      <c r="BW20" s="29" t="n">
        <v>0</v>
      </c>
      <c r="BX20" s="29">
        <f>SUM(BT20:BW20)</f>
        <v/>
      </c>
      <c r="BY20" s="29">
        <f>BS20+BX20</f>
        <v/>
      </c>
    </row>
    <row r="21">
      <c r="A21" s="30" t="inlineStr">
        <is>
          <t>1091</t>
        </is>
      </c>
      <c r="B21" s="30" t="inlineStr">
        <is>
          <t>Abate e produtos de carne, inclusive os produtos do laticínio e da pesca</t>
        </is>
      </c>
      <c r="C21" s="31" t="n">
        <v>24.13727955476406</v>
      </c>
      <c r="D21" s="31" t="n">
        <v>1243.612210177134</v>
      </c>
      <c r="E21" s="31" t="n">
        <v>12.90152369409678</v>
      </c>
      <c r="F21" s="31" t="n">
        <v>5.716943571513414</v>
      </c>
      <c r="G21" s="31" t="n">
        <v>5.501816361770153</v>
      </c>
      <c r="H21" s="31" t="n">
        <v>-3.894404538349287</v>
      </c>
      <c r="I21" s="31" t="n">
        <v>-1.679364390690236</v>
      </c>
      <c r="J21" s="31" t="n">
        <v>13226.12854583835</v>
      </c>
      <c r="K21" s="31" t="n">
        <v>-27.23685444266728</v>
      </c>
      <c r="L21" s="31" t="n">
        <v>1676.154540329364</v>
      </c>
      <c r="M21" s="31" t="n">
        <v>28.68124234592473</v>
      </c>
      <c r="N21" s="31" t="n">
        <v>-11.68652776094397</v>
      </c>
      <c r="O21" s="31" t="n">
        <v>-28.37169103176145</v>
      </c>
      <c r="P21" s="31" t="n">
        <v>-35.96081261858146</v>
      </c>
      <c r="Q21" s="31" t="n">
        <v>546.8280371520337</v>
      </c>
      <c r="R21" s="31" t="n">
        <v>-26.06657082995463</v>
      </c>
      <c r="S21" s="31" t="n">
        <v>-114.0271278666551</v>
      </c>
      <c r="T21" s="31" t="n">
        <v>-2.225277545124004</v>
      </c>
      <c r="U21" s="31" t="n">
        <v>-30.80741960174968</v>
      </c>
      <c r="V21" s="31" t="n">
        <v>441.5657812753201</v>
      </c>
      <c r="W21" s="31" t="n">
        <v>13.2028335574204</v>
      </c>
      <c r="X21" s="31" t="n">
        <v>-1.675766054475695</v>
      </c>
      <c r="Y21" s="31" t="n">
        <v>1414.73851876819</v>
      </c>
      <c r="Z21" s="31" t="n">
        <v>-52.32619474885207</v>
      </c>
      <c r="AA21" s="31" t="n">
        <v>-77.2266642381426</v>
      </c>
      <c r="AB21" s="31" t="n">
        <v>-65.28952416339308</v>
      </c>
      <c r="AC21" s="31" t="n">
        <v>-79.76269582651989</v>
      </c>
      <c r="AD21" s="31" t="n">
        <v>-24.69118042228246</v>
      </c>
      <c r="AE21" s="31" t="n">
        <v>-35.0285347458295</v>
      </c>
      <c r="AF21" s="31" t="n">
        <v>-38.59175951049692</v>
      </c>
      <c r="AG21" s="31" t="n">
        <v>-53.54445246757694</v>
      </c>
      <c r="AH21" s="31" t="n">
        <v>-174.6784292958142</v>
      </c>
      <c r="AI21" s="31" t="n">
        <v>-3.896734433689484</v>
      </c>
      <c r="AJ21" s="31" t="n">
        <v>-0.1972625948916456</v>
      </c>
      <c r="AK21" s="31" t="n">
        <v>-5.685931929889517</v>
      </c>
      <c r="AL21" s="31" t="n">
        <v>-35.68782910414568</v>
      </c>
      <c r="AM21" s="31" t="n">
        <v>2.11577179956727</v>
      </c>
      <c r="AN21" s="31" t="n">
        <v>1.024389414368375</v>
      </c>
      <c r="AO21" s="31" t="n">
        <v>1.261005410033306</v>
      </c>
      <c r="AP21" s="31" t="n">
        <v>10.22380262497397</v>
      </c>
      <c r="AQ21" s="31" t="n">
        <v>0.8739966740229534</v>
      </c>
      <c r="AR21" s="31" t="n">
        <v>-148.2985337528836</v>
      </c>
      <c r="AS21" s="31" t="n">
        <v>0.3400744976865913</v>
      </c>
      <c r="AT21" s="31" t="n">
        <v>0.1104351907729819</v>
      </c>
      <c r="AU21" s="31" t="n">
        <v>0.1198520475691806</v>
      </c>
      <c r="AV21" s="31" t="n">
        <v>0.9621605050783962</v>
      </c>
      <c r="AW21" s="31" t="n">
        <v>241.3149224627765</v>
      </c>
      <c r="AX21" s="31" t="n">
        <v>8198.696410910026</v>
      </c>
      <c r="AY21" s="31" t="n">
        <v>-15.2982251123845</v>
      </c>
      <c r="AZ21" s="31" t="n">
        <v>-23.31210786701077</v>
      </c>
      <c r="BA21" s="31" t="n">
        <v>-122.4650442239623</v>
      </c>
      <c r="BB21" s="31" t="n">
        <v>-27.54706993713309</v>
      </c>
      <c r="BC21" s="31" t="n">
        <v>-1.985307524909159</v>
      </c>
      <c r="BD21" s="31" t="n">
        <v>0.417307802320043</v>
      </c>
      <c r="BE21" s="31" t="n">
        <v>-17.8737145130076</v>
      </c>
      <c r="BF21" s="31" t="n">
        <v>-1.373752439047108</v>
      </c>
      <c r="BG21" s="31" t="n">
        <v>-13.01784295428955</v>
      </c>
      <c r="BH21" s="31" t="n">
        <v>0.4809518679732909</v>
      </c>
      <c r="BI21" s="31" t="n">
        <v>-22.84421032544792</v>
      </c>
      <c r="BJ21" s="31" t="n">
        <v>-2.53860968654528</v>
      </c>
      <c r="BK21" s="31" t="n">
        <v>1250.226879662444</v>
      </c>
      <c r="BL21" s="31" t="n">
        <v>600.3030094554847</v>
      </c>
      <c r="BM21" s="31" t="n">
        <v>120.3160599082086</v>
      </c>
      <c r="BN21" s="31" t="n">
        <v>847.5989240994437</v>
      </c>
      <c r="BO21" s="31" t="n">
        <v>372.8434202798646</v>
      </c>
      <c r="BP21" s="31" t="n">
        <v>1.217551842699257</v>
      </c>
      <c r="BQ21" s="31" t="n">
        <v>104.105286480607</v>
      </c>
      <c r="BR21" s="31" t="n">
        <v>0</v>
      </c>
      <c r="BS21" s="31">
        <f>SUM(C21:BR21)</f>
        <v/>
      </c>
      <c r="BT21" s="31" t="n">
        <v>0</v>
      </c>
      <c r="BU21" s="31" t="n">
        <v>0</v>
      </c>
      <c r="BV21" s="31" t="n">
        <v>0</v>
      </c>
      <c r="BW21" s="31" t="n">
        <v>0</v>
      </c>
      <c r="BX21" s="31">
        <f>SUM(BT21:BW21)</f>
        <v/>
      </c>
      <c r="BY21" s="31">
        <f>BS21+BX21</f>
        <v/>
      </c>
    </row>
    <row r="22">
      <c r="A22" s="28" t="inlineStr">
        <is>
          <t>1092</t>
        </is>
      </c>
      <c r="B22" s="28" t="inlineStr">
        <is>
          <t>Fabricação e refino de açúcar</t>
        </is>
      </c>
      <c r="C22" s="29" t="n">
        <v>22.78697827148375</v>
      </c>
      <c r="D22" s="29" t="n">
        <v>43.92939583284638</v>
      </c>
      <c r="E22" s="29" t="n">
        <v>1.227322111380337</v>
      </c>
      <c r="F22" s="29" t="n">
        <v>0.4183957585826594</v>
      </c>
      <c r="G22" s="29" t="n">
        <v>144.8109026344704</v>
      </c>
      <c r="H22" s="29" t="n">
        <v>38.7854659653532</v>
      </c>
      <c r="I22" s="29" t="n">
        <v>3.802176568966172</v>
      </c>
      <c r="J22" s="29" t="n">
        <v>47.64770607421129</v>
      </c>
      <c r="K22" s="29" t="n">
        <v>579.6474034600934</v>
      </c>
      <c r="L22" s="29" t="n">
        <v>1363.710502724946</v>
      </c>
      <c r="M22" s="29" t="n">
        <v>322.1250825949322</v>
      </c>
      <c r="N22" s="29" t="n">
        <v>-2.409428718945504</v>
      </c>
      <c r="O22" s="29" t="n">
        <v>-6.543718509642789</v>
      </c>
      <c r="P22" s="29" t="n">
        <v>-7.582079230948465</v>
      </c>
      <c r="Q22" s="29" t="n">
        <v>-8.115605156640394</v>
      </c>
      <c r="R22" s="29" t="n">
        <v>7.292550650677439</v>
      </c>
      <c r="S22" s="29" t="n">
        <v>-24.36590463897543</v>
      </c>
      <c r="T22" s="29" t="n">
        <v>-0.5951706581734213</v>
      </c>
      <c r="U22" s="29" t="n">
        <v>4064.400706329375</v>
      </c>
      <c r="V22" s="29" t="n">
        <v>528.3869265766476</v>
      </c>
      <c r="W22" s="29" t="n">
        <v>49.96635836579615</v>
      </c>
      <c r="X22" s="29" t="n">
        <v>179.8067154653135</v>
      </c>
      <c r="Y22" s="29" t="n">
        <v>263.9593381599652</v>
      </c>
      <c r="Z22" s="29" t="n">
        <v>106.6808421205688</v>
      </c>
      <c r="AA22" s="29" t="n">
        <v>-18.13003544932527</v>
      </c>
      <c r="AB22" s="29" t="n">
        <v>-13.48456827386375</v>
      </c>
      <c r="AC22" s="29" t="n">
        <v>-17.1589570809669</v>
      </c>
      <c r="AD22" s="29" t="n">
        <v>-5.145784744583795</v>
      </c>
      <c r="AE22" s="29" t="n">
        <v>-8.026150503103876</v>
      </c>
      <c r="AF22" s="29" t="n">
        <v>-7.665920695599166</v>
      </c>
      <c r="AG22" s="29" t="n">
        <v>-8.495269239273123</v>
      </c>
      <c r="AH22" s="29" t="n">
        <v>80.53081940717094</v>
      </c>
      <c r="AI22" s="29" t="n">
        <v>7.703104151991395</v>
      </c>
      <c r="AJ22" s="29" t="n">
        <v>0.2185914089340984</v>
      </c>
      <c r="AK22" s="29" t="n">
        <v>0.7902016552891142</v>
      </c>
      <c r="AL22" s="29" t="n">
        <v>-7.551667496730466</v>
      </c>
      <c r="AM22" s="29" t="n">
        <v>49.79312932820562</v>
      </c>
      <c r="AN22" s="29" t="n">
        <v>1.629562879642145</v>
      </c>
      <c r="AO22" s="29" t="n">
        <v>8.519297826796022</v>
      </c>
      <c r="AP22" s="29" t="n">
        <v>99.20690320748865</v>
      </c>
      <c r="AQ22" s="29" t="n">
        <v>81.22925153990433</v>
      </c>
      <c r="AR22" s="29" t="n">
        <v>80.71010686345934</v>
      </c>
      <c r="AS22" s="29" t="n">
        <v>149.3859261683989</v>
      </c>
      <c r="AT22" s="29" t="n">
        <v>3.2784003767778</v>
      </c>
      <c r="AU22" s="29" t="n">
        <v>5.275277571080497</v>
      </c>
      <c r="AV22" s="29" t="n">
        <v>14.97061806217937</v>
      </c>
      <c r="AW22" s="29" t="n">
        <v>4.081475973072343</v>
      </c>
      <c r="AX22" s="29" t="n">
        <v>307.8360473757849</v>
      </c>
      <c r="AY22" s="29" t="n">
        <v>-1.833550878535569</v>
      </c>
      <c r="AZ22" s="29" t="n">
        <v>-2.173904777052166</v>
      </c>
      <c r="BA22" s="29" t="n">
        <v>-19.02247978328413</v>
      </c>
      <c r="BB22" s="29" t="n">
        <v>9.605500571038659</v>
      </c>
      <c r="BC22" s="29" t="n">
        <v>24.30305049199132</v>
      </c>
      <c r="BD22" s="29" t="n">
        <v>4.994132722891178</v>
      </c>
      <c r="BE22" s="29" t="n">
        <v>24.87898475522555</v>
      </c>
      <c r="BF22" s="29" t="n">
        <v>34.54161625918585</v>
      </c>
      <c r="BG22" s="29" t="n">
        <v>10.86859692669656</v>
      </c>
      <c r="BH22" s="29" t="n">
        <v>34.43481234522561</v>
      </c>
      <c r="BI22" s="29" t="n">
        <v>46.4264081770708</v>
      </c>
      <c r="BJ22" s="29" t="n">
        <v>15.87095145916263</v>
      </c>
      <c r="BK22" s="29" t="n">
        <v>125.6199862983197</v>
      </c>
      <c r="BL22" s="29" t="n">
        <v>30.50861705435272</v>
      </c>
      <c r="BM22" s="29" t="n">
        <v>4.028192247730564</v>
      </c>
      <c r="BN22" s="29" t="n">
        <v>33.10386404180714</v>
      </c>
      <c r="BO22" s="29" t="n">
        <v>25.11472748397604</v>
      </c>
      <c r="BP22" s="29" t="n">
        <v>5.616180156555346</v>
      </c>
      <c r="BQ22" s="29" t="n">
        <v>41.01168826588794</v>
      </c>
      <c r="BR22" s="29" t="n">
        <v>0</v>
      </c>
      <c r="BS22" s="29">
        <f>SUM(C22:BR22)</f>
        <v/>
      </c>
      <c r="BT22" s="29" t="n">
        <v>0</v>
      </c>
      <c r="BU22" s="29" t="n">
        <v>0</v>
      </c>
      <c r="BV22" s="29" t="n">
        <v>0</v>
      </c>
      <c r="BW22" s="29" t="n">
        <v>0</v>
      </c>
      <c r="BX22" s="29">
        <f>SUM(BT22:BW22)</f>
        <v/>
      </c>
      <c r="BY22" s="29">
        <f>BS22+BX22</f>
        <v/>
      </c>
    </row>
    <row r="23">
      <c r="A23" s="30" t="inlineStr">
        <is>
          <t>1093</t>
        </is>
      </c>
      <c r="B23" s="30" t="inlineStr">
        <is>
          <t>Outros produtos alimentares</t>
        </is>
      </c>
      <c r="C23" s="31" t="n">
        <v>1198.941913729026</v>
      </c>
      <c r="D23" s="31" t="n">
        <v>7763.420309823942</v>
      </c>
      <c r="E23" s="31" t="n">
        <v>596.0560748545062</v>
      </c>
      <c r="F23" s="31" t="n">
        <v>141.236891838585</v>
      </c>
      <c r="G23" s="31" t="n">
        <v>126.4582991542252</v>
      </c>
      <c r="H23" s="31" t="n">
        <v>30.81092992977143</v>
      </c>
      <c r="I23" s="31" t="n">
        <v>3.18964975101519</v>
      </c>
      <c r="J23" s="31" t="n">
        <v>12959.37800895423</v>
      </c>
      <c r="K23" s="31" t="n">
        <v>-86.23071612411702</v>
      </c>
      <c r="L23" s="31" t="n">
        <v>16032.80602359351</v>
      </c>
      <c r="M23" s="31" t="n">
        <v>1619.164951014404</v>
      </c>
      <c r="N23" s="31" t="n">
        <v>-43.2846904689114</v>
      </c>
      <c r="O23" s="31" t="n">
        <v>-84.82418170881898</v>
      </c>
      <c r="P23" s="31" t="n">
        <v>-122.8601844077653</v>
      </c>
      <c r="Q23" s="31" t="n">
        <v>-122.5534796499149</v>
      </c>
      <c r="R23" s="31" t="n">
        <v>-55.69709013363185</v>
      </c>
      <c r="S23" s="31" t="n">
        <v>171.2185398210671</v>
      </c>
      <c r="T23" s="31" t="n">
        <v>1.148403156587893</v>
      </c>
      <c r="U23" s="31" t="n">
        <v>1352.291823997595</v>
      </c>
      <c r="V23" s="31" t="n">
        <v>1800.292608825263</v>
      </c>
      <c r="W23" s="31" t="n">
        <v>612.2890240811114</v>
      </c>
      <c r="X23" s="31" t="n">
        <v>615.4833119656569</v>
      </c>
      <c r="Y23" s="31" t="n">
        <v>500.2451284003764</v>
      </c>
      <c r="Z23" s="31" t="n">
        <v>-85.14166447388479</v>
      </c>
      <c r="AA23" s="31" t="n">
        <v>-201.568066001836</v>
      </c>
      <c r="AB23" s="31" t="n">
        <v>-197.5199964414341</v>
      </c>
      <c r="AC23" s="31" t="n">
        <v>-254.3721698999074</v>
      </c>
      <c r="AD23" s="31" t="n">
        <v>-80.49793689820308</v>
      </c>
      <c r="AE23" s="31" t="n">
        <v>-217.9569265384324</v>
      </c>
      <c r="AF23" s="31" t="n">
        <v>-143.4886830015255</v>
      </c>
      <c r="AG23" s="31" t="n">
        <v>-188.681057701321</v>
      </c>
      <c r="AH23" s="31" t="n">
        <v>-624.4175665564902</v>
      </c>
      <c r="AI23" s="31" t="n">
        <v>-1.751747111482548</v>
      </c>
      <c r="AJ23" s="31" t="n">
        <v>11.42793916140149</v>
      </c>
      <c r="AK23" s="31" t="n">
        <v>-18.97794261772262</v>
      </c>
      <c r="AL23" s="31" t="n">
        <v>-104.5869685306874</v>
      </c>
      <c r="AM23" s="31" t="n">
        <v>25.41244613721121</v>
      </c>
      <c r="AN23" s="31" t="n">
        <v>6.570053940441819</v>
      </c>
      <c r="AO23" s="31" t="n">
        <v>25.37159027263594</v>
      </c>
      <c r="AP23" s="31" t="n">
        <v>132.8853011207893</v>
      </c>
      <c r="AQ23" s="31" t="n">
        <v>86.05449754201929</v>
      </c>
      <c r="AR23" s="31" t="n">
        <v>969.3860156169258</v>
      </c>
      <c r="AS23" s="31" t="n">
        <v>58.67323724580676</v>
      </c>
      <c r="AT23" s="31" t="n">
        <v>2.147566392192914</v>
      </c>
      <c r="AU23" s="31" t="n">
        <v>15.68629682679284</v>
      </c>
      <c r="AV23" s="31" t="n">
        <v>22.09324692873986</v>
      </c>
      <c r="AW23" s="31" t="n">
        <v>167.0147203678089</v>
      </c>
      <c r="AX23" s="31" t="n">
        <v>7377.831362478515</v>
      </c>
      <c r="AY23" s="31" t="n">
        <v>-56.56941309901315</v>
      </c>
      <c r="AZ23" s="31" t="n">
        <v>-86.01410145387329</v>
      </c>
      <c r="BA23" s="31" t="n">
        <v>-449.4511584859464</v>
      </c>
      <c r="BB23" s="31" t="n">
        <v>-96.57981365549063</v>
      </c>
      <c r="BC23" s="31" t="n">
        <v>76.90282874287195</v>
      </c>
      <c r="BD23" s="31" t="n">
        <v>14.69858499600458</v>
      </c>
      <c r="BE23" s="31" t="n">
        <v>-38.13746628732986</v>
      </c>
      <c r="BF23" s="31" t="n">
        <v>12.48427065926416</v>
      </c>
      <c r="BG23" s="31" t="n">
        <v>-14.09031615682813</v>
      </c>
      <c r="BH23" s="31" t="n">
        <v>18.87352807816345</v>
      </c>
      <c r="BI23" s="31" t="n">
        <v>-58.14991301183246</v>
      </c>
      <c r="BJ23" s="31" t="n">
        <v>-3.575420613985154</v>
      </c>
      <c r="BK23" s="31" t="n">
        <v>1290.60452041248</v>
      </c>
      <c r="BL23" s="31" t="n">
        <v>842.967666602621</v>
      </c>
      <c r="BM23" s="31" t="n">
        <v>121.2689328193711</v>
      </c>
      <c r="BN23" s="31" t="n">
        <v>1864.439795958398</v>
      </c>
      <c r="BO23" s="31" t="n">
        <v>566.4944834844716</v>
      </c>
      <c r="BP23" s="31" t="n">
        <v>15.2312159903254</v>
      </c>
      <c r="BQ23" s="31" t="n">
        <v>363.015376822587</v>
      </c>
      <c r="BR23" s="31" t="n">
        <v>0</v>
      </c>
      <c r="BS23" s="31">
        <f>SUM(C23:BR23)</f>
        <v/>
      </c>
      <c r="BT23" s="31" t="n">
        <v>0</v>
      </c>
      <c r="BU23" s="31" t="n">
        <v>0</v>
      </c>
      <c r="BV23" s="31" t="n">
        <v>0</v>
      </c>
      <c r="BW23" s="31" t="n">
        <v>0</v>
      </c>
      <c r="BX23" s="31">
        <f>SUM(BT23:BW23)</f>
        <v/>
      </c>
      <c r="BY23" s="31">
        <f>BS23+BX23</f>
        <v/>
      </c>
    </row>
    <row r="24">
      <c r="A24" s="28" t="inlineStr">
        <is>
          <t>1100</t>
        </is>
      </c>
      <c r="B24" s="28" t="inlineStr">
        <is>
          <t>Fabricação de bebidas</t>
        </is>
      </c>
      <c r="C24" s="29" t="n">
        <v>12.12757387833937</v>
      </c>
      <c r="D24" s="29" t="n">
        <v>2.658971074292252</v>
      </c>
      <c r="E24" s="29" t="n">
        <v>0.1357636671772253</v>
      </c>
      <c r="F24" s="29" t="n">
        <v>10.05769147695837</v>
      </c>
      <c r="G24" s="29" t="n">
        <v>8.234046123999303</v>
      </c>
      <c r="H24" s="29" t="n">
        <v>4.074690397410548</v>
      </c>
      <c r="I24" s="29" t="n">
        <v>-1.058079301119849</v>
      </c>
      <c r="J24" s="29" t="n">
        <v>-214.2997150255304</v>
      </c>
      <c r="K24" s="29" t="n">
        <v>-31.98528724315424</v>
      </c>
      <c r="L24" s="29" t="n">
        <v>-237.5529192583278</v>
      </c>
      <c r="M24" s="29" t="n">
        <v>6324.562257032019</v>
      </c>
      <c r="N24" s="29" t="n">
        <v>-13.78303700574719</v>
      </c>
      <c r="O24" s="29" t="n">
        <v>-37.47208634762115</v>
      </c>
      <c r="P24" s="29" t="n">
        <v>-44.02735509063903</v>
      </c>
      <c r="Q24" s="29" t="n">
        <v>-46.13127529440801</v>
      </c>
      <c r="R24" s="29" t="n">
        <v>-28.83015266789786</v>
      </c>
      <c r="S24" s="29" t="n">
        <v>-146.0682288146613</v>
      </c>
      <c r="T24" s="29" t="n">
        <v>-2.298336406102992</v>
      </c>
      <c r="U24" s="29" t="n">
        <v>-24.00748757297982</v>
      </c>
      <c r="V24" s="29" t="n">
        <v>-49.90805255387321</v>
      </c>
      <c r="W24" s="29" t="n">
        <v>-76.14292027450378</v>
      </c>
      <c r="X24" s="29" t="n">
        <v>-54.8738963687512</v>
      </c>
      <c r="Y24" s="29" t="n">
        <v>2.462385619087367</v>
      </c>
      <c r="Z24" s="29" t="n">
        <v>-78.09875030267006</v>
      </c>
      <c r="AA24" s="29" t="n">
        <v>-99.04498196470347</v>
      </c>
      <c r="AB24" s="29" t="n">
        <v>-76.83995723911339</v>
      </c>
      <c r="AC24" s="29" t="n">
        <v>-93.60195353262293</v>
      </c>
      <c r="AD24" s="29" t="n">
        <v>-30.51075712894668</v>
      </c>
      <c r="AE24" s="29" t="n">
        <v>-77.06203637545174</v>
      </c>
      <c r="AF24" s="29" t="n">
        <v>-44.60093949432348</v>
      </c>
      <c r="AG24" s="29" t="n">
        <v>-60.64374813777893</v>
      </c>
      <c r="AH24" s="29" t="n">
        <v>-175.9370200682878</v>
      </c>
      <c r="AI24" s="29" t="n">
        <v>0.8519909015065666</v>
      </c>
      <c r="AJ24" s="29" t="n">
        <v>1.962887293328803</v>
      </c>
      <c r="AK24" s="29" t="n">
        <v>-5.010323286136544</v>
      </c>
      <c r="AL24" s="29" t="n">
        <v>-42.83672799772755</v>
      </c>
      <c r="AM24" s="29" t="n">
        <v>15.94088196771729</v>
      </c>
      <c r="AN24" s="29" t="n">
        <v>2.914456343284707</v>
      </c>
      <c r="AO24" s="29" t="n">
        <v>1.51774599457306</v>
      </c>
      <c r="AP24" s="29" t="n">
        <v>37.7343883840609</v>
      </c>
      <c r="AQ24" s="29" t="n">
        <v>2.351151045614593</v>
      </c>
      <c r="AR24" s="29" t="n">
        <v>-342.8642964586218</v>
      </c>
      <c r="AS24" s="29" t="n">
        <v>2.866927627190307</v>
      </c>
      <c r="AT24" s="29" t="n">
        <v>0.3062576230528256</v>
      </c>
      <c r="AU24" s="29" t="n">
        <v>3.965745312748605</v>
      </c>
      <c r="AV24" s="29" t="n">
        <v>1.288102908880929</v>
      </c>
      <c r="AW24" s="29" t="n">
        <v>373.5073124098552</v>
      </c>
      <c r="AX24" s="29" t="n">
        <v>21572.42444311132</v>
      </c>
      <c r="AY24" s="29" t="n">
        <v>-18.05722755359252</v>
      </c>
      <c r="AZ24" s="29" t="n">
        <v>-27.53892346613812</v>
      </c>
      <c r="BA24" s="29" t="n">
        <v>-144.8281599834385</v>
      </c>
      <c r="BB24" s="29" t="n">
        <v>-32.24167505174655</v>
      </c>
      <c r="BC24" s="29" t="n">
        <v>47.74865783572742</v>
      </c>
      <c r="BD24" s="29" t="n">
        <v>0.9392065417343753</v>
      </c>
      <c r="BE24" s="29" t="n">
        <v>-20.25340670830803</v>
      </c>
      <c r="BF24" s="29" t="n">
        <v>-2.272201804286467</v>
      </c>
      <c r="BG24" s="29" t="n">
        <v>-16.7106140371891</v>
      </c>
      <c r="BH24" s="29" t="n">
        <v>0.3073249742270511</v>
      </c>
      <c r="BI24" s="29" t="n">
        <v>-24.19008634233223</v>
      </c>
      <c r="BJ24" s="29" t="n">
        <v>-2.873889447084028</v>
      </c>
      <c r="BK24" s="29" t="n">
        <v>105.8593600663778</v>
      </c>
      <c r="BL24" s="29" t="n">
        <v>60.91764305015585</v>
      </c>
      <c r="BM24" s="29" t="n">
        <v>5.535348534195905</v>
      </c>
      <c r="BN24" s="29" t="n">
        <v>85.46482922307715</v>
      </c>
      <c r="BO24" s="29" t="n">
        <v>104.8623879484019</v>
      </c>
      <c r="BP24" s="29" t="n">
        <v>19.37231260536497</v>
      </c>
      <c r="BQ24" s="29" t="n">
        <v>6.021975411775476</v>
      </c>
      <c r="BR24" s="29" t="n">
        <v>0</v>
      </c>
      <c r="BS24" s="29">
        <f>SUM(C24:BR24)</f>
        <v/>
      </c>
      <c r="BT24" s="29" t="n">
        <v>0</v>
      </c>
      <c r="BU24" s="29" t="n">
        <v>0</v>
      </c>
      <c r="BV24" s="29" t="n">
        <v>0</v>
      </c>
      <c r="BW24" s="29" t="n">
        <v>0</v>
      </c>
      <c r="BX24" s="29">
        <f>SUM(BT24:BW24)</f>
        <v/>
      </c>
      <c r="BY24" s="29">
        <f>BS24+BX24</f>
        <v/>
      </c>
    </row>
    <row r="25">
      <c r="A25" s="30" t="inlineStr">
        <is>
          <t>1200</t>
        </is>
      </c>
      <c r="B25" s="30" t="inlineStr">
        <is>
          <t>Fabricação de produtos do fumo</t>
        </is>
      </c>
      <c r="C25" s="31" t="n">
        <v>3.544060857104222</v>
      </c>
      <c r="D25" s="31" t="n">
        <v>0.3728461114196234</v>
      </c>
      <c r="E25" s="31" t="n">
        <v>0.02664991003490374</v>
      </c>
      <c r="F25" s="31" t="n">
        <v>-0.09808558397550229</v>
      </c>
      <c r="G25" s="31" t="n">
        <v>0.6606279091940118</v>
      </c>
      <c r="H25" s="31" t="n">
        <v>0.5016771929958852</v>
      </c>
      <c r="I25" s="31" t="n">
        <v>-0.03762514195569489</v>
      </c>
      <c r="J25" s="31" t="n">
        <v>-20.73723965609441</v>
      </c>
      <c r="K25" s="31" t="n">
        <v>-1.333058110407749</v>
      </c>
      <c r="L25" s="31" t="n">
        <v>-11.65023246991906</v>
      </c>
      <c r="M25" s="31" t="n">
        <v>-0.4384384638156644</v>
      </c>
      <c r="N25" s="31" t="n">
        <v>1236.060028847458</v>
      </c>
      <c r="O25" s="31" t="n">
        <v>-1.484499528815967</v>
      </c>
      <c r="P25" s="31" t="n">
        <v>-1.782474484668667</v>
      </c>
      <c r="Q25" s="31" t="n">
        <v>-1.842931867409354</v>
      </c>
      <c r="R25" s="31" t="n">
        <v>-1.132458331626444</v>
      </c>
      <c r="S25" s="31" t="n">
        <v>-4.521896776434538</v>
      </c>
      <c r="T25" s="31" t="n">
        <v>0.05418180892871051</v>
      </c>
      <c r="U25" s="31" t="n">
        <v>-1.567339761648589</v>
      </c>
      <c r="V25" s="31" t="n">
        <v>-2.150784500856051</v>
      </c>
      <c r="W25" s="31" t="n">
        <v>-3.362083507475506</v>
      </c>
      <c r="X25" s="31" t="n">
        <v>-3.192482112493968</v>
      </c>
      <c r="Y25" s="31" t="n">
        <v>0.05653073653001188</v>
      </c>
      <c r="Z25" s="31" t="n">
        <v>-3.310763277716678</v>
      </c>
      <c r="AA25" s="31" t="n">
        <v>-4.016887247721355</v>
      </c>
      <c r="AB25" s="31" t="n">
        <v>-2.968009170330188</v>
      </c>
      <c r="AC25" s="31" t="n">
        <v>-4.139666601681118</v>
      </c>
      <c r="AD25" s="31" t="n">
        <v>-1.291323903476243</v>
      </c>
      <c r="AE25" s="31" t="n">
        <v>-3.612413704105968</v>
      </c>
      <c r="AF25" s="31" t="n">
        <v>-1.786179545734839</v>
      </c>
      <c r="AG25" s="31" t="n">
        <v>-2.617831203092869</v>
      </c>
      <c r="AH25" s="31" t="n">
        <v>-6.10898192840882</v>
      </c>
      <c r="AI25" s="31" t="n">
        <v>-0.09278142927107531</v>
      </c>
      <c r="AJ25" s="31" t="n">
        <v>0.05144191264004164</v>
      </c>
      <c r="AK25" s="31" t="n">
        <v>-0.2617127115620386</v>
      </c>
      <c r="AL25" s="31" t="n">
        <v>-1.782028346064979</v>
      </c>
      <c r="AM25" s="31" t="n">
        <v>1.104906526828073</v>
      </c>
      <c r="AN25" s="31" t="n">
        <v>0.008394581111487612</v>
      </c>
      <c r="AO25" s="31" t="n">
        <v>-0.01076443562338508</v>
      </c>
      <c r="AP25" s="31" t="n">
        <v>0.4865178993420469</v>
      </c>
      <c r="AQ25" s="31" t="n">
        <v>0.1408123556964762</v>
      </c>
      <c r="AR25" s="31" t="n">
        <v>-14.29760096126489</v>
      </c>
      <c r="AS25" s="31" t="n">
        <v>0.03237482183932867</v>
      </c>
      <c r="AT25" s="31" t="n">
        <v>0.03917124861660076</v>
      </c>
      <c r="AU25" s="31" t="n">
        <v>0.001415544892636127</v>
      </c>
      <c r="AV25" s="31" t="n">
        <v>0.09379309460733767</v>
      </c>
      <c r="AW25" s="31" t="n">
        <v>0.02444881191049373</v>
      </c>
      <c r="AX25" s="31" t="n">
        <v>0.1903361449023856</v>
      </c>
      <c r="AY25" s="31" t="n">
        <v>-0.6312836592118923</v>
      </c>
      <c r="AZ25" s="31" t="n">
        <v>-1.128796355287409</v>
      </c>
      <c r="BA25" s="31" t="n">
        <v>-6.024562520490752</v>
      </c>
      <c r="BB25" s="31" t="n">
        <v>-1.214838732324351</v>
      </c>
      <c r="BC25" s="31" t="n">
        <v>0.06529937435188499</v>
      </c>
      <c r="BD25" s="31" t="n">
        <v>0.04541131675982897</v>
      </c>
      <c r="BE25" s="31" t="n">
        <v>-0.6718487210881336</v>
      </c>
      <c r="BF25" s="31" t="n">
        <v>-0.03973356009625469</v>
      </c>
      <c r="BG25" s="31" t="n">
        <v>-0.6039810203052306</v>
      </c>
      <c r="BH25" s="31" t="n">
        <v>0.08794168149603354</v>
      </c>
      <c r="BI25" s="31" t="n">
        <v>-0.6075327852955816</v>
      </c>
      <c r="BJ25" s="31" t="n">
        <v>-0.1233840035051354</v>
      </c>
      <c r="BK25" s="31" t="n">
        <v>0.1300314809083069</v>
      </c>
      <c r="BL25" s="31" t="n">
        <v>0.09627332218610797</v>
      </c>
      <c r="BM25" s="31" t="n">
        <v>0.05492925994474294</v>
      </c>
      <c r="BN25" s="31" t="n">
        <v>0.055354642709421</v>
      </c>
      <c r="BO25" s="31" t="n">
        <v>0.1116537442542829</v>
      </c>
      <c r="BP25" s="31" t="n">
        <v>-0.03684558641875219</v>
      </c>
      <c r="BQ25" s="31" t="n">
        <v>0.05070239965957706</v>
      </c>
      <c r="BR25" s="31" t="n">
        <v>0</v>
      </c>
      <c r="BS25" s="31">
        <f>SUM(C25:BR25)</f>
        <v/>
      </c>
      <c r="BT25" s="31" t="n">
        <v>0</v>
      </c>
      <c r="BU25" s="31" t="n">
        <v>0</v>
      </c>
      <c r="BV25" s="31" t="n">
        <v>0</v>
      </c>
      <c r="BW25" s="31" t="n">
        <v>0</v>
      </c>
      <c r="BX25" s="31">
        <f>SUM(BT25:BW25)</f>
        <v/>
      </c>
      <c r="BY25" s="31">
        <f>BS25+BX25</f>
        <v/>
      </c>
    </row>
    <row r="26">
      <c r="A26" s="28" t="inlineStr">
        <is>
          <t>1300</t>
        </is>
      </c>
      <c r="B26" s="28" t="inlineStr">
        <is>
          <t>Fabricação de produtos têxteis</t>
        </is>
      </c>
      <c r="C26" s="29" t="n">
        <v>1003.756084238596</v>
      </c>
      <c r="D26" s="29" t="n">
        <v>21.20759220415597</v>
      </c>
      <c r="E26" s="29" t="n">
        <v>3.188752218974662</v>
      </c>
      <c r="F26" s="29" t="n">
        <v>213.8884917258431</v>
      </c>
      <c r="G26" s="29" t="n">
        <v>161.3269341757387</v>
      </c>
      <c r="H26" s="29" t="n">
        <v>5.943347888731373</v>
      </c>
      <c r="I26" s="29" t="n">
        <v>6.948315322923658</v>
      </c>
      <c r="J26" s="29" t="n">
        <v>-38.33739688685557</v>
      </c>
      <c r="K26" s="29" t="n">
        <v>209.3193568470982</v>
      </c>
      <c r="L26" s="29" t="n">
        <v>249.526305604804</v>
      </c>
      <c r="M26" s="29" t="n">
        <v>6.588862602583955</v>
      </c>
      <c r="N26" s="29" t="n">
        <v>-0.908680794742014</v>
      </c>
      <c r="O26" s="29" t="n">
        <v>9232.202967529176</v>
      </c>
      <c r="P26" s="29" t="n">
        <v>12171.89280159215</v>
      </c>
      <c r="Q26" s="29" t="n">
        <v>2486.391680614209</v>
      </c>
      <c r="R26" s="29" t="n">
        <v>6.677517643118544</v>
      </c>
      <c r="S26" s="29" t="n">
        <v>183.4507830457022</v>
      </c>
      <c r="T26" s="29" t="n">
        <v>2.183406861708748</v>
      </c>
      <c r="U26" s="29" t="n">
        <v>-2.992483169914313</v>
      </c>
      <c r="V26" s="29" t="n">
        <v>-4.356189196844913</v>
      </c>
      <c r="W26" s="29" t="n">
        <v>17.84799551887814</v>
      </c>
      <c r="X26" s="29" t="n">
        <v>45.39481315577424</v>
      </c>
      <c r="Y26" s="29" t="n">
        <v>8.143205834097657</v>
      </c>
      <c r="Z26" s="29" t="n">
        <v>90.0729470124904</v>
      </c>
      <c r="AA26" s="29" t="n">
        <v>854.907263804393</v>
      </c>
      <c r="AB26" s="29" t="n">
        <v>34.26801297235099</v>
      </c>
      <c r="AC26" s="29" t="n">
        <v>-5.771672561258245</v>
      </c>
      <c r="AD26" s="29" t="n">
        <v>4.966444173730659</v>
      </c>
      <c r="AE26" s="29" t="n">
        <v>44.64862353560876</v>
      </c>
      <c r="AF26" s="29" t="n">
        <v>4.559009369243308</v>
      </c>
      <c r="AG26" s="29" t="n">
        <v>44.6282490786494</v>
      </c>
      <c r="AH26" s="29" t="n">
        <v>17.73648987777238</v>
      </c>
      <c r="AI26" s="29" t="n">
        <v>40.52713879428264</v>
      </c>
      <c r="AJ26" s="29" t="n">
        <v>1164.407558526089</v>
      </c>
      <c r="AK26" s="29" t="n">
        <v>67.29364871406364</v>
      </c>
      <c r="AL26" s="29" t="n">
        <v>1395.815648076771</v>
      </c>
      <c r="AM26" s="29" t="n">
        <v>13.47609882802633</v>
      </c>
      <c r="AN26" s="29" t="n">
        <v>29.4335955245763</v>
      </c>
      <c r="AO26" s="29" t="n">
        <v>17.03042660925865</v>
      </c>
      <c r="AP26" s="29" t="n">
        <v>629.5092485420834</v>
      </c>
      <c r="AQ26" s="29" t="n">
        <v>14.78435007956285</v>
      </c>
      <c r="AR26" s="29" t="n">
        <v>133.5716557388491</v>
      </c>
      <c r="AS26" s="29" t="n">
        <v>76.70276912243946</v>
      </c>
      <c r="AT26" s="29" t="n">
        <v>22.86945775043688</v>
      </c>
      <c r="AU26" s="29" t="n">
        <v>1.663432058918485</v>
      </c>
      <c r="AV26" s="29" t="n">
        <v>3.038156376303565</v>
      </c>
      <c r="AW26" s="29" t="n">
        <v>276.2399884588115</v>
      </c>
      <c r="AX26" s="29" t="n">
        <v>196.501857482357</v>
      </c>
      <c r="AY26" s="29" t="n">
        <v>-0.5157781241919481</v>
      </c>
      <c r="AZ26" s="29" t="n">
        <v>2.25367412863243</v>
      </c>
      <c r="BA26" s="29" t="n">
        <v>-10.46645916328555</v>
      </c>
      <c r="BB26" s="29" t="n">
        <v>-0.9968996493727729</v>
      </c>
      <c r="BC26" s="29" t="n">
        <v>5.450907377008474</v>
      </c>
      <c r="BD26" s="29" t="n">
        <v>3.435166766867181</v>
      </c>
      <c r="BE26" s="29" t="n">
        <v>3.070384779205964</v>
      </c>
      <c r="BF26" s="29" t="n">
        <v>6.291556570338009</v>
      </c>
      <c r="BG26" s="29" t="n">
        <v>5.969254033018738</v>
      </c>
      <c r="BH26" s="29" t="n">
        <v>5.601573818880515</v>
      </c>
      <c r="BI26" s="29" t="n">
        <v>16.98569435857135</v>
      </c>
      <c r="BJ26" s="29" t="n">
        <v>1.239922210359863</v>
      </c>
      <c r="BK26" s="29" t="n">
        <v>46.79802895968071</v>
      </c>
      <c r="BL26" s="29" t="n">
        <v>54.88032607965987</v>
      </c>
      <c r="BM26" s="29" t="n">
        <v>0.6656931224422757</v>
      </c>
      <c r="BN26" s="29" t="n">
        <v>77.05301975124522</v>
      </c>
      <c r="BO26" s="29" t="n">
        <v>124.9611085702931</v>
      </c>
      <c r="BP26" s="29" t="n">
        <v>2.294044933405038</v>
      </c>
      <c r="BQ26" s="29" t="n">
        <v>981.722846970326</v>
      </c>
      <c r="BR26" s="29" t="n">
        <v>0</v>
      </c>
      <c r="BS26" s="29">
        <f>SUM(C26:BR26)</f>
        <v/>
      </c>
      <c r="BT26" s="29" t="n">
        <v>0</v>
      </c>
      <c r="BU26" s="29" t="n">
        <v>0</v>
      </c>
      <c r="BV26" s="29" t="n">
        <v>0</v>
      </c>
      <c r="BW26" s="29" t="n">
        <v>0</v>
      </c>
      <c r="BX26" s="29">
        <f>SUM(BT26:BW26)</f>
        <v/>
      </c>
      <c r="BY26" s="29">
        <f>BS26+BX26</f>
        <v/>
      </c>
    </row>
    <row r="27">
      <c r="A27" s="30" t="inlineStr">
        <is>
          <t>1400</t>
        </is>
      </c>
      <c r="B27" s="30" t="inlineStr">
        <is>
          <t>Confecção de artefatos do vestuário e acessórios</t>
        </is>
      </c>
      <c r="C27" s="31" t="n">
        <v>14.21023766565661</v>
      </c>
      <c r="D27" s="31" t="n">
        <v>1.234793211537551</v>
      </c>
      <c r="E27" s="31" t="n">
        <v>13.51579467988492</v>
      </c>
      <c r="F27" s="31" t="n">
        <v>4.201921324008168</v>
      </c>
      <c r="G27" s="31" t="n">
        <v>145.2451809442408</v>
      </c>
      <c r="H27" s="31" t="n">
        <v>1.9844718981798</v>
      </c>
      <c r="I27" s="31" t="n">
        <v>0.03301747399485604</v>
      </c>
      <c r="J27" s="31" t="n">
        <v>-36.22032851771058</v>
      </c>
      <c r="K27" s="31" t="n">
        <v>-0.4130562714529391</v>
      </c>
      <c r="L27" s="31" t="n">
        <v>-14.37948431543256</v>
      </c>
      <c r="M27" s="31" t="n">
        <v>-0.7912685990379272</v>
      </c>
      <c r="N27" s="31" t="n">
        <v>-1.126836366230877</v>
      </c>
      <c r="O27" s="31" t="n">
        <v>96.77951196192504</v>
      </c>
      <c r="P27" s="31" t="n">
        <v>2480.77832927012</v>
      </c>
      <c r="Q27" s="31" t="n">
        <v>75.85869975750282</v>
      </c>
      <c r="R27" s="31" t="n">
        <v>-2.731590235687676</v>
      </c>
      <c r="S27" s="31" t="n">
        <v>-10.47231997805279</v>
      </c>
      <c r="T27" s="31" t="n">
        <v>-0.09914862004969401</v>
      </c>
      <c r="U27" s="31" t="n">
        <v>-3.364750345118111</v>
      </c>
      <c r="V27" s="31" t="n">
        <v>-4.647758200887855</v>
      </c>
      <c r="W27" s="31" t="n">
        <v>-6.432538382449246</v>
      </c>
      <c r="X27" s="31" t="n">
        <v>5.638340874608065</v>
      </c>
      <c r="Y27" s="31" t="n">
        <v>-0.1484113194452821</v>
      </c>
      <c r="Z27" s="31" t="n">
        <v>-6.470036525061459</v>
      </c>
      <c r="AA27" s="31" t="n">
        <v>-3.536495199187407</v>
      </c>
      <c r="AB27" s="31" t="n">
        <v>13.70555476197131</v>
      </c>
      <c r="AC27" s="31" t="n">
        <v>-0.793832277327677</v>
      </c>
      <c r="AD27" s="31" t="n">
        <v>-2.787017173778496</v>
      </c>
      <c r="AE27" s="31" t="n">
        <v>58.46372380624236</v>
      </c>
      <c r="AF27" s="31" t="n">
        <v>-3.809448265977374</v>
      </c>
      <c r="AG27" s="31" t="n">
        <v>-4.432001487276914</v>
      </c>
      <c r="AH27" s="31" t="n">
        <v>-7.87510244624365</v>
      </c>
      <c r="AI27" s="31" t="n">
        <v>2.575835955525937</v>
      </c>
      <c r="AJ27" s="31" t="n">
        <v>35.5535906566266</v>
      </c>
      <c r="AK27" s="31" t="n">
        <v>0.6111588849414117</v>
      </c>
      <c r="AL27" s="31" t="n">
        <v>32.554796620812</v>
      </c>
      <c r="AM27" s="31" t="n">
        <v>3.997606600707289</v>
      </c>
      <c r="AN27" s="31" t="n">
        <v>94.21988035146353</v>
      </c>
      <c r="AO27" s="31" t="n">
        <v>165.749594109958</v>
      </c>
      <c r="AP27" s="31" t="n">
        <v>50.43100887158817</v>
      </c>
      <c r="AQ27" s="31" t="n">
        <v>1.088500751020182</v>
      </c>
      <c r="AR27" s="31" t="n">
        <v>430.1561023215954</v>
      </c>
      <c r="AS27" s="31" t="n">
        <v>270.8470352727148</v>
      </c>
      <c r="AT27" s="31" t="n">
        <v>12.87183648703572</v>
      </c>
      <c r="AU27" s="31" t="n">
        <v>142.4110257264623</v>
      </c>
      <c r="AV27" s="31" t="n">
        <v>143.5901090747278</v>
      </c>
      <c r="AW27" s="31" t="n">
        <v>102.170809034283</v>
      </c>
      <c r="AX27" s="31" t="n">
        <v>230.7545566035284</v>
      </c>
      <c r="AY27" s="31" t="n">
        <v>-1.514647223015944</v>
      </c>
      <c r="AZ27" s="31" t="n">
        <v>145.1298891133056</v>
      </c>
      <c r="BA27" s="31" t="n">
        <v>21.90384065915446</v>
      </c>
      <c r="BB27" s="31" t="n">
        <v>-2.00408531458819</v>
      </c>
      <c r="BC27" s="31" t="n">
        <v>531.4798904033559</v>
      </c>
      <c r="BD27" s="31" t="n">
        <v>40.71995879290108</v>
      </c>
      <c r="BE27" s="31" t="n">
        <v>8.072792611213853</v>
      </c>
      <c r="BF27" s="31" t="n">
        <v>214.9290021498691</v>
      </c>
      <c r="BG27" s="31" t="n">
        <v>57.62248151242908</v>
      </c>
      <c r="BH27" s="31" t="n">
        <v>3.861214663254956</v>
      </c>
      <c r="BI27" s="31" t="n">
        <v>180.4595535677267</v>
      </c>
      <c r="BJ27" s="31" t="n">
        <v>262.7215425195689</v>
      </c>
      <c r="BK27" s="31" t="n">
        <v>843.9823553694305</v>
      </c>
      <c r="BL27" s="31" t="n">
        <v>698.3689898678016</v>
      </c>
      <c r="BM27" s="31" t="n">
        <v>0.2810772999141742</v>
      </c>
      <c r="BN27" s="31" t="n">
        <v>131.5567817655962</v>
      </c>
      <c r="BO27" s="31" t="n">
        <v>127.1563887205704</v>
      </c>
      <c r="BP27" s="31" t="n">
        <v>140.9871005229441</v>
      </c>
      <c r="BQ27" s="31" t="n">
        <v>1168.811636078962</v>
      </c>
      <c r="BR27" s="31" t="n">
        <v>0</v>
      </c>
      <c r="BS27" s="31">
        <f>SUM(C27:BR27)</f>
        <v/>
      </c>
      <c r="BT27" s="31" t="n">
        <v>0</v>
      </c>
      <c r="BU27" s="31" t="n">
        <v>0</v>
      </c>
      <c r="BV27" s="31" t="n">
        <v>0</v>
      </c>
      <c r="BW27" s="31" t="n">
        <v>0</v>
      </c>
      <c r="BX27" s="31">
        <f>SUM(BT27:BW27)</f>
        <v/>
      </c>
      <c r="BY27" s="31">
        <f>BS27+BX27</f>
        <v/>
      </c>
    </row>
    <row r="28">
      <c r="A28" s="28" t="inlineStr">
        <is>
          <t>1500</t>
        </is>
      </c>
      <c r="B28" s="28" t="inlineStr">
        <is>
          <t>Fabricação de calçados e de artefatos de couro</t>
        </is>
      </c>
      <c r="C28" s="29" t="n">
        <v>3.093505964070757</v>
      </c>
      <c r="D28" s="29" t="n">
        <v>2.074217422072812</v>
      </c>
      <c r="E28" s="29" t="n">
        <v>0.08219917227235507</v>
      </c>
      <c r="F28" s="29" t="n">
        <v>1.032946337684179</v>
      </c>
      <c r="G28" s="29" t="n">
        <v>6.867591425498178</v>
      </c>
      <c r="H28" s="29" t="n">
        <v>1.061835375499552</v>
      </c>
      <c r="I28" s="29" t="n">
        <v>0.006424574439508177</v>
      </c>
      <c r="J28" s="29" t="n">
        <v>-19.28059655654087</v>
      </c>
      <c r="K28" s="29" t="n">
        <v>-1.367016195512585</v>
      </c>
      <c r="L28" s="29" t="n">
        <v>-1.032905642138306</v>
      </c>
      <c r="M28" s="29" t="n">
        <v>1.31378627972855</v>
      </c>
      <c r="N28" s="29" t="n">
        <v>0.104858717995463</v>
      </c>
      <c r="O28" s="29" t="n">
        <v>6.401847730846569</v>
      </c>
      <c r="P28" s="29" t="n">
        <v>5.30576248091684</v>
      </c>
      <c r="Q28" s="29" t="n">
        <v>5665.798118895546</v>
      </c>
      <c r="R28" s="29" t="n">
        <v>-0.9496602253545593</v>
      </c>
      <c r="S28" s="29" t="n">
        <v>82.98131049480999</v>
      </c>
      <c r="T28" s="29" t="n">
        <v>0.5829837532161775</v>
      </c>
      <c r="U28" s="29" t="n">
        <v>-1.911128141430194</v>
      </c>
      <c r="V28" s="29" t="n">
        <v>-2.069171067904993</v>
      </c>
      <c r="W28" s="29" t="n">
        <v>-1.920194458365814</v>
      </c>
      <c r="X28" s="29" t="n">
        <v>-0.3946807611613342</v>
      </c>
      <c r="Y28" s="29" t="n">
        <v>2.959838008085225</v>
      </c>
      <c r="Z28" s="29" t="n">
        <v>-4.069749378785303</v>
      </c>
      <c r="AA28" s="29" t="n">
        <v>11.83345799946252</v>
      </c>
      <c r="AB28" s="29" t="n">
        <v>-2.232984453956</v>
      </c>
      <c r="AC28" s="29" t="n">
        <v>-5.002095790720139</v>
      </c>
      <c r="AD28" s="29" t="n">
        <v>-1.629367481241478</v>
      </c>
      <c r="AE28" s="29" t="n">
        <v>32.24371093194457</v>
      </c>
      <c r="AF28" s="29" t="n">
        <v>-1.87916984008292</v>
      </c>
      <c r="AG28" s="29" t="n">
        <v>-1.546440389728905</v>
      </c>
      <c r="AH28" s="29" t="n">
        <v>-8.22598496973885</v>
      </c>
      <c r="AI28" s="29" t="n">
        <v>49.01510355082919</v>
      </c>
      <c r="AJ28" s="29" t="n">
        <v>19.3077445337049</v>
      </c>
      <c r="AK28" s="29" t="n">
        <v>0.2178655114659029</v>
      </c>
      <c r="AL28" s="29" t="n">
        <v>44.787704912374</v>
      </c>
      <c r="AM28" s="29" t="n">
        <v>1.679427805390989</v>
      </c>
      <c r="AN28" s="29" t="n">
        <v>89.87244757177935</v>
      </c>
      <c r="AO28" s="29" t="n">
        <v>0.9995658930600561</v>
      </c>
      <c r="AP28" s="29" t="n">
        <v>34.37659991652384</v>
      </c>
      <c r="AQ28" s="29" t="n">
        <v>20.54754941923824</v>
      </c>
      <c r="AR28" s="29" t="n">
        <v>-12.71480573814754</v>
      </c>
      <c r="AS28" s="29" t="n">
        <v>17.63663520799057</v>
      </c>
      <c r="AT28" s="29" t="n">
        <v>0.1848154842952308</v>
      </c>
      <c r="AU28" s="29" t="n">
        <v>0.6957952292994704</v>
      </c>
      <c r="AV28" s="29" t="n">
        <v>0.6485365902394877</v>
      </c>
      <c r="AW28" s="29" t="n">
        <v>1.398720373057714</v>
      </c>
      <c r="AX28" s="29" t="n">
        <v>7.715834951839592</v>
      </c>
      <c r="AY28" s="29" t="n">
        <v>-0.6884220517757735</v>
      </c>
      <c r="AZ28" s="29" t="n">
        <v>23.26412734916399</v>
      </c>
      <c r="BA28" s="29" t="n">
        <v>-7.942361911561878</v>
      </c>
      <c r="BB28" s="29" t="n">
        <v>3.700643118123336</v>
      </c>
      <c r="BC28" s="29" t="n">
        <v>1.79678765893608</v>
      </c>
      <c r="BD28" s="29" t="n">
        <v>0.4051494256584838</v>
      </c>
      <c r="BE28" s="29" t="n">
        <v>-0.625450975076344</v>
      </c>
      <c r="BF28" s="29" t="n">
        <v>0.8227683256228654</v>
      </c>
      <c r="BG28" s="29" t="n">
        <v>0.7954428559937009</v>
      </c>
      <c r="BH28" s="29" t="n">
        <v>0.8813917060007662</v>
      </c>
      <c r="BI28" s="29" t="n">
        <v>4.721604834672576</v>
      </c>
      <c r="BJ28" s="29" t="n">
        <v>71.205506082675</v>
      </c>
      <c r="BK28" s="29" t="n">
        <v>22.57397552943649</v>
      </c>
      <c r="BL28" s="29" t="n">
        <v>3.9477881537258</v>
      </c>
      <c r="BM28" s="29" t="n">
        <v>0.08807072436092821</v>
      </c>
      <c r="BN28" s="29" t="n">
        <v>5.085974251286005</v>
      </c>
      <c r="BO28" s="29" t="n">
        <v>10.99299563165051</v>
      </c>
      <c r="BP28" s="29" t="n">
        <v>0.5231642946685849</v>
      </c>
      <c r="BQ28" s="29" t="n">
        <v>4.967583405509979</v>
      </c>
      <c r="BR28" s="29" t="n">
        <v>0</v>
      </c>
      <c r="BS28" s="29">
        <f>SUM(C28:BR28)</f>
        <v/>
      </c>
      <c r="BT28" s="29" t="n">
        <v>0</v>
      </c>
      <c r="BU28" s="29" t="n">
        <v>0</v>
      </c>
      <c r="BV28" s="29" t="n">
        <v>0</v>
      </c>
      <c r="BW28" s="29" t="n">
        <v>0</v>
      </c>
      <c r="BX28" s="29">
        <f>SUM(BT28:BW28)</f>
        <v/>
      </c>
      <c r="BY28" s="29">
        <f>BS28+BX28</f>
        <v/>
      </c>
    </row>
    <row r="29">
      <c r="A29" s="30" t="inlineStr">
        <is>
          <t>1600</t>
        </is>
      </c>
      <c r="B29" s="30" t="inlineStr">
        <is>
          <t>Fabricação de produtos da madeira</t>
        </is>
      </c>
      <c r="C29" s="31" t="n">
        <v>227.5402357522169</v>
      </c>
      <c r="D29" s="31" t="n">
        <v>151.7975586532582</v>
      </c>
      <c r="E29" s="31" t="n">
        <v>9.906368924834105</v>
      </c>
      <c r="F29" s="31" t="n">
        <v>1.335662920353422</v>
      </c>
      <c r="G29" s="31" t="n">
        <v>3.693785152861169</v>
      </c>
      <c r="H29" s="31" t="n">
        <v>2.345054436295383</v>
      </c>
      <c r="I29" s="31" t="n">
        <v>0.2092454611903295</v>
      </c>
      <c r="J29" s="31" t="n">
        <v>-4.266624525206472</v>
      </c>
      <c r="K29" s="31" t="n">
        <v>-1.159508407465894</v>
      </c>
      <c r="L29" s="31" t="n">
        <v>102.5914288783936</v>
      </c>
      <c r="M29" s="31" t="n">
        <v>42.4757856428791</v>
      </c>
      <c r="N29" s="31" t="n">
        <v>-0.5500488396343767</v>
      </c>
      <c r="O29" s="31" t="n">
        <v>7.613246080493744</v>
      </c>
      <c r="P29" s="31" t="n">
        <v>-1.336579276622329</v>
      </c>
      <c r="Q29" s="31" t="n">
        <v>-1.790624451033817</v>
      </c>
      <c r="R29" s="31" t="n">
        <v>2151.145993458201</v>
      </c>
      <c r="S29" s="31" t="n">
        <v>265.9716549236687</v>
      </c>
      <c r="T29" s="31" t="n">
        <v>-0.02453024509041057</v>
      </c>
      <c r="U29" s="31" t="n">
        <v>-1.238654616199426</v>
      </c>
      <c r="V29" s="31" t="n">
        <v>-1.992389398003301</v>
      </c>
      <c r="W29" s="31" t="n">
        <v>5.067157831422664</v>
      </c>
      <c r="X29" s="31" t="n">
        <v>12.85260961789865</v>
      </c>
      <c r="Y29" s="31" t="n">
        <v>0.5647907862073948</v>
      </c>
      <c r="Z29" s="31" t="n">
        <v>-3.219034966297875</v>
      </c>
      <c r="AA29" s="31" t="n">
        <v>-2.305264217921554</v>
      </c>
      <c r="AB29" s="31" t="n">
        <v>12.21548632784271</v>
      </c>
      <c r="AC29" s="31" t="n">
        <v>2.786767352697031</v>
      </c>
      <c r="AD29" s="31" t="n">
        <v>-1.091178859465167</v>
      </c>
      <c r="AE29" s="31" t="n">
        <v>107.0750155521627</v>
      </c>
      <c r="AF29" s="31" t="n">
        <v>-1.171350273289364</v>
      </c>
      <c r="AG29" s="31" t="n">
        <v>0.2767691622382982</v>
      </c>
      <c r="AH29" s="31" t="n">
        <v>112.1133001431471</v>
      </c>
      <c r="AI29" s="31" t="n">
        <v>64.5900837056619</v>
      </c>
      <c r="AJ29" s="31" t="n">
        <v>27.17189583703933</v>
      </c>
      <c r="AK29" s="31" t="n">
        <v>33.11541217101758</v>
      </c>
      <c r="AL29" s="31" t="n">
        <v>2404.434686147636</v>
      </c>
      <c r="AM29" s="31" t="n">
        <v>3.866081357164658</v>
      </c>
      <c r="AN29" s="31" t="n">
        <v>90.51667807537348</v>
      </c>
      <c r="AO29" s="31" t="n">
        <v>2.231273520776212</v>
      </c>
      <c r="AP29" s="31" t="n">
        <v>1922.221558449316</v>
      </c>
      <c r="AQ29" s="31" t="n">
        <v>0.9570023620532998</v>
      </c>
      <c r="AR29" s="31" t="n">
        <v>927.9020911887615</v>
      </c>
      <c r="AS29" s="31" t="n">
        <v>0.2924392330837872</v>
      </c>
      <c r="AT29" s="31" t="n">
        <v>0.1125018054365542</v>
      </c>
      <c r="AU29" s="31" t="n">
        <v>0.01566574482523773</v>
      </c>
      <c r="AV29" s="31" t="n">
        <v>34.06655816499649</v>
      </c>
      <c r="AW29" s="31" t="n">
        <v>0.2262024795015985</v>
      </c>
      <c r="AX29" s="31" t="n">
        <v>1.781564527857784</v>
      </c>
      <c r="AY29" s="31" t="n">
        <v>-0.7123918156712338</v>
      </c>
      <c r="AZ29" s="31" t="n">
        <v>41.29070500031104</v>
      </c>
      <c r="BA29" s="31" t="n">
        <v>-5.646389267689469</v>
      </c>
      <c r="BB29" s="31" t="n">
        <v>-0.890065413704756</v>
      </c>
      <c r="BC29" s="31" t="n">
        <v>0.5694326768846394</v>
      </c>
      <c r="BD29" s="31" t="n">
        <v>120.5523319972699</v>
      </c>
      <c r="BE29" s="31" t="n">
        <v>0.002232605370327415</v>
      </c>
      <c r="BF29" s="31" t="n">
        <v>0.1473520067978642</v>
      </c>
      <c r="BG29" s="31" t="n">
        <v>-0.3507304849803695</v>
      </c>
      <c r="BH29" s="31" t="n">
        <v>0.3661107600758653</v>
      </c>
      <c r="BI29" s="31" t="n">
        <v>40.90939336707589</v>
      </c>
      <c r="BJ29" s="31" t="n">
        <v>-0.01809553192394302</v>
      </c>
      <c r="BK29" s="31" t="n">
        <v>26.91050818749612</v>
      </c>
      <c r="BL29" s="31" t="n">
        <v>8.160217686533352</v>
      </c>
      <c r="BM29" s="31" t="n">
        <v>0.7342939515399862</v>
      </c>
      <c r="BN29" s="31" t="n">
        <v>3.203651573049999</v>
      </c>
      <c r="BO29" s="31" t="n">
        <v>4.37462078158056</v>
      </c>
      <c r="BP29" s="31" t="n">
        <v>0.561835087858414</v>
      </c>
      <c r="BQ29" s="31" t="n">
        <v>93.94144422105609</v>
      </c>
      <c r="BR29" s="31" t="n">
        <v>0</v>
      </c>
      <c r="BS29" s="31">
        <f>SUM(C29:BR29)</f>
        <v/>
      </c>
      <c r="BT29" s="31" t="n">
        <v>0</v>
      </c>
      <c r="BU29" s="31" t="n">
        <v>0</v>
      </c>
      <c r="BV29" s="31" t="n">
        <v>0</v>
      </c>
      <c r="BW29" s="31" t="n">
        <v>0</v>
      </c>
      <c r="BX29" s="31">
        <f>SUM(BT29:BW29)</f>
        <v/>
      </c>
      <c r="BY29" s="31">
        <f>BS29+BX29</f>
        <v/>
      </c>
    </row>
    <row r="30">
      <c r="A30" s="28" t="inlineStr">
        <is>
          <t>1700</t>
        </is>
      </c>
      <c r="B30" s="28" t="inlineStr">
        <is>
          <t>Fabricação de celulose, papel e produtos de papel</t>
        </is>
      </c>
      <c r="C30" s="29" t="n">
        <v>337.4388876820356</v>
      </c>
      <c r="D30" s="29" t="n">
        <v>112.9592121915662</v>
      </c>
      <c r="E30" s="29" t="n">
        <v>12.59462312873985</v>
      </c>
      <c r="F30" s="29" t="n">
        <v>2.91090766248801</v>
      </c>
      <c r="G30" s="29" t="n">
        <v>134.904062614225</v>
      </c>
      <c r="H30" s="29" t="n">
        <v>252.9125047569073</v>
      </c>
      <c r="I30" s="29" t="n">
        <v>26.76167679871154</v>
      </c>
      <c r="J30" s="29" t="n">
        <v>2407.741007476422</v>
      </c>
      <c r="K30" s="29" t="n">
        <v>14.13546309801858</v>
      </c>
      <c r="L30" s="29" t="n">
        <v>2696.219661770964</v>
      </c>
      <c r="M30" s="29" t="n">
        <v>167.5044086739438</v>
      </c>
      <c r="N30" s="29" t="n">
        <v>533.6277551271169</v>
      </c>
      <c r="O30" s="29" t="n">
        <v>437.8807744180203</v>
      </c>
      <c r="P30" s="29" t="n">
        <v>216.3605481092427</v>
      </c>
      <c r="Q30" s="29" t="n">
        <v>372.4121865177561</v>
      </c>
      <c r="R30" s="29" t="n">
        <v>1150.582104577463</v>
      </c>
      <c r="S30" s="29" t="n">
        <v>8141.344190036676</v>
      </c>
      <c r="T30" s="29" t="n">
        <v>785.3088755416952</v>
      </c>
      <c r="U30" s="29" t="n">
        <v>109.465742888269</v>
      </c>
      <c r="V30" s="29" t="n">
        <v>59.89129482297005</v>
      </c>
      <c r="W30" s="29" t="n">
        <v>70.56208286764695</v>
      </c>
      <c r="X30" s="29" t="n">
        <v>142.1837727562792</v>
      </c>
      <c r="Y30" s="29" t="n">
        <v>1094.574825974922</v>
      </c>
      <c r="Z30" s="29" t="n">
        <v>658.0615444355221</v>
      </c>
      <c r="AA30" s="29" t="n">
        <v>1716.567910442218</v>
      </c>
      <c r="AB30" s="29" t="n">
        <v>1402.466282336764</v>
      </c>
      <c r="AC30" s="29" t="n">
        <v>17.82491923169701</v>
      </c>
      <c r="AD30" s="29" t="n">
        <v>11.73666323486006</v>
      </c>
      <c r="AE30" s="29" t="n">
        <v>945.226294520699</v>
      </c>
      <c r="AF30" s="29" t="n">
        <v>535.3159521983399</v>
      </c>
      <c r="AG30" s="29" t="n">
        <v>268.1397309588315</v>
      </c>
      <c r="AH30" s="29" t="n">
        <v>401.7182173460773</v>
      </c>
      <c r="AI30" s="29" t="n">
        <v>237.7846583014285</v>
      </c>
      <c r="AJ30" s="29" t="n">
        <v>475.8273851139019</v>
      </c>
      <c r="AK30" s="29" t="n">
        <v>35.22407735253916</v>
      </c>
      <c r="AL30" s="29" t="n">
        <v>688.6664292865426</v>
      </c>
      <c r="AM30" s="29" t="n">
        <v>144.3146430330289</v>
      </c>
      <c r="AN30" s="29" t="n">
        <v>22.14576371561282</v>
      </c>
      <c r="AO30" s="29" t="n">
        <v>33.00587369297019</v>
      </c>
      <c r="AP30" s="29" t="n">
        <v>270.6719703844166</v>
      </c>
      <c r="AQ30" s="29" t="n">
        <v>398.8446057064622</v>
      </c>
      <c r="AR30" s="29" t="n">
        <v>4049.063544339497</v>
      </c>
      <c r="AS30" s="29" t="n">
        <v>112.6566848881333</v>
      </c>
      <c r="AT30" s="29" t="n">
        <v>41.3234428710297</v>
      </c>
      <c r="AU30" s="29" t="n">
        <v>5.819785782360466</v>
      </c>
      <c r="AV30" s="29" t="n">
        <v>242.9936438119379</v>
      </c>
      <c r="AW30" s="29" t="n">
        <v>90.67465904146873</v>
      </c>
      <c r="AX30" s="29" t="n">
        <v>730.9380072083386</v>
      </c>
      <c r="AY30" s="29" t="n">
        <v>482.8149463163936</v>
      </c>
      <c r="AZ30" s="29" t="n">
        <v>77.53717727039127</v>
      </c>
      <c r="BA30" s="29" t="n">
        <v>20.39969361867767</v>
      </c>
      <c r="BB30" s="29" t="n">
        <v>582.7872822749903</v>
      </c>
      <c r="BC30" s="29" t="n">
        <v>856.4735981689402</v>
      </c>
      <c r="BD30" s="29" t="n">
        <v>175.4133738640994</v>
      </c>
      <c r="BE30" s="29" t="n">
        <v>961.9426558422706</v>
      </c>
      <c r="BF30" s="29" t="n">
        <v>266.3170205926626</v>
      </c>
      <c r="BG30" s="29" t="n">
        <v>472.2104292867531</v>
      </c>
      <c r="BH30" s="29" t="n">
        <v>343.3920477216791</v>
      </c>
      <c r="BI30" s="29" t="n">
        <v>1547.876395936486</v>
      </c>
      <c r="BJ30" s="29" t="n">
        <v>25.57597713347263</v>
      </c>
      <c r="BK30" s="29" t="n">
        <v>486.496034870919</v>
      </c>
      <c r="BL30" s="29" t="n">
        <v>379.1599679573405</v>
      </c>
      <c r="BM30" s="29" t="n">
        <v>322.7021659588557</v>
      </c>
      <c r="BN30" s="29" t="n">
        <v>145.9885806013582</v>
      </c>
      <c r="BO30" s="29" t="n">
        <v>473.3369543433366</v>
      </c>
      <c r="BP30" s="29" t="n">
        <v>20.65246202633027</v>
      </c>
      <c r="BQ30" s="29" t="n">
        <v>358.0164661742043</v>
      </c>
      <c r="BR30" s="29" t="n">
        <v>0</v>
      </c>
      <c r="BS30" s="29">
        <f>SUM(C30:BR30)</f>
        <v/>
      </c>
      <c r="BT30" s="29" t="n">
        <v>0</v>
      </c>
      <c r="BU30" s="29" t="n">
        <v>0</v>
      </c>
      <c r="BV30" s="29" t="n">
        <v>0</v>
      </c>
      <c r="BW30" s="29" t="n">
        <v>0</v>
      </c>
      <c r="BX30" s="29">
        <f>SUM(BT30:BW30)</f>
        <v/>
      </c>
      <c r="BY30" s="29">
        <f>BS30+BX30</f>
        <v/>
      </c>
    </row>
    <row r="31">
      <c r="A31" s="30" t="inlineStr">
        <is>
          <t>1800</t>
        </is>
      </c>
      <c r="B31" s="30" t="inlineStr">
        <is>
          <t>Impressão e reprodução de gravações</t>
        </is>
      </c>
      <c r="C31" s="31" t="n">
        <v>10.28558132123221</v>
      </c>
      <c r="D31" s="31" t="n">
        <v>1.023383502549434</v>
      </c>
      <c r="E31" s="31" t="n">
        <v>2.014018075078888</v>
      </c>
      <c r="F31" s="31" t="n">
        <v>0.5625906370815023</v>
      </c>
      <c r="G31" s="31" t="n">
        <v>14.76794246217223</v>
      </c>
      <c r="H31" s="31" t="n">
        <v>28.20248986288155</v>
      </c>
      <c r="I31" s="31" t="n">
        <v>4.016965907605329</v>
      </c>
      <c r="J31" s="31" t="n">
        <v>25.4811765077855</v>
      </c>
      <c r="K31" s="31" t="n">
        <v>15.97650283259284</v>
      </c>
      <c r="L31" s="31" t="n">
        <v>60.66269045526132</v>
      </c>
      <c r="M31" s="31" t="n">
        <v>209.9758557710054</v>
      </c>
      <c r="N31" s="31" t="n">
        <v>1.647288327532539</v>
      </c>
      <c r="O31" s="31" t="n">
        <v>8.750803489027481</v>
      </c>
      <c r="P31" s="31" t="n">
        <v>14.02735567675394</v>
      </c>
      <c r="Q31" s="31" t="n">
        <v>2.680931716970458</v>
      </c>
      <c r="R31" s="31" t="n">
        <v>28.53374888510711</v>
      </c>
      <c r="S31" s="31" t="n">
        <v>167.7706502103954</v>
      </c>
      <c r="T31" s="31" t="n">
        <v>764.7658861614414</v>
      </c>
      <c r="U31" s="31" t="n">
        <v>1.030085079829376</v>
      </c>
      <c r="V31" s="31" t="n">
        <v>7.210831486382895</v>
      </c>
      <c r="W31" s="31" t="n">
        <v>-1.767285310753662</v>
      </c>
      <c r="X31" s="31" t="n">
        <v>14.25046076702285</v>
      </c>
      <c r="Y31" s="31" t="n">
        <v>7.477268833893534</v>
      </c>
      <c r="Z31" s="31" t="n">
        <v>5.205003832406408</v>
      </c>
      <c r="AA31" s="31" t="n">
        <v>43.81322846272728</v>
      </c>
      <c r="AB31" s="31" t="n">
        <v>13.49037351370633</v>
      </c>
      <c r="AC31" s="31" t="n">
        <v>5.860181229933318</v>
      </c>
      <c r="AD31" s="31" t="n">
        <v>-1.491616090175807</v>
      </c>
      <c r="AE31" s="31" t="n">
        <v>16.1259219828787</v>
      </c>
      <c r="AF31" s="31" t="n">
        <v>121.0519072782551</v>
      </c>
      <c r="AG31" s="31" t="n">
        <v>4.932747692485709</v>
      </c>
      <c r="AH31" s="31" t="n">
        <v>19.2534757481126</v>
      </c>
      <c r="AI31" s="31" t="n">
        <v>21.13339130641087</v>
      </c>
      <c r="AJ31" s="31" t="n">
        <v>19.84489292846737</v>
      </c>
      <c r="AK31" s="31" t="n">
        <v>2.969470685868305</v>
      </c>
      <c r="AL31" s="31" t="n">
        <v>29.69500672077387</v>
      </c>
      <c r="AM31" s="31" t="n">
        <v>9.832251026091273</v>
      </c>
      <c r="AN31" s="31" t="n">
        <v>15.1301462278652</v>
      </c>
      <c r="AO31" s="31" t="n">
        <v>9.175491725474609</v>
      </c>
      <c r="AP31" s="31" t="n">
        <v>74.62810398456406</v>
      </c>
      <c r="AQ31" s="31" t="n">
        <v>68.09684033547704</v>
      </c>
      <c r="AR31" s="31" t="n">
        <v>5651.050116027997</v>
      </c>
      <c r="AS31" s="31" t="n">
        <v>30.5452204003644</v>
      </c>
      <c r="AT31" s="31" t="n">
        <v>1.768682639650303</v>
      </c>
      <c r="AU31" s="31" t="n">
        <v>18.40198163603674</v>
      </c>
      <c r="AV31" s="31" t="n">
        <v>42.45976116142796</v>
      </c>
      <c r="AW31" s="31" t="n">
        <v>2.193577561816315</v>
      </c>
      <c r="AX31" s="31" t="n">
        <v>40.66687947269185</v>
      </c>
      <c r="AY31" s="31" t="n">
        <v>799.12339217188</v>
      </c>
      <c r="AZ31" s="31" t="n">
        <v>129.6845429518398</v>
      </c>
      <c r="BA31" s="31" t="n">
        <v>373.4947132830335</v>
      </c>
      <c r="BB31" s="31" t="n">
        <v>484.5137186684079</v>
      </c>
      <c r="BC31" s="31" t="n">
        <v>1087.666147163708</v>
      </c>
      <c r="BD31" s="31" t="n">
        <v>228.5290559702903</v>
      </c>
      <c r="BE31" s="31" t="n">
        <v>410.2452735954019</v>
      </c>
      <c r="BF31" s="31" t="n">
        <v>199.5642050898161</v>
      </c>
      <c r="BG31" s="31" t="n">
        <v>3110.851773154759</v>
      </c>
      <c r="BH31" s="31" t="n">
        <v>50.36236661083868</v>
      </c>
      <c r="BI31" s="31" t="n">
        <v>1139.009049448405</v>
      </c>
      <c r="BJ31" s="31" t="n">
        <v>0.9700968682005203</v>
      </c>
      <c r="BK31" s="31" t="n">
        <v>907.6133850910013</v>
      </c>
      <c r="BL31" s="31" t="n">
        <v>192.38388315277</v>
      </c>
      <c r="BM31" s="31" t="n">
        <v>9.074669434011497</v>
      </c>
      <c r="BN31" s="31" t="n">
        <v>123.0532782078236</v>
      </c>
      <c r="BO31" s="31" t="n">
        <v>114.3480619645902</v>
      </c>
      <c r="BP31" s="31" t="n">
        <v>233.0421843116707</v>
      </c>
      <c r="BQ31" s="31" t="n">
        <v>247.1831025623872</v>
      </c>
      <c r="BR31" s="31" t="n">
        <v>0</v>
      </c>
      <c r="BS31" s="31">
        <f>SUM(C31:BR31)</f>
        <v/>
      </c>
      <c r="BT31" s="31" t="n">
        <v>0</v>
      </c>
      <c r="BU31" s="31" t="n">
        <v>0</v>
      </c>
      <c r="BV31" s="31" t="n">
        <v>0</v>
      </c>
      <c r="BW31" s="31" t="n">
        <v>0</v>
      </c>
      <c r="BX31" s="31">
        <f>SUM(BT31:BW31)</f>
        <v/>
      </c>
      <c r="BY31" s="31">
        <f>BS31+BX31</f>
        <v/>
      </c>
    </row>
    <row r="32">
      <c r="A32" s="28" t="inlineStr">
        <is>
          <t>1991</t>
        </is>
      </c>
      <c r="B32" s="28" t="inlineStr">
        <is>
          <t>Refino de petróleo e coquerias</t>
        </is>
      </c>
      <c r="C32" s="29" t="n">
        <v>5230.738363200289</v>
      </c>
      <c r="D32" s="29" t="n">
        <v>2534.636551094192</v>
      </c>
      <c r="E32" s="29" t="n">
        <v>293.2242176458029</v>
      </c>
      <c r="F32" s="29" t="n">
        <v>397.7431262067524</v>
      </c>
      <c r="G32" s="29" t="n">
        <v>2885.656610485574</v>
      </c>
      <c r="H32" s="29" t="n">
        <v>3079.989973098099</v>
      </c>
      <c r="I32" s="29" t="n">
        <v>408.3189210359412</v>
      </c>
      <c r="J32" s="29" t="n">
        <v>1276.2822562619</v>
      </c>
      <c r="K32" s="29" t="n">
        <v>498.1849380396334</v>
      </c>
      <c r="L32" s="29" t="n">
        <v>1532.836292886163</v>
      </c>
      <c r="M32" s="29" t="n">
        <v>300.2411825556474</v>
      </c>
      <c r="N32" s="29" t="n">
        <v>9.915285005987332</v>
      </c>
      <c r="O32" s="29" t="n">
        <v>119.9250337389807</v>
      </c>
      <c r="P32" s="29" t="n">
        <v>27.96926677050628</v>
      </c>
      <c r="Q32" s="29" t="n">
        <v>88.74670242921134</v>
      </c>
      <c r="R32" s="29" t="n">
        <v>190.9365002804257</v>
      </c>
      <c r="S32" s="29" t="n">
        <v>1098.195212832345</v>
      </c>
      <c r="T32" s="29" t="n">
        <v>8.863136525959955</v>
      </c>
      <c r="U32" s="29" t="n">
        <v>111025.7581776138</v>
      </c>
      <c r="V32" s="29" t="n">
        <v>509.5736916560103</v>
      </c>
      <c r="W32" s="29" t="n">
        <v>18980.80124003822</v>
      </c>
      <c r="X32" s="29" t="n">
        <v>818.7206285494218</v>
      </c>
      <c r="Y32" s="29" t="n">
        <v>281.9744603429129</v>
      </c>
      <c r="Z32" s="29" t="n">
        <v>66.02884917475708</v>
      </c>
      <c r="AA32" s="29" t="n">
        <v>1346.84688099514</v>
      </c>
      <c r="AB32" s="29" t="n">
        <v>2527.472751990587</v>
      </c>
      <c r="AC32" s="29" t="n">
        <v>2266.241218994492</v>
      </c>
      <c r="AD32" s="29" t="n">
        <v>803.5004992913356</v>
      </c>
      <c r="AE32" s="29" t="n">
        <v>217.7097251763485</v>
      </c>
      <c r="AF32" s="29" t="n">
        <v>52.36775795292747</v>
      </c>
      <c r="AG32" s="29" t="n">
        <v>537.7219048190036</v>
      </c>
      <c r="AH32" s="29" t="n">
        <v>273.09826528501</v>
      </c>
      <c r="AI32" s="29" t="n">
        <v>258.871698166164</v>
      </c>
      <c r="AJ32" s="29" t="n">
        <v>243.905032657822</v>
      </c>
      <c r="AK32" s="29" t="n">
        <v>32.02665651261653</v>
      </c>
      <c r="AL32" s="29" t="n">
        <v>130.9647314544883</v>
      </c>
      <c r="AM32" s="29" t="n">
        <v>206.4595135442604</v>
      </c>
      <c r="AN32" s="29" t="n">
        <v>1395.484084081792</v>
      </c>
      <c r="AO32" s="29" t="n">
        <v>461.310892636245</v>
      </c>
      <c r="AP32" s="29" t="n">
        <v>2914.118178634218</v>
      </c>
      <c r="AQ32" s="29" t="n">
        <v>640.4784290652717</v>
      </c>
      <c r="AR32" s="29" t="n">
        <v>8088.799410728926</v>
      </c>
      <c r="AS32" s="29" t="n">
        <v>22719.03637353539</v>
      </c>
      <c r="AT32" s="29" t="n">
        <v>613.8929156225764</v>
      </c>
      <c r="AU32" s="29" t="n">
        <v>7244.988483884882</v>
      </c>
      <c r="AV32" s="29" t="n">
        <v>723.4094218113245</v>
      </c>
      <c r="AW32" s="29" t="n">
        <v>46.996247718539</v>
      </c>
      <c r="AX32" s="29" t="n">
        <v>1599.24012158102</v>
      </c>
      <c r="AY32" s="29" t="n">
        <v>13.28036773340612</v>
      </c>
      <c r="AZ32" s="29" t="n">
        <v>38.50579454542263</v>
      </c>
      <c r="BA32" s="29" t="n">
        <v>59.62296632575756</v>
      </c>
      <c r="BB32" s="29" t="n">
        <v>168.9040092986969</v>
      </c>
      <c r="BC32" s="29" t="n">
        <v>464.4239393415415</v>
      </c>
      <c r="BD32" s="29" t="n">
        <v>64.9298099228196</v>
      </c>
      <c r="BE32" s="29" t="n">
        <v>520.7340376214083</v>
      </c>
      <c r="BF32" s="29" t="n">
        <v>383.9933315495704</v>
      </c>
      <c r="BG32" s="29" t="n">
        <v>126.8891625719393</v>
      </c>
      <c r="BH32" s="29" t="n">
        <v>558.0975664746253</v>
      </c>
      <c r="BI32" s="29" t="n">
        <v>407.2420206240483</v>
      </c>
      <c r="BJ32" s="29" t="n">
        <v>172.9695297704849</v>
      </c>
      <c r="BK32" s="29" t="n">
        <v>1778.61167135789</v>
      </c>
      <c r="BL32" s="29" t="n">
        <v>200.1472116845478</v>
      </c>
      <c r="BM32" s="29" t="n">
        <v>57.53524798493382</v>
      </c>
      <c r="BN32" s="29" t="n">
        <v>100.8983123265563</v>
      </c>
      <c r="BO32" s="29" t="n">
        <v>193.2761438557592</v>
      </c>
      <c r="BP32" s="29" t="n">
        <v>69.38422785999525</v>
      </c>
      <c r="BQ32" s="29" t="n">
        <v>443.1229893410562</v>
      </c>
      <c r="BR32" s="29" t="n">
        <v>0</v>
      </c>
      <c r="BS32" s="29">
        <f>SUM(C32:BR32)</f>
        <v/>
      </c>
      <c r="BT32" s="29" t="n">
        <v>0</v>
      </c>
      <c r="BU32" s="29" t="n">
        <v>0</v>
      </c>
      <c r="BV32" s="29" t="n">
        <v>0</v>
      </c>
      <c r="BW32" s="29" t="n">
        <v>0</v>
      </c>
      <c r="BX32" s="29">
        <f>SUM(BT32:BW32)</f>
        <v/>
      </c>
      <c r="BY32" s="29">
        <f>BS32+BX32</f>
        <v/>
      </c>
    </row>
    <row r="33">
      <c r="A33" s="30" t="inlineStr">
        <is>
          <t>1992</t>
        </is>
      </c>
      <c r="B33" s="30" t="inlineStr">
        <is>
          <t>Fabricação de biocombustíveis</t>
        </is>
      </c>
      <c r="C33" s="31" t="n">
        <v>50.9326786898362</v>
      </c>
      <c r="D33" s="31" t="n">
        <v>86.04346964455934</v>
      </c>
      <c r="E33" s="31" t="n">
        <v>2.029720996226225</v>
      </c>
      <c r="F33" s="31" t="n">
        <v>1.527274110261323</v>
      </c>
      <c r="G33" s="31" t="n">
        <v>284.8550154059349</v>
      </c>
      <c r="H33" s="31" t="n">
        <v>9.245780569395023</v>
      </c>
      <c r="I33" s="31" t="n">
        <v>1.496947744282307</v>
      </c>
      <c r="J33" s="31" t="n">
        <v>213.981019279616</v>
      </c>
      <c r="K33" s="31" t="n">
        <v>136.7449794680167</v>
      </c>
      <c r="L33" s="31" t="n">
        <v>583.6525288383159</v>
      </c>
      <c r="M33" s="31" t="n">
        <v>100.8796220730599</v>
      </c>
      <c r="N33" s="31" t="n">
        <v>-1.262619014089727</v>
      </c>
      <c r="O33" s="31" t="n">
        <v>-1.661560773664152</v>
      </c>
      <c r="P33" s="31" t="n">
        <v>-3.508456744130462</v>
      </c>
      <c r="Q33" s="31" t="n">
        <v>-3.613782222025015</v>
      </c>
      <c r="R33" s="31" t="n">
        <v>29.08092481599031</v>
      </c>
      <c r="S33" s="31" t="n">
        <v>0.2785700683234049</v>
      </c>
      <c r="T33" s="31" t="n">
        <v>-0.2378148076759345</v>
      </c>
      <c r="U33" s="31" t="n">
        <v>10307.47007222824</v>
      </c>
      <c r="V33" s="31" t="n">
        <v>464.9738036892258</v>
      </c>
      <c r="W33" s="31" t="n">
        <v>185.6223266346913</v>
      </c>
      <c r="X33" s="31" t="n">
        <v>167.6561256926405</v>
      </c>
      <c r="Y33" s="31" t="n">
        <v>686.5816765409485</v>
      </c>
      <c r="Z33" s="31" t="n">
        <v>301.8501120550568</v>
      </c>
      <c r="AA33" s="31" t="n">
        <v>-6.411719132928703</v>
      </c>
      <c r="AB33" s="31" t="n">
        <v>-5.980849361401855</v>
      </c>
      <c r="AC33" s="31" t="n">
        <v>-7.217677412454022</v>
      </c>
      <c r="AD33" s="31" t="n">
        <v>-1.697259950338157</v>
      </c>
      <c r="AE33" s="31" t="n">
        <v>12.48881818818317</v>
      </c>
      <c r="AF33" s="31" t="n">
        <v>-3.930057962787892</v>
      </c>
      <c r="AG33" s="31" t="n">
        <v>-4.298140574219777</v>
      </c>
      <c r="AH33" s="31" t="n">
        <v>4.086095974324724</v>
      </c>
      <c r="AI33" s="31" t="n">
        <v>6.292862762012741</v>
      </c>
      <c r="AJ33" s="31" t="n">
        <v>0.8553172574651776</v>
      </c>
      <c r="AK33" s="31" t="n">
        <v>-0.008786481007822892</v>
      </c>
      <c r="AL33" s="31" t="n">
        <v>-2.192134776038233</v>
      </c>
      <c r="AM33" s="31" t="n">
        <v>10.46965776191226</v>
      </c>
      <c r="AN33" s="31" t="n">
        <v>3.920642404185424</v>
      </c>
      <c r="AO33" s="31" t="n">
        <v>21.02529306932002</v>
      </c>
      <c r="AP33" s="31" t="n">
        <v>206.0563206096536</v>
      </c>
      <c r="AQ33" s="31" t="n">
        <v>201.6603564098611</v>
      </c>
      <c r="AR33" s="31" t="n">
        <v>342.6571032837513</v>
      </c>
      <c r="AS33" s="31" t="n">
        <v>378.0978173969102</v>
      </c>
      <c r="AT33" s="31" t="n">
        <v>5.34182464539739</v>
      </c>
      <c r="AU33" s="31" t="n">
        <v>13.35038643018516</v>
      </c>
      <c r="AV33" s="31" t="n">
        <v>34.87910281634915</v>
      </c>
      <c r="AW33" s="31" t="n">
        <v>8.871298818508906</v>
      </c>
      <c r="AX33" s="31" t="n">
        <v>180.0440998473261</v>
      </c>
      <c r="AY33" s="31" t="n">
        <v>1.70057726768611</v>
      </c>
      <c r="AZ33" s="31" t="n">
        <v>4.17428690758512</v>
      </c>
      <c r="BA33" s="31" t="n">
        <v>2.05266548916561</v>
      </c>
      <c r="BB33" s="31" t="n">
        <v>35.73860426868183</v>
      </c>
      <c r="BC33" s="31" t="n">
        <v>61.05203590765674</v>
      </c>
      <c r="BD33" s="31" t="n">
        <v>12.51287280427698</v>
      </c>
      <c r="BE33" s="31" t="n">
        <v>70.66957568939681</v>
      </c>
      <c r="BF33" s="31" t="n">
        <v>87.70904889339643</v>
      </c>
      <c r="BG33" s="31" t="n">
        <v>33.69574790725802</v>
      </c>
      <c r="BH33" s="31" t="n">
        <v>87.30904688682085</v>
      </c>
      <c r="BI33" s="31" t="n">
        <v>107.9126087783696</v>
      </c>
      <c r="BJ33" s="31" t="n">
        <v>41.28870520672053</v>
      </c>
      <c r="BK33" s="31" t="n">
        <v>239.138767903172</v>
      </c>
      <c r="BL33" s="31" t="n">
        <v>32.1610065037264</v>
      </c>
      <c r="BM33" s="31" t="n">
        <v>4.835542036004991</v>
      </c>
      <c r="BN33" s="31" t="n">
        <v>22.84619979930237</v>
      </c>
      <c r="BO33" s="31" t="n">
        <v>50.5784288987127</v>
      </c>
      <c r="BP33" s="31" t="n">
        <v>14.53668387368286</v>
      </c>
      <c r="BQ33" s="31" t="n">
        <v>100.6564554506119</v>
      </c>
      <c r="BR33" s="31" t="n">
        <v>0</v>
      </c>
      <c r="BS33" s="31">
        <f>SUM(C33:BR33)</f>
        <v/>
      </c>
      <c r="BT33" s="31" t="n">
        <v>0</v>
      </c>
      <c r="BU33" s="31" t="n">
        <v>0</v>
      </c>
      <c r="BV33" s="31" t="n">
        <v>0</v>
      </c>
      <c r="BW33" s="31" t="n">
        <v>0</v>
      </c>
      <c r="BX33" s="31">
        <f>SUM(BT33:BW33)</f>
        <v/>
      </c>
      <c r="BY33" s="31">
        <f>BS33+BX33</f>
        <v/>
      </c>
    </row>
    <row r="34">
      <c r="A34" s="28" t="inlineStr">
        <is>
          <t>2091</t>
        </is>
      </c>
      <c r="B34" s="28" t="inlineStr">
        <is>
          <t>Fabricação de químicos orgânicos e inorgânicos, resinas e elastômeros</t>
        </is>
      </c>
      <c r="C34" s="29" t="n">
        <v>52643.13441712224</v>
      </c>
      <c r="D34" s="29" t="n">
        <v>6710.785470158784</v>
      </c>
      <c r="E34" s="29" t="n">
        <v>399.7079970122603</v>
      </c>
      <c r="F34" s="29" t="n">
        <v>299.0450877423867</v>
      </c>
      <c r="G34" s="29" t="n">
        <v>6264.821367011919</v>
      </c>
      <c r="H34" s="29" t="n">
        <v>942.1559271008805</v>
      </c>
      <c r="I34" s="29" t="n">
        <v>259.049308072307</v>
      </c>
      <c r="J34" s="29" t="n">
        <v>436.4195745499096</v>
      </c>
      <c r="K34" s="29" t="n">
        <v>461.1038250825537</v>
      </c>
      <c r="L34" s="29" t="n">
        <v>1567.725339674451</v>
      </c>
      <c r="M34" s="29" t="n">
        <v>139.6450714896295</v>
      </c>
      <c r="N34" s="29" t="n">
        <v>25.35075038823195</v>
      </c>
      <c r="O34" s="29" t="n">
        <v>5682.764099016281</v>
      </c>
      <c r="P34" s="29" t="n">
        <v>219.4462935575316</v>
      </c>
      <c r="Q34" s="29" t="n">
        <v>1791.459547030209</v>
      </c>
      <c r="R34" s="29" t="n">
        <v>1651.8786797196</v>
      </c>
      <c r="S34" s="29" t="n">
        <v>10811.73686955362</v>
      </c>
      <c r="T34" s="29" t="n">
        <v>66.79597469723791</v>
      </c>
      <c r="U34" s="29" t="n">
        <v>1858.342451091305</v>
      </c>
      <c r="V34" s="29" t="n">
        <v>1801.339616192886</v>
      </c>
      <c r="W34" s="29" t="n">
        <v>90065.36835724386</v>
      </c>
      <c r="X34" s="29" t="n">
        <v>25047.96918645462</v>
      </c>
      <c r="Y34" s="29" t="n">
        <v>7154.506120335401</v>
      </c>
      <c r="Z34" s="29" t="n">
        <v>3007.507398947504</v>
      </c>
      <c r="AA34" s="29" t="n">
        <v>31178.61813237376</v>
      </c>
      <c r="AB34" s="29" t="n">
        <v>4878.343663032362</v>
      </c>
      <c r="AC34" s="29" t="n">
        <v>1767.032888868077</v>
      </c>
      <c r="AD34" s="29" t="n">
        <v>1982.568280523328</v>
      </c>
      <c r="AE34" s="29" t="n">
        <v>2359.751041253437</v>
      </c>
      <c r="AF34" s="29" t="n">
        <v>208.3496067658016</v>
      </c>
      <c r="AG34" s="29" t="n">
        <v>3808.527536315843</v>
      </c>
      <c r="AH34" s="29" t="n">
        <v>219.6735519418538</v>
      </c>
      <c r="AI34" s="29" t="n">
        <v>148.5550595013484</v>
      </c>
      <c r="AJ34" s="29" t="n">
        <v>1639.367732907192</v>
      </c>
      <c r="AK34" s="29" t="n">
        <v>345.7134720125888</v>
      </c>
      <c r="AL34" s="29" t="n">
        <v>2917.337285164982</v>
      </c>
      <c r="AM34" s="29" t="n">
        <v>260.5495443221528</v>
      </c>
      <c r="AN34" s="29" t="n">
        <v>214.3649419527358</v>
      </c>
      <c r="AO34" s="29" t="n">
        <v>1498.382295158893</v>
      </c>
      <c r="AP34" s="29" t="n">
        <v>253.5132896994836</v>
      </c>
      <c r="AQ34" s="29" t="n">
        <v>35.80448316573749</v>
      </c>
      <c r="AR34" s="29" t="n">
        <v>1129.618354468571</v>
      </c>
      <c r="AS34" s="29" t="n">
        <v>104.2222946662126</v>
      </c>
      <c r="AT34" s="29" t="n">
        <v>3.069729286522444</v>
      </c>
      <c r="AU34" s="29" t="n">
        <v>3.751793790753807</v>
      </c>
      <c r="AV34" s="29" t="n">
        <v>15.00515663407347</v>
      </c>
      <c r="AW34" s="29" t="n">
        <v>5.613871197942315</v>
      </c>
      <c r="AX34" s="29" t="n">
        <v>43.0287265147382</v>
      </c>
      <c r="AY34" s="29" t="n">
        <v>-5.230070806380934</v>
      </c>
      <c r="AZ34" s="29" t="n">
        <v>-6.422939070833043</v>
      </c>
      <c r="BA34" s="29" t="n">
        <v>-51.74738372365714</v>
      </c>
      <c r="BB34" s="29" t="n">
        <v>-8.911268926044228</v>
      </c>
      <c r="BC34" s="29" t="n">
        <v>7.011724621315603</v>
      </c>
      <c r="BD34" s="29" t="n">
        <v>19.33956547879881</v>
      </c>
      <c r="BE34" s="29" t="n">
        <v>9.454453590245265</v>
      </c>
      <c r="BF34" s="29" t="n">
        <v>47.52806821138497</v>
      </c>
      <c r="BG34" s="29" t="n">
        <v>21.26798931146443</v>
      </c>
      <c r="BH34" s="29" t="n">
        <v>17.4455495818039</v>
      </c>
      <c r="BI34" s="29" t="n">
        <v>165.6795420712525</v>
      </c>
      <c r="BJ34" s="29" t="n">
        <v>-0.4781047017080496</v>
      </c>
      <c r="BK34" s="29" t="n">
        <v>51.86971890223558</v>
      </c>
      <c r="BL34" s="29" t="n">
        <v>90.33204057751519</v>
      </c>
      <c r="BM34" s="29" t="n">
        <v>10.32915808955021</v>
      </c>
      <c r="BN34" s="29" t="n">
        <v>735.9247074737406</v>
      </c>
      <c r="BO34" s="29" t="n">
        <v>994.2966742740723</v>
      </c>
      <c r="BP34" s="29" t="n">
        <v>11.04367396367886</v>
      </c>
      <c r="BQ34" s="29" t="n">
        <v>578.1777421842729</v>
      </c>
      <c r="BR34" s="29" t="n">
        <v>0</v>
      </c>
      <c r="BS34" s="29">
        <f>SUM(C34:BR34)</f>
        <v/>
      </c>
      <c r="BT34" s="29" t="n">
        <v>0</v>
      </c>
      <c r="BU34" s="29" t="n">
        <v>0</v>
      </c>
      <c r="BV34" s="29" t="n">
        <v>0</v>
      </c>
      <c r="BW34" s="29" t="n">
        <v>0</v>
      </c>
      <c r="BX34" s="29">
        <f>SUM(BT34:BW34)</f>
        <v/>
      </c>
      <c r="BY34" s="29">
        <f>BS34+BX34</f>
        <v/>
      </c>
    </row>
    <row r="35">
      <c r="A35" s="30" t="inlineStr">
        <is>
          <t>2092</t>
        </is>
      </c>
      <c r="B35" s="30" t="inlineStr">
        <is>
          <t>Fabricação de defensivos, desinfestantes, tintas e químicos diversos</t>
        </is>
      </c>
      <c r="C35" s="31" t="n">
        <v>30847.32718795722</v>
      </c>
      <c r="D35" s="31" t="n">
        <v>3487.378263234915</v>
      </c>
      <c r="E35" s="31" t="n">
        <v>100.1216277395382</v>
      </c>
      <c r="F35" s="31" t="n">
        <v>1664.983086062668</v>
      </c>
      <c r="G35" s="31" t="n">
        <v>476.2717490436758</v>
      </c>
      <c r="H35" s="31" t="n">
        <v>481.6340825195186</v>
      </c>
      <c r="I35" s="31" t="n">
        <v>124.378797302565</v>
      </c>
      <c r="J35" s="31" t="n">
        <v>714.2993947575596</v>
      </c>
      <c r="K35" s="31" t="n">
        <v>65.94769737772266</v>
      </c>
      <c r="L35" s="31" t="n">
        <v>2079.008228820666</v>
      </c>
      <c r="M35" s="31" t="n">
        <v>113.397368319758</v>
      </c>
      <c r="N35" s="31" t="n">
        <v>0.2396126580238682</v>
      </c>
      <c r="O35" s="31" t="n">
        <v>309.8136385443588</v>
      </c>
      <c r="P35" s="31" t="n">
        <v>19.63644998685518</v>
      </c>
      <c r="Q35" s="31" t="n">
        <v>140.8041667555759</v>
      </c>
      <c r="R35" s="31" t="n">
        <v>896.1964337035706</v>
      </c>
      <c r="S35" s="31" t="n">
        <v>1512.041995969739</v>
      </c>
      <c r="T35" s="31" t="n">
        <v>463.916110390374</v>
      </c>
      <c r="U35" s="31" t="n">
        <v>496.1402627245194</v>
      </c>
      <c r="V35" s="31" t="n">
        <v>281.5985585940579</v>
      </c>
      <c r="W35" s="31" t="n">
        <v>3718.228974482191</v>
      </c>
      <c r="X35" s="31" t="n">
        <v>12426.30205431696</v>
      </c>
      <c r="Y35" s="31" t="n">
        <v>1570.652256211884</v>
      </c>
      <c r="Z35" s="31" t="n">
        <v>786.0894522361923</v>
      </c>
      <c r="AA35" s="31" t="n">
        <v>2717.901771567608</v>
      </c>
      <c r="AB35" s="31" t="n">
        <v>932.1323718877221</v>
      </c>
      <c r="AC35" s="31" t="n">
        <v>373.3362713177502</v>
      </c>
      <c r="AD35" s="31" t="n">
        <v>98.11164979154924</v>
      </c>
      <c r="AE35" s="31" t="n">
        <v>507.7713649519847</v>
      </c>
      <c r="AF35" s="31" t="n">
        <v>108.8637479447922</v>
      </c>
      <c r="AG35" s="31" t="n">
        <v>199.8618400291532</v>
      </c>
      <c r="AH35" s="31" t="n">
        <v>95.89191100667253</v>
      </c>
      <c r="AI35" s="31" t="n">
        <v>318.8370139685352</v>
      </c>
      <c r="AJ35" s="31" t="n">
        <v>170.9966492715175</v>
      </c>
      <c r="AK35" s="31" t="n">
        <v>62.37764798724524</v>
      </c>
      <c r="AL35" s="31" t="n">
        <v>506.4909686296152</v>
      </c>
      <c r="AM35" s="31" t="n">
        <v>475.3983507361157</v>
      </c>
      <c r="AN35" s="31" t="n">
        <v>85.44581709681188</v>
      </c>
      <c r="AO35" s="31" t="n">
        <v>359.7809473185645</v>
      </c>
      <c r="AP35" s="31" t="n">
        <v>5266.478830773191</v>
      </c>
      <c r="AQ35" s="31" t="n">
        <v>624.4699710698997</v>
      </c>
      <c r="AR35" s="31" t="n">
        <v>1228.563987097065</v>
      </c>
      <c r="AS35" s="31" t="n">
        <v>162.5093681711709</v>
      </c>
      <c r="AT35" s="31" t="n">
        <v>1.464736346244261</v>
      </c>
      <c r="AU35" s="31" t="n">
        <v>1.134336809184749</v>
      </c>
      <c r="AV35" s="31" t="n">
        <v>38.66126174900095</v>
      </c>
      <c r="AW35" s="31" t="n">
        <v>16.256421298445</v>
      </c>
      <c r="AX35" s="31" t="n">
        <v>22.11460788265859</v>
      </c>
      <c r="AY35" s="31" t="n">
        <v>47.98412290381752</v>
      </c>
      <c r="AZ35" s="31" t="n">
        <v>81.44043250047754</v>
      </c>
      <c r="BA35" s="31" t="n">
        <v>-37.75069289579336</v>
      </c>
      <c r="BB35" s="31" t="n">
        <v>-5.154951612084261</v>
      </c>
      <c r="BC35" s="31" t="n">
        <v>22.77067667011071</v>
      </c>
      <c r="BD35" s="31" t="n">
        <v>671.0096753546203</v>
      </c>
      <c r="BE35" s="31" t="n">
        <v>1.383821408433453</v>
      </c>
      <c r="BF35" s="31" t="n">
        <v>19.47831728274262</v>
      </c>
      <c r="BG35" s="31" t="n">
        <v>25.24929792427188</v>
      </c>
      <c r="BH35" s="31" t="n">
        <v>12.80029493944738</v>
      </c>
      <c r="BI35" s="31" t="n">
        <v>1673.730418353186</v>
      </c>
      <c r="BJ35" s="31" t="n">
        <v>-0.2020716437330352</v>
      </c>
      <c r="BK35" s="31" t="n">
        <v>146.7957132552719</v>
      </c>
      <c r="BL35" s="31" t="n">
        <v>201.3693326728753</v>
      </c>
      <c r="BM35" s="31" t="n">
        <v>6.497699198209462</v>
      </c>
      <c r="BN35" s="31" t="n">
        <v>890.991413109896</v>
      </c>
      <c r="BO35" s="31" t="n">
        <v>108.7342349939525</v>
      </c>
      <c r="BP35" s="31" t="n">
        <v>12.52514053336271</v>
      </c>
      <c r="BQ35" s="31" t="n">
        <v>96.54671854498982</v>
      </c>
      <c r="BR35" s="31" t="n">
        <v>0</v>
      </c>
      <c r="BS35" s="31">
        <f>SUM(C35:BR35)</f>
        <v/>
      </c>
      <c r="BT35" s="31" t="n">
        <v>0</v>
      </c>
      <c r="BU35" s="31" t="n">
        <v>0</v>
      </c>
      <c r="BV35" s="31" t="n">
        <v>0</v>
      </c>
      <c r="BW35" s="31" t="n">
        <v>0</v>
      </c>
      <c r="BX35" s="31">
        <f>SUM(BT35:BW35)</f>
        <v/>
      </c>
      <c r="BY35" s="31">
        <f>BS35+BX35</f>
        <v/>
      </c>
    </row>
    <row r="36">
      <c r="A36" s="28" t="inlineStr">
        <is>
          <t>2093</t>
        </is>
      </c>
      <c r="B36" s="28" t="inlineStr">
        <is>
          <t>Fabricação de produtos de limpeza, cosméticos/perfumaria e higiene pessoal</t>
        </is>
      </c>
      <c r="C36" s="29" t="n">
        <v>799.0336158157992</v>
      </c>
      <c r="D36" s="29" t="n">
        <v>142.786444430507</v>
      </c>
      <c r="E36" s="29" t="n">
        <v>3.663978293657783</v>
      </c>
      <c r="F36" s="29" t="n">
        <v>45.98401856209234</v>
      </c>
      <c r="G36" s="29" t="n">
        <v>198.6393845835356</v>
      </c>
      <c r="H36" s="29" t="n">
        <v>230.2533489414112</v>
      </c>
      <c r="I36" s="29" t="n">
        <v>24.58742499717042</v>
      </c>
      <c r="J36" s="29" t="n">
        <v>113.1051262022987</v>
      </c>
      <c r="K36" s="29" t="n">
        <v>32.15281222005177</v>
      </c>
      <c r="L36" s="29" t="n">
        <v>267.012959732945</v>
      </c>
      <c r="M36" s="29" t="n">
        <v>38.64128849388246</v>
      </c>
      <c r="N36" s="29" t="n">
        <v>2.227916135668278</v>
      </c>
      <c r="O36" s="29" t="n">
        <v>119.6370105645133</v>
      </c>
      <c r="P36" s="29" t="n">
        <v>56.65926320328456</v>
      </c>
      <c r="Q36" s="29" t="n">
        <v>33.04844775558774</v>
      </c>
      <c r="R36" s="29" t="n">
        <v>72.98030070223362</v>
      </c>
      <c r="S36" s="29" t="n">
        <v>232.5085115803113</v>
      </c>
      <c r="T36" s="29" t="n">
        <v>22.07044471139229</v>
      </c>
      <c r="U36" s="29" t="n">
        <v>154.357700488041</v>
      </c>
      <c r="V36" s="29" t="n">
        <v>48.25515713962757</v>
      </c>
      <c r="W36" s="29" t="n">
        <v>1211.852310537556</v>
      </c>
      <c r="X36" s="29" t="n">
        <v>871.3491195322324</v>
      </c>
      <c r="Y36" s="29" t="n">
        <v>1778.878341439809</v>
      </c>
      <c r="Z36" s="29" t="n">
        <v>106.2895741233786</v>
      </c>
      <c r="AA36" s="29" t="n">
        <v>318.3398918473786</v>
      </c>
      <c r="AB36" s="29" t="n">
        <v>135.083756426462</v>
      </c>
      <c r="AC36" s="29" t="n">
        <v>63.20934530249806</v>
      </c>
      <c r="AD36" s="29" t="n">
        <v>86.5134979259812</v>
      </c>
      <c r="AE36" s="29" t="n">
        <v>685.1979840123295</v>
      </c>
      <c r="AF36" s="29" t="n">
        <v>36.08573674950043</v>
      </c>
      <c r="AG36" s="29" t="n">
        <v>41.85633232238351</v>
      </c>
      <c r="AH36" s="29" t="n">
        <v>46.4670491791919</v>
      </c>
      <c r="AI36" s="29" t="n">
        <v>30.5687291418546</v>
      </c>
      <c r="AJ36" s="29" t="n">
        <v>48.17153168811541</v>
      </c>
      <c r="AK36" s="29" t="n">
        <v>6.475287575505967</v>
      </c>
      <c r="AL36" s="29" t="n">
        <v>54.29692368150395</v>
      </c>
      <c r="AM36" s="29" t="n">
        <v>18.64687152202367</v>
      </c>
      <c r="AN36" s="29" t="n">
        <v>18.92881203415442</v>
      </c>
      <c r="AO36" s="29" t="n">
        <v>94.73324285109486</v>
      </c>
      <c r="AP36" s="29" t="n">
        <v>229.6702471497911</v>
      </c>
      <c r="AQ36" s="29" t="n">
        <v>239.3869628714858</v>
      </c>
      <c r="AR36" s="29" t="n">
        <v>2759.297654693465</v>
      </c>
      <c r="AS36" s="29" t="n">
        <v>388.4680416063538</v>
      </c>
      <c r="AT36" s="29" t="n">
        <v>12.52639613494082</v>
      </c>
      <c r="AU36" s="29" t="n">
        <v>0.3208949908338084</v>
      </c>
      <c r="AV36" s="29" t="n">
        <v>175.6425867008832</v>
      </c>
      <c r="AW36" s="29" t="n">
        <v>97.03876986595259</v>
      </c>
      <c r="AX36" s="29" t="n">
        <v>96.05157934271406</v>
      </c>
      <c r="AY36" s="29" t="n">
        <v>19.85991877878239</v>
      </c>
      <c r="AZ36" s="29" t="n">
        <v>60.13047081430894</v>
      </c>
      <c r="BA36" s="29" t="n">
        <v>115.3157307094947</v>
      </c>
      <c r="BB36" s="29" t="n">
        <v>29.04474941023905</v>
      </c>
      <c r="BC36" s="29" t="n">
        <v>52.42554858351601</v>
      </c>
      <c r="BD36" s="29" t="n">
        <v>15.51996855090912</v>
      </c>
      <c r="BE36" s="29" t="n">
        <v>373.1816671900481</v>
      </c>
      <c r="BF36" s="29" t="n">
        <v>144.4701123940346</v>
      </c>
      <c r="BG36" s="29" t="n">
        <v>507.7046476559603</v>
      </c>
      <c r="BH36" s="29" t="n">
        <v>157.1657033425873</v>
      </c>
      <c r="BI36" s="29" t="n">
        <v>2344.855823861289</v>
      </c>
      <c r="BJ36" s="29" t="n">
        <v>1.644461562160402</v>
      </c>
      <c r="BK36" s="29" t="n">
        <v>257.8856792299404</v>
      </c>
      <c r="BL36" s="29" t="n">
        <v>202.5703640607431</v>
      </c>
      <c r="BM36" s="29" t="n">
        <v>221.3717879207472</v>
      </c>
      <c r="BN36" s="29" t="n">
        <v>210.1855442363593</v>
      </c>
      <c r="BO36" s="29" t="n">
        <v>1055.064968097729</v>
      </c>
      <c r="BP36" s="29" t="n">
        <v>230.427105499071</v>
      </c>
      <c r="BQ36" s="29" t="n">
        <v>1650.60632218001</v>
      </c>
      <c r="BR36" s="29" t="n">
        <v>0</v>
      </c>
      <c r="BS36" s="29">
        <f>SUM(C36:BR36)</f>
        <v/>
      </c>
      <c r="BT36" s="29" t="n">
        <v>0</v>
      </c>
      <c r="BU36" s="29" t="n">
        <v>0</v>
      </c>
      <c r="BV36" s="29" t="n">
        <v>0</v>
      </c>
      <c r="BW36" s="29" t="n">
        <v>0</v>
      </c>
      <c r="BX36" s="29">
        <f>SUM(BT36:BW36)</f>
        <v/>
      </c>
      <c r="BY36" s="29">
        <f>BS36+BX36</f>
        <v/>
      </c>
    </row>
    <row r="37">
      <c r="A37" s="30" t="inlineStr">
        <is>
          <t>2100</t>
        </is>
      </c>
      <c r="B37" s="30" t="inlineStr">
        <is>
          <t>Fabricação de produtos farmoquímicos e farmacêuticos</t>
        </is>
      </c>
      <c r="C37" s="31" t="n">
        <v>617.3095946801959</v>
      </c>
      <c r="D37" s="31" t="n">
        <v>3816.900611957818</v>
      </c>
      <c r="E37" s="31" t="n">
        <v>23.40400191214472</v>
      </c>
      <c r="F37" s="31" t="n">
        <v>4.914589955360575</v>
      </c>
      <c r="G37" s="31" t="n">
        <v>571.342545409838</v>
      </c>
      <c r="H37" s="31" t="n">
        <v>8.156022453496846</v>
      </c>
      <c r="I37" s="31" t="n">
        <v>0.8680257470969177</v>
      </c>
      <c r="J37" s="31" t="n">
        <v>-76.07881911717139</v>
      </c>
      <c r="K37" s="31" t="n">
        <v>-6.753193602265958</v>
      </c>
      <c r="L37" s="31" t="n">
        <v>535.3230943572294</v>
      </c>
      <c r="M37" s="31" t="n">
        <v>1.559225922781104</v>
      </c>
      <c r="N37" s="31" t="n">
        <v>-3.365121487668938</v>
      </c>
      <c r="O37" s="31" t="n">
        <v>1.886716240187165</v>
      </c>
      <c r="P37" s="31" t="n">
        <v>-4.841063203042022</v>
      </c>
      <c r="Q37" s="31" t="n">
        <v>-6.46353737059137</v>
      </c>
      <c r="R37" s="31" t="n">
        <v>-5.086874998488105</v>
      </c>
      <c r="S37" s="31" t="n">
        <v>-12.75072059944343</v>
      </c>
      <c r="T37" s="31" t="n">
        <v>0.494701155146818</v>
      </c>
      <c r="U37" s="31" t="n">
        <v>-7.516052375120268</v>
      </c>
      <c r="V37" s="31" t="n">
        <v>-1.530482802295021</v>
      </c>
      <c r="W37" s="31" t="n">
        <v>204.1092159328736</v>
      </c>
      <c r="X37" s="31" t="n">
        <v>661.2615856915788</v>
      </c>
      <c r="Y37" s="31" t="n">
        <v>63.96865285261286</v>
      </c>
      <c r="Z37" s="31" t="n">
        <v>7282.871803553418</v>
      </c>
      <c r="AA37" s="31" t="n">
        <v>8.12603550728573</v>
      </c>
      <c r="AB37" s="31" t="n">
        <v>-13.3162157034703</v>
      </c>
      <c r="AC37" s="31" t="n">
        <v>-17.35898796267117</v>
      </c>
      <c r="AD37" s="31" t="n">
        <v>-2.444414081425918</v>
      </c>
      <c r="AE37" s="31" t="n">
        <v>-5.226980789627492</v>
      </c>
      <c r="AF37" s="31" t="n">
        <v>-3.468394351459309</v>
      </c>
      <c r="AG37" s="31" t="n">
        <v>-12.88575382485457</v>
      </c>
      <c r="AH37" s="31" t="n">
        <v>-46.05319761158548</v>
      </c>
      <c r="AI37" s="31" t="n">
        <v>1.065760309022368</v>
      </c>
      <c r="AJ37" s="31" t="n">
        <v>1.435334539673751</v>
      </c>
      <c r="AK37" s="31" t="n">
        <v>-1.400213928023184</v>
      </c>
      <c r="AL37" s="31" t="n">
        <v>-3.822648610382451</v>
      </c>
      <c r="AM37" s="31" t="n">
        <v>2.36805680439316</v>
      </c>
      <c r="AN37" s="31" t="n">
        <v>0.7293348694287617</v>
      </c>
      <c r="AO37" s="31" t="n">
        <v>4.328252728916397</v>
      </c>
      <c r="AP37" s="31" t="n">
        <v>8.329262563306383</v>
      </c>
      <c r="AQ37" s="31" t="n">
        <v>5.003289465019479</v>
      </c>
      <c r="AR37" s="31" t="n">
        <v>483.9180371186388</v>
      </c>
      <c r="AS37" s="31" t="n">
        <v>8.82720660353448</v>
      </c>
      <c r="AT37" s="31" t="n">
        <v>0.6247197810090436</v>
      </c>
      <c r="AU37" s="31" t="n">
        <v>0.1016251215005005</v>
      </c>
      <c r="AV37" s="31" t="n">
        <v>4.421552937874834</v>
      </c>
      <c r="AW37" s="31" t="n">
        <v>2.860883277689952</v>
      </c>
      <c r="AX37" s="31" t="n">
        <v>24.1807003051933</v>
      </c>
      <c r="AY37" s="31" t="n">
        <v>-4.257928231385321</v>
      </c>
      <c r="AZ37" s="31" t="n">
        <v>-5.390368347188288</v>
      </c>
      <c r="BA37" s="31" t="n">
        <v>-33.13249319311553</v>
      </c>
      <c r="BB37" s="31" t="n">
        <v>-6.888232431378788</v>
      </c>
      <c r="BC37" s="31" t="n">
        <v>0.6408723166942504</v>
      </c>
      <c r="BD37" s="31" t="n">
        <v>0.6224329455068477</v>
      </c>
      <c r="BE37" s="31" t="n">
        <v>2.841510690709517</v>
      </c>
      <c r="BF37" s="31" t="n">
        <v>18.6278409131529</v>
      </c>
      <c r="BG37" s="31" t="n">
        <v>112.6231692560375</v>
      </c>
      <c r="BH37" s="31" t="n">
        <v>4.770205157736072</v>
      </c>
      <c r="BI37" s="31" t="n">
        <v>44.98728257812263</v>
      </c>
      <c r="BJ37" s="31" t="n">
        <v>-0.6690594988166502</v>
      </c>
      <c r="BK37" s="31" t="n">
        <v>2325.852383783525</v>
      </c>
      <c r="BL37" s="31" t="n">
        <v>673.1271194146008</v>
      </c>
      <c r="BM37" s="31" t="n">
        <v>402.4510402154434</v>
      </c>
      <c r="BN37" s="31" t="n">
        <v>15966.88483871268</v>
      </c>
      <c r="BO37" s="31" t="n">
        <v>15446.0328658571</v>
      </c>
      <c r="BP37" s="31" t="n">
        <v>13.27899270602136</v>
      </c>
      <c r="BQ37" s="31" t="n">
        <v>1097.589070142263</v>
      </c>
      <c r="BR37" s="31" t="n">
        <v>0</v>
      </c>
      <c r="BS37" s="31">
        <f>SUM(C37:BR37)</f>
        <v/>
      </c>
      <c r="BT37" s="31" t="n">
        <v>0</v>
      </c>
      <c r="BU37" s="31" t="n">
        <v>0</v>
      </c>
      <c r="BV37" s="31" t="n">
        <v>0</v>
      </c>
      <c r="BW37" s="31" t="n">
        <v>0</v>
      </c>
      <c r="BX37" s="31">
        <f>SUM(BT37:BW37)</f>
        <v/>
      </c>
      <c r="BY37" s="31">
        <f>BS37+BX37</f>
        <v/>
      </c>
    </row>
    <row r="38">
      <c r="A38" s="28" t="inlineStr">
        <is>
          <t>2200</t>
        </is>
      </c>
      <c r="B38" s="28" t="inlineStr">
        <is>
          <t>Fabricação de produtos de borracha e de material plástico</t>
        </is>
      </c>
      <c r="C38" s="29" t="n">
        <v>463.4383574710903</v>
      </c>
      <c r="D38" s="29" t="n">
        <v>137.0227428244273</v>
      </c>
      <c r="E38" s="29" t="n">
        <v>28.98742492311203</v>
      </c>
      <c r="F38" s="29" t="n">
        <v>92.07475026524118</v>
      </c>
      <c r="G38" s="29" t="n">
        <v>252.512757789357</v>
      </c>
      <c r="H38" s="29" t="n">
        <v>1385.941951223393</v>
      </c>
      <c r="I38" s="29" t="n">
        <v>85.65468844041719</v>
      </c>
      <c r="J38" s="29" t="n">
        <v>1574.145755362611</v>
      </c>
      <c r="K38" s="29" t="n">
        <v>136.8458180587239</v>
      </c>
      <c r="L38" s="29" t="n">
        <v>4163.780425500149</v>
      </c>
      <c r="M38" s="29" t="n">
        <v>1519.317743392487</v>
      </c>
      <c r="N38" s="29" t="n">
        <v>2.984468731226824</v>
      </c>
      <c r="O38" s="29" t="n">
        <v>392.4344691983031</v>
      </c>
      <c r="P38" s="29" t="n">
        <v>133.1732474320118</v>
      </c>
      <c r="Q38" s="29" t="n">
        <v>501.3594018324738</v>
      </c>
      <c r="R38" s="29" t="n">
        <v>265.8022102326213</v>
      </c>
      <c r="S38" s="29" t="n">
        <v>579.4542959409752</v>
      </c>
      <c r="T38" s="29" t="n">
        <v>383.9418507883021</v>
      </c>
      <c r="U38" s="29" t="n">
        <v>50.28857029169824</v>
      </c>
      <c r="V38" s="29" t="n">
        <v>25.94981498446703</v>
      </c>
      <c r="W38" s="29" t="n">
        <v>1248.404752606084</v>
      </c>
      <c r="X38" s="29" t="n">
        <v>496.7589905930703</v>
      </c>
      <c r="Y38" s="29" t="n">
        <v>848.0427012238611</v>
      </c>
      <c r="Z38" s="29" t="n">
        <v>221.2682481288971</v>
      </c>
      <c r="AA38" s="29" t="n">
        <v>10235.55084117381</v>
      </c>
      <c r="AB38" s="29" t="n">
        <v>1393.49991134009</v>
      </c>
      <c r="AC38" s="29" t="n">
        <v>369.9838209236768</v>
      </c>
      <c r="AD38" s="29" t="n">
        <v>82.26664007350662</v>
      </c>
      <c r="AE38" s="29" t="n">
        <v>535.242255251672</v>
      </c>
      <c r="AF38" s="29" t="n">
        <v>583.6318649284643</v>
      </c>
      <c r="AG38" s="29" t="n">
        <v>1220.819452745564</v>
      </c>
      <c r="AH38" s="29" t="n">
        <v>2085.457382754339</v>
      </c>
      <c r="AI38" s="29" t="n">
        <v>6568.172448718436</v>
      </c>
      <c r="AJ38" s="29" t="n">
        <v>2423.355720271899</v>
      </c>
      <c r="AK38" s="29" t="n">
        <v>610.2720442784716</v>
      </c>
      <c r="AL38" s="29" t="n">
        <v>1433.963023419646</v>
      </c>
      <c r="AM38" s="29" t="n">
        <v>1072.053695961613</v>
      </c>
      <c r="AN38" s="29" t="n">
        <v>159.6809788449876</v>
      </c>
      <c r="AO38" s="29" t="n">
        <v>430.8044905220968</v>
      </c>
      <c r="AP38" s="29" t="n">
        <v>8395.997484112762</v>
      </c>
      <c r="AQ38" s="29" t="n">
        <v>1329.128230181922</v>
      </c>
      <c r="AR38" s="29" t="n">
        <v>3251.770429372606</v>
      </c>
      <c r="AS38" s="29" t="n">
        <v>5915.779998548583</v>
      </c>
      <c r="AT38" s="29" t="n">
        <v>5.851205094288387</v>
      </c>
      <c r="AU38" s="29" t="n">
        <v>537.0110898982196</v>
      </c>
      <c r="AV38" s="29" t="n">
        <v>78.96722510321624</v>
      </c>
      <c r="AW38" s="29" t="n">
        <v>16.16740134250618</v>
      </c>
      <c r="AX38" s="29" t="n">
        <v>228.626458352067</v>
      </c>
      <c r="AY38" s="29" t="n">
        <v>5.007430485017507</v>
      </c>
      <c r="AZ38" s="29" t="n">
        <v>-4.306299047428143</v>
      </c>
      <c r="BA38" s="29" t="n">
        <v>-33.32486645784677</v>
      </c>
      <c r="BB38" s="29" t="n">
        <v>7.462603337123393</v>
      </c>
      <c r="BC38" s="29" t="n">
        <v>41.54938408259284</v>
      </c>
      <c r="BD38" s="29" t="n">
        <v>82.36044589424725</v>
      </c>
      <c r="BE38" s="29" t="n">
        <v>231.2429347215655</v>
      </c>
      <c r="BF38" s="29" t="n">
        <v>19.70106712983189</v>
      </c>
      <c r="BG38" s="29" t="n">
        <v>27.44600218536501</v>
      </c>
      <c r="BH38" s="29" t="n">
        <v>349.6060022485376</v>
      </c>
      <c r="BI38" s="29" t="n">
        <v>329.786240254541</v>
      </c>
      <c r="BJ38" s="29" t="n">
        <v>0.4889941881271636</v>
      </c>
      <c r="BK38" s="29" t="n">
        <v>95.96424715794106</v>
      </c>
      <c r="BL38" s="29" t="n">
        <v>111.4388623726654</v>
      </c>
      <c r="BM38" s="29" t="n">
        <v>5.54570312565973</v>
      </c>
      <c r="BN38" s="29" t="n">
        <v>495.7097750223969</v>
      </c>
      <c r="BO38" s="29" t="n">
        <v>444.5556777776147</v>
      </c>
      <c r="BP38" s="29" t="n">
        <v>5.463583498013985</v>
      </c>
      <c r="BQ38" s="29" t="n">
        <v>110.9432973390164</v>
      </c>
      <c r="BR38" s="29" t="n">
        <v>0</v>
      </c>
      <c r="BS38" s="29">
        <f>SUM(C38:BR38)</f>
        <v/>
      </c>
      <c r="BT38" s="29" t="n">
        <v>0</v>
      </c>
      <c r="BU38" s="29" t="n">
        <v>0</v>
      </c>
      <c r="BV38" s="29" t="n">
        <v>0</v>
      </c>
      <c r="BW38" s="29" t="n">
        <v>0</v>
      </c>
      <c r="BX38" s="29">
        <f>SUM(BT38:BW38)</f>
        <v/>
      </c>
      <c r="BY38" s="29">
        <f>BS38+BX38</f>
        <v/>
      </c>
    </row>
    <row r="39">
      <c r="A39" s="30" t="inlineStr">
        <is>
          <t>2300</t>
        </is>
      </c>
      <c r="B39" s="30" t="inlineStr">
        <is>
          <t>Fabricação de produtos de minerais não-metálicos</t>
        </is>
      </c>
      <c r="C39" s="31" t="n">
        <v>2581.492708805392</v>
      </c>
      <c r="D39" s="31" t="n">
        <v>1495.513234942098</v>
      </c>
      <c r="E39" s="31" t="n">
        <v>44.01664258901545</v>
      </c>
      <c r="F39" s="31" t="n">
        <v>62.41093673347522</v>
      </c>
      <c r="G39" s="31" t="n">
        <v>63.2241505529212</v>
      </c>
      <c r="H39" s="31" t="n">
        <v>28.79936713353193</v>
      </c>
      <c r="I39" s="31" t="n">
        <v>10.15917957724376</v>
      </c>
      <c r="J39" s="31" t="n">
        <v>-77.77019313166103</v>
      </c>
      <c r="K39" s="31" t="n">
        <v>144.8828467550139</v>
      </c>
      <c r="L39" s="31" t="n">
        <v>1288.523673509844</v>
      </c>
      <c r="M39" s="31" t="n">
        <v>1624.565343914785</v>
      </c>
      <c r="N39" s="31" t="n">
        <v>-2.109390240469199</v>
      </c>
      <c r="O39" s="31" t="n">
        <v>22.35777732717742</v>
      </c>
      <c r="P39" s="31" t="n">
        <v>66.22456950011332</v>
      </c>
      <c r="Q39" s="31" t="n">
        <v>8.729520454298806</v>
      </c>
      <c r="R39" s="31" t="n">
        <v>6.930756120081025</v>
      </c>
      <c r="S39" s="31" t="n">
        <v>244.3361257094749</v>
      </c>
      <c r="T39" s="31" t="n">
        <v>8.162470123001855</v>
      </c>
      <c r="U39" s="31" t="n">
        <v>2.545330830996668</v>
      </c>
      <c r="V39" s="31" t="n">
        <v>4.599560403716788</v>
      </c>
      <c r="W39" s="31" t="n">
        <v>841.3371276082223</v>
      </c>
      <c r="X39" s="31" t="n">
        <v>193.483768896602</v>
      </c>
      <c r="Y39" s="31" t="n">
        <v>277.6739384057869</v>
      </c>
      <c r="Z39" s="31" t="n">
        <v>48.82904953491537</v>
      </c>
      <c r="AA39" s="31" t="n">
        <v>419.8626093094268</v>
      </c>
      <c r="AB39" s="31" t="n">
        <v>5432.449032069764</v>
      </c>
      <c r="AC39" s="31" t="n">
        <v>273.2576085017026</v>
      </c>
      <c r="AD39" s="31" t="n">
        <v>21.20717259772126</v>
      </c>
      <c r="AE39" s="31" t="n">
        <v>139.5046703189325</v>
      </c>
      <c r="AF39" s="31" t="n">
        <v>6.652894273774441</v>
      </c>
      <c r="AG39" s="31" t="n">
        <v>270.5368860950163</v>
      </c>
      <c r="AH39" s="31" t="n">
        <v>219.1795197511666</v>
      </c>
      <c r="AI39" s="31" t="n">
        <v>1460.534147644582</v>
      </c>
      <c r="AJ39" s="31" t="n">
        <v>130.7870656730525</v>
      </c>
      <c r="AK39" s="31" t="n">
        <v>85.54345185782165</v>
      </c>
      <c r="AL39" s="31" t="n">
        <v>414.664425736334</v>
      </c>
      <c r="AM39" s="31" t="n">
        <v>175.9061696139707</v>
      </c>
      <c r="AN39" s="31" t="n">
        <v>534.1992278541391</v>
      </c>
      <c r="AO39" s="31" t="n">
        <v>456.0059228856881</v>
      </c>
      <c r="AP39" s="31" t="n">
        <v>26454.13777128864</v>
      </c>
      <c r="AQ39" s="31" t="n">
        <v>211.1366174612814</v>
      </c>
      <c r="AR39" s="31" t="n">
        <v>-21.57741890737962</v>
      </c>
      <c r="AS39" s="31" t="n">
        <v>38.73038703957531</v>
      </c>
      <c r="AT39" s="31" t="n">
        <v>1.272053980363457</v>
      </c>
      <c r="AU39" s="31" t="n">
        <v>0.04083800509782107</v>
      </c>
      <c r="AV39" s="31" t="n">
        <v>7.753580164670627</v>
      </c>
      <c r="AW39" s="31" t="n">
        <v>136.4374539895131</v>
      </c>
      <c r="AX39" s="31" t="n">
        <v>469.5752840035716</v>
      </c>
      <c r="AY39" s="31" t="n">
        <v>-2.293874011266611</v>
      </c>
      <c r="AZ39" s="31" t="n">
        <v>-3.499892677185357</v>
      </c>
      <c r="BA39" s="31" t="n">
        <v>-26.67837780023968</v>
      </c>
      <c r="BB39" s="31" t="n">
        <v>-4.311985421293718</v>
      </c>
      <c r="BC39" s="31" t="n">
        <v>2.200134381931889</v>
      </c>
      <c r="BD39" s="31" t="n">
        <v>857.6190292181047</v>
      </c>
      <c r="BE39" s="31" t="n">
        <v>0.3404948438810361</v>
      </c>
      <c r="BF39" s="31" t="n">
        <v>8.092407179033641</v>
      </c>
      <c r="BG39" s="31" t="n">
        <v>0.001504227758179839</v>
      </c>
      <c r="BH39" s="31" t="n">
        <v>4.206088966503221</v>
      </c>
      <c r="BI39" s="31" t="n">
        <v>66.67469856495036</v>
      </c>
      <c r="BJ39" s="31" t="n">
        <v>-0.3082835193882998</v>
      </c>
      <c r="BK39" s="31" t="n">
        <v>223.9349271560117</v>
      </c>
      <c r="BL39" s="31" t="n">
        <v>86.61336683865949</v>
      </c>
      <c r="BM39" s="31" t="n">
        <v>2.268000674707769</v>
      </c>
      <c r="BN39" s="31" t="n">
        <v>203.2165510439618</v>
      </c>
      <c r="BO39" s="31" t="n">
        <v>165.8220976782852</v>
      </c>
      <c r="BP39" s="31" t="n">
        <v>1.833140987274176</v>
      </c>
      <c r="BQ39" s="31" t="n">
        <v>119.4121185306891</v>
      </c>
      <c r="BR39" s="31" t="n">
        <v>0</v>
      </c>
      <c r="BS39" s="31">
        <f>SUM(C39:BR39)</f>
        <v/>
      </c>
      <c r="BT39" s="31" t="n">
        <v>0</v>
      </c>
      <c r="BU39" s="31" t="n">
        <v>0</v>
      </c>
      <c r="BV39" s="31" t="n">
        <v>0</v>
      </c>
      <c r="BW39" s="31" t="n">
        <v>0</v>
      </c>
      <c r="BX39" s="31">
        <f>SUM(BT39:BW39)</f>
        <v/>
      </c>
      <c r="BY39" s="31">
        <f>BS39+BX39</f>
        <v/>
      </c>
    </row>
    <row r="40">
      <c r="A40" s="28" t="inlineStr">
        <is>
          <t>2491</t>
        </is>
      </c>
      <c r="B40" s="28" t="inlineStr">
        <is>
          <t>Produção de ferro-gusa/ferroligas, siderurgia e tubos de aço sem costura</t>
        </is>
      </c>
      <c r="C40" s="29" t="n">
        <v>204.370700188231</v>
      </c>
      <c r="D40" s="29" t="n">
        <v>258.039036740437</v>
      </c>
      <c r="E40" s="29" t="n">
        <v>16.56531167313181</v>
      </c>
      <c r="F40" s="29" t="n">
        <v>93.46178321535326</v>
      </c>
      <c r="G40" s="29" t="n">
        <v>8889.875904026709</v>
      </c>
      <c r="H40" s="29" t="n">
        <v>124.3356481378183</v>
      </c>
      <c r="I40" s="29" t="n">
        <v>74.48913100788226</v>
      </c>
      <c r="J40" s="29" t="n">
        <v>301.2717185383916</v>
      </c>
      <c r="K40" s="29" t="n">
        <v>7.985790749574593</v>
      </c>
      <c r="L40" s="29" t="n">
        <v>199.3632840014583</v>
      </c>
      <c r="M40" s="29" t="n">
        <v>193.3725331434855</v>
      </c>
      <c r="N40" s="29" t="n">
        <v>0.5827872245112447</v>
      </c>
      <c r="O40" s="29" t="n">
        <v>31.86127177650154</v>
      </c>
      <c r="P40" s="29" t="n">
        <v>2.165175089619811</v>
      </c>
      <c r="Q40" s="29" t="n">
        <v>9.767279679394367</v>
      </c>
      <c r="R40" s="29" t="n">
        <v>48.60770750109894</v>
      </c>
      <c r="S40" s="29" t="n">
        <v>232.0679873808396</v>
      </c>
      <c r="T40" s="29" t="n">
        <v>8.00979515565707</v>
      </c>
      <c r="U40" s="29" t="n">
        <v>58.7341119158752</v>
      </c>
      <c r="V40" s="29" t="n">
        <v>8.286573682816964</v>
      </c>
      <c r="W40" s="29" t="n">
        <v>330.1999496983868</v>
      </c>
      <c r="X40" s="29" t="n">
        <v>131.3432350660154</v>
      </c>
      <c r="Y40" s="29" t="n">
        <v>73.66036775109984</v>
      </c>
      <c r="Z40" s="29" t="n">
        <v>17.68862149381324</v>
      </c>
      <c r="AA40" s="29" t="n">
        <v>974.5503682695175</v>
      </c>
      <c r="AB40" s="29" t="n">
        <v>669.7576458715902</v>
      </c>
      <c r="AC40" s="29" t="n">
        <v>6940.317657452292</v>
      </c>
      <c r="AD40" s="29" t="n">
        <v>357.8014423006798</v>
      </c>
      <c r="AE40" s="29" t="n">
        <v>16207.22620528268</v>
      </c>
      <c r="AF40" s="29" t="n">
        <v>87.88249357759202</v>
      </c>
      <c r="AG40" s="29" t="n">
        <v>2433.258825102072</v>
      </c>
      <c r="AH40" s="29" t="n">
        <v>7941.215593604604</v>
      </c>
      <c r="AI40" s="29" t="n">
        <v>3908.942660033671</v>
      </c>
      <c r="AJ40" s="29" t="n">
        <v>6002.428613619165</v>
      </c>
      <c r="AK40" s="29" t="n">
        <v>550.6440908310601</v>
      </c>
      <c r="AL40" s="29" t="n">
        <v>1077.139894332178</v>
      </c>
      <c r="AM40" s="29" t="n">
        <v>959.8993917048444</v>
      </c>
      <c r="AN40" s="29" t="n">
        <v>192.7735961048104</v>
      </c>
      <c r="AO40" s="29" t="n">
        <v>113.0442125572631</v>
      </c>
      <c r="AP40" s="29" t="n">
        <v>9214.061219156381</v>
      </c>
      <c r="AQ40" s="29" t="n">
        <v>44.73799444793423</v>
      </c>
      <c r="AR40" s="29" t="n">
        <v>1212.345981969147</v>
      </c>
      <c r="AS40" s="29" t="n">
        <v>44.52796888047415</v>
      </c>
      <c r="AT40" s="29" t="n">
        <v>0.82047962988129</v>
      </c>
      <c r="AU40" s="29" t="n">
        <v>0.1947925248319157</v>
      </c>
      <c r="AV40" s="29" t="n">
        <v>7.599363443839781</v>
      </c>
      <c r="AW40" s="29" t="n">
        <v>5.510541530338736</v>
      </c>
      <c r="AX40" s="29" t="n">
        <v>66.72530525396</v>
      </c>
      <c r="AY40" s="29" t="n">
        <v>-0.6714811495139812</v>
      </c>
      <c r="AZ40" s="29" t="n">
        <v>-0.4702788702401768</v>
      </c>
      <c r="BA40" s="29" t="n">
        <v>-3.521709290944692</v>
      </c>
      <c r="BB40" s="29" t="n">
        <v>27.66673105268475</v>
      </c>
      <c r="BC40" s="29" t="n">
        <v>2.191711119113409</v>
      </c>
      <c r="BD40" s="29" t="n">
        <v>13.38371159134748</v>
      </c>
      <c r="BE40" s="29" t="n">
        <v>4.113415825176942</v>
      </c>
      <c r="BF40" s="29" t="n">
        <v>11.6645190422032</v>
      </c>
      <c r="BG40" s="29" t="n">
        <v>0.1433443925705486</v>
      </c>
      <c r="BH40" s="29" t="n">
        <v>174.3458986903552</v>
      </c>
      <c r="BI40" s="29" t="n">
        <v>17.16160092666196</v>
      </c>
      <c r="BJ40" s="29" t="n">
        <v>4.189797525440082</v>
      </c>
      <c r="BK40" s="29" t="n">
        <v>98.30111068294325</v>
      </c>
      <c r="BL40" s="29" t="n">
        <v>18.37689471022811</v>
      </c>
      <c r="BM40" s="29" t="n">
        <v>2.084686773759159</v>
      </c>
      <c r="BN40" s="29" t="n">
        <v>22.21520145279858</v>
      </c>
      <c r="BO40" s="29" t="n">
        <v>5.979507773864969</v>
      </c>
      <c r="BP40" s="29" t="n">
        <v>1.599315640413847</v>
      </c>
      <c r="BQ40" s="29" t="n">
        <v>7.364457644173841</v>
      </c>
      <c r="BR40" s="29" t="n">
        <v>0</v>
      </c>
      <c r="BS40" s="29">
        <f>SUM(C40:BR40)</f>
        <v/>
      </c>
      <c r="BT40" s="29" t="n">
        <v>0</v>
      </c>
      <c r="BU40" s="29" t="n">
        <v>0</v>
      </c>
      <c r="BV40" s="29" t="n">
        <v>0</v>
      </c>
      <c r="BW40" s="29" t="n">
        <v>0</v>
      </c>
      <c r="BX40" s="29">
        <f>SUM(BT40:BW40)</f>
        <v/>
      </c>
      <c r="BY40" s="29">
        <f>BS40+BX40</f>
        <v/>
      </c>
    </row>
    <row r="41">
      <c r="A41" s="30" t="inlineStr">
        <is>
          <t>2492</t>
        </is>
      </c>
      <c r="B41" s="30" t="inlineStr">
        <is>
          <t>Metalurgia de metais não-ferrosos e a fundição de metais</t>
        </is>
      </c>
      <c r="C41" s="31" t="n">
        <v>727.2113444863537</v>
      </c>
      <c r="D41" s="31" t="n">
        <v>160.3320012947758</v>
      </c>
      <c r="E41" s="31" t="n">
        <v>8.853795497753834</v>
      </c>
      <c r="F41" s="31" t="n">
        <v>6.742766552708687</v>
      </c>
      <c r="G41" s="31" t="n">
        <v>187.3760872908421</v>
      </c>
      <c r="H41" s="31" t="n">
        <v>53.82973213688867</v>
      </c>
      <c r="I41" s="31" t="n">
        <v>67.64025028800124</v>
      </c>
      <c r="J41" s="31" t="n">
        <v>229.4507327510983</v>
      </c>
      <c r="K41" s="31" t="n">
        <v>12.65304304765614</v>
      </c>
      <c r="L41" s="31" t="n">
        <v>554.6993503979609</v>
      </c>
      <c r="M41" s="31" t="n">
        <v>54.08883596021762</v>
      </c>
      <c r="N41" s="31" t="n">
        <v>-2.879311265948337</v>
      </c>
      <c r="O41" s="31" t="n">
        <v>4.320355481889615</v>
      </c>
      <c r="P41" s="31" t="n">
        <v>-8.755821395096344</v>
      </c>
      <c r="Q41" s="31" t="n">
        <v>-0.05199358136307888</v>
      </c>
      <c r="R41" s="31" t="n">
        <v>1.929629550044697</v>
      </c>
      <c r="S41" s="31" t="n">
        <v>595.5332122568866</v>
      </c>
      <c r="T41" s="31" t="n">
        <v>263.3179449536137</v>
      </c>
      <c r="U41" s="31" t="n">
        <v>-3.584055862865538</v>
      </c>
      <c r="V41" s="31" t="n">
        <v>-9.456852142114023</v>
      </c>
      <c r="W41" s="31" t="n">
        <v>3277.152854538822</v>
      </c>
      <c r="X41" s="31" t="n">
        <v>485.2821688413038</v>
      </c>
      <c r="Y41" s="31" t="n">
        <v>83.14621290830043</v>
      </c>
      <c r="Z41" s="31" t="n">
        <v>8.267549127376439</v>
      </c>
      <c r="AA41" s="31" t="n">
        <v>122.8423254502115</v>
      </c>
      <c r="AB41" s="31" t="n">
        <v>258.7277718196804</v>
      </c>
      <c r="AC41" s="31" t="n">
        <v>2025.890946771074</v>
      </c>
      <c r="AD41" s="31" t="n">
        <v>14021.37849447502</v>
      </c>
      <c r="AE41" s="31" t="n">
        <v>2889.448575338208</v>
      </c>
      <c r="AF41" s="31" t="n">
        <v>174.2240211540102</v>
      </c>
      <c r="AG41" s="31" t="n">
        <v>7811.757010175655</v>
      </c>
      <c r="AH41" s="31" t="n">
        <v>1924.441499058541</v>
      </c>
      <c r="AI41" s="31" t="n">
        <v>791.5835761701724</v>
      </c>
      <c r="AJ41" s="31" t="n">
        <v>3589.493385628195</v>
      </c>
      <c r="AK41" s="31" t="n">
        <v>750.0041520481368</v>
      </c>
      <c r="AL41" s="31" t="n">
        <v>2544.781741127888</v>
      </c>
      <c r="AM41" s="31" t="n">
        <v>931.3616231612838</v>
      </c>
      <c r="AN41" s="31" t="n">
        <v>48.50027175034668</v>
      </c>
      <c r="AO41" s="31" t="n">
        <v>174.0068997045914</v>
      </c>
      <c r="AP41" s="31" t="n">
        <v>2643.383053904163</v>
      </c>
      <c r="AQ41" s="31" t="n">
        <v>275.668107644726</v>
      </c>
      <c r="AR41" s="31" t="n">
        <v>26.21665141586035</v>
      </c>
      <c r="AS41" s="31" t="n">
        <v>53.11895228052843</v>
      </c>
      <c r="AT41" s="31" t="n">
        <v>1.081672077448093</v>
      </c>
      <c r="AU41" s="31" t="n">
        <v>0.04568415982066488</v>
      </c>
      <c r="AV41" s="31" t="n">
        <v>3.106870288360486</v>
      </c>
      <c r="AW41" s="31" t="n">
        <v>2.002714950618193</v>
      </c>
      <c r="AX41" s="31" t="n">
        <v>20.29355366494187</v>
      </c>
      <c r="AY41" s="31" t="n">
        <v>-4.111942557636006</v>
      </c>
      <c r="AZ41" s="31" t="n">
        <v>-6.200268892999226</v>
      </c>
      <c r="BA41" s="31" t="n">
        <v>-32.65937336375193</v>
      </c>
      <c r="BB41" s="31" t="n">
        <v>-6.21438374574432</v>
      </c>
      <c r="BC41" s="31" t="n">
        <v>1.743600110859303</v>
      </c>
      <c r="BD41" s="31" t="n">
        <v>38.7993860699616</v>
      </c>
      <c r="BE41" s="31" t="n">
        <v>-1.521651992207064</v>
      </c>
      <c r="BF41" s="31" t="n">
        <v>1.210451987233451</v>
      </c>
      <c r="BG41" s="31" t="n">
        <v>-2.703175792765875</v>
      </c>
      <c r="BH41" s="31" t="n">
        <v>1.958140258430757</v>
      </c>
      <c r="BI41" s="31" t="n">
        <v>4.656581608258472</v>
      </c>
      <c r="BJ41" s="31" t="n">
        <v>0.6020581275454295</v>
      </c>
      <c r="BK41" s="31" t="n">
        <v>23.92834362756182</v>
      </c>
      <c r="BL41" s="31" t="n">
        <v>5.833650159736439</v>
      </c>
      <c r="BM41" s="31" t="n">
        <v>2.409287688732048</v>
      </c>
      <c r="BN41" s="31" t="n">
        <v>30.08852970354705</v>
      </c>
      <c r="BO41" s="31" t="n">
        <v>50.01454673958202</v>
      </c>
      <c r="BP41" s="31" t="n">
        <v>1.675981582978157</v>
      </c>
      <c r="BQ41" s="31" t="n">
        <v>33.1294342865606</v>
      </c>
      <c r="BR41" s="31" t="n">
        <v>0</v>
      </c>
      <c r="BS41" s="31">
        <f>SUM(C41:BR41)</f>
        <v/>
      </c>
      <c r="BT41" s="31" t="n">
        <v>0</v>
      </c>
      <c r="BU41" s="31" t="n">
        <v>0</v>
      </c>
      <c r="BV41" s="31" t="n">
        <v>0</v>
      </c>
      <c r="BW41" s="31" t="n">
        <v>0</v>
      </c>
      <c r="BX41" s="31">
        <f>SUM(BT41:BW41)</f>
        <v/>
      </c>
      <c r="BY41" s="31">
        <f>BS41+BX41</f>
        <v/>
      </c>
    </row>
    <row r="42">
      <c r="A42" s="28" t="inlineStr">
        <is>
          <t>2500</t>
        </is>
      </c>
      <c r="B42" s="28" t="inlineStr">
        <is>
          <t>Fabricação de produtos de metal, exceto máquinas e equipamentos</t>
        </is>
      </c>
      <c r="C42" s="29" t="n">
        <v>327.2817360455164</v>
      </c>
      <c r="D42" s="29" t="n">
        <v>425.0497920710147</v>
      </c>
      <c r="E42" s="29" t="n">
        <v>37.8153549146266</v>
      </c>
      <c r="F42" s="29" t="n">
        <v>45.80821326513049</v>
      </c>
      <c r="G42" s="29" t="n">
        <v>1550.533079833407</v>
      </c>
      <c r="H42" s="29" t="n">
        <v>1525.835593709751</v>
      </c>
      <c r="I42" s="29" t="n">
        <v>210.3453047746036</v>
      </c>
      <c r="J42" s="29" t="n">
        <v>2172.05112084511</v>
      </c>
      <c r="K42" s="29" t="n">
        <v>101.545943370325</v>
      </c>
      <c r="L42" s="29" t="n">
        <v>1862.541122266455</v>
      </c>
      <c r="M42" s="29" t="n">
        <v>2971.775863258668</v>
      </c>
      <c r="N42" s="29" t="n">
        <v>13.01971092809309</v>
      </c>
      <c r="O42" s="29" t="n">
        <v>63.758026100926</v>
      </c>
      <c r="P42" s="29" t="n">
        <v>57.1860109548014</v>
      </c>
      <c r="Q42" s="29" t="n">
        <v>32.07069709439103</v>
      </c>
      <c r="R42" s="29" t="n">
        <v>549.0227756893039</v>
      </c>
      <c r="S42" s="29" t="n">
        <v>119.2511460262745</v>
      </c>
      <c r="T42" s="29" t="n">
        <v>19.7217714669776</v>
      </c>
      <c r="U42" s="29" t="n">
        <v>319.5240057923415</v>
      </c>
      <c r="V42" s="29" t="n">
        <v>75.13299888961922</v>
      </c>
      <c r="W42" s="29" t="n">
        <v>545.9012516067468</v>
      </c>
      <c r="X42" s="29" t="n">
        <v>760.5719758318374</v>
      </c>
      <c r="Y42" s="29" t="n">
        <v>686.226553196399</v>
      </c>
      <c r="Z42" s="29" t="n">
        <v>99.49389156633106</v>
      </c>
      <c r="AA42" s="29" t="n">
        <v>271.6187334428156</v>
      </c>
      <c r="AB42" s="29" t="n">
        <v>182.3299208333501</v>
      </c>
      <c r="AC42" s="29" t="n">
        <v>1738.373512510298</v>
      </c>
      <c r="AD42" s="29" t="n">
        <v>353.9001560289582</v>
      </c>
      <c r="AE42" s="29" t="n">
        <v>6913.929709478409</v>
      </c>
      <c r="AF42" s="29" t="n">
        <v>749.7645055648295</v>
      </c>
      <c r="AG42" s="29" t="n">
        <v>2115.562022168961</v>
      </c>
      <c r="AH42" s="29" t="n">
        <v>5108.916394276165</v>
      </c>
      <c r="AI42" s="29" t="n">
        <v>3183.917661360209</v>
      </c>
      <c r="AJ42" s="29" t="n">
        <v>1843.328613073539</v>
      </c>
      <c r="AK42" s="29" t="n">
        <v>1092.485287933932</v>
      </c>
      <c r="AL42" s="29" t="n">
        <v>1092.159760731462</v>
      </c>
      <c r="AM42" s="29" t="n">
        <v>2293.007963718141</v>
      </c>
      <c r="AN42" s="29" t="n">
        <v>1259.829911805763</v>
      </c>
      <c r="AO42" s="29" t="n">
        <v>385.1958970562957</v>
      </c>
      <c r="AP42" s="29" t="n">
        <v>12972.31165391925</v>
      </c>
      <c r="AQ42" s="29" t="n">
        <v>342.5662483707072</v>
      </c>
      <c r="AR42" s="29" t="n">
        <v>1023.06936127068</v>
      </c>
      <c r="AS42" s="29" t="n">
        <v>189.3201824202864</v>
      </c>
      <c r="AT42" s="29" t="n">
        <v>6.15905052111887</v>
      </c>
      <c r="AU42" s="29" t="n">
        <v>1.87476669176172</v>
      </c>
      <c r="AV42" s="29" t="n">
        <v>16.67183206100862</v>
      </c>
      <c r="AW42" s="29" t="n">
        <v>85.15690952711371</v>
      </c>
      <c r="AX42" s="29" t="n">
        <v>1042.644201945044</v>
      </c>
      <c r="AY42" s="29" t="n">
        <v>-2.793822889534448</v>
      </c>
      <c r="AZ42" s="29" t="n">
        <v>3.243015822982242</v>
      </c>
      <c r="BA42" s="29" t="n">
        <v>-3.887319671951816</v>
      </c>
      <c r="BB42" s="29" t="n">
        <v>4.025843676368245</v>
      </c>
      <c r="BC42" s="29" t="n">
        <v>3.505128671511471</v>
      </c>
      <c r="BD42" s="29" t="n">
        <v>184.3155965330595</v>
      </c>
      <c r="BE42" s="29" t="n">
        <v>9.335620642726182</v>
      </c>
      <c r="BF42" s="29" t="n">
        <v>25.7966501901407</v>
      </c>
      <c r="BG42" s="29" t="n">
        <v>3.086794598752879</v>
      </c>
      <c r="BH42" s="29" t="n">
        <v>12.86729625200477</v>
      </c>
      <c r="BI42" s="29" t="n">
        <v>173.5802122611499</v>
      </c>
      <c r="BJ42" s="29" t="n">
        <v>70.01292217958536</v>
      </c>
      <c r="BK42" s="29" t="n">
        <v>575.3684988514593</v>
      </c>
      <c r="BL42" s="29" t="n">
        <v>51.14940387581675</v>
      </c>
      <c r="BM42" s="29" t="n">
        <v>2.432381929417342</v>
      </c>
      <c r="BN42" s="29" t="n">
        <v>123.8426717675274</v>
      </c>
      <c r="BO42" s="29" t="n">
        <v>120.1312833119176</v>
      </c>
      <c r="BP42" s="29" t="n">
        <v>3.717608053926411</v>
      </c>
      <c r="BQ42" s="29" t="n">
        <v>73.19144345071442</v>
      </c>
      <c r="BR42" s="29" t="n">
        <v>0</v>
      </c>
      <c r="BS42" s="29">
        <f>SUM(C42:BR42)</f>
        <v/>
      </c>
      <c r="BT42" s="29" t="n">
        <v>0</v>
      </c>
      <c r="BU42" s="29" t="n">
        <v>0</v>
      </c>
      <c r="BV42" s="29" t="n">
        <v>0</v>
      </c>
      <c r="BW42" s="29" t="n">
        <v>0</v>
      </c>
      <c r="BX42" s="29">
        <f>SUM(BT42:BW42)</f>
        <v/>
      </c>
      <c r="BY42" s="29">
        <f>BS42+BX42</f>
        <v/>
      </c>
    </row>
    <row r="43">
      <c r="A43" s="30" t="inlineStr">
        <is>
          <t>2600</t>
        </is>
      </c>
      <c r="B43" s="30" t="inlineStr">
        <is>
          <t>Fabricação de equipamentos de informática, produtos eletrônicos e ópticos</t>
        </is>
      </c>
      <c r="C43" s="31" t="n">
        <v>5.593967195213657</v>
      </c>
      <c r="D43" s="31" t="n">
        <v>5.764788149710168</v>
      </c>
      <c r="E43" s="31" t="n">
        <v>0.8101094518375609</v>
      </c>
      <c r="F43" s="31" t="n">
        <v>9.356820834998334</v>
      </c>
      <c r="G43" s="31" t="n">
        <v>1211.228243731371</v>
      </c>
      <c r="H43" s="31" t="n">
        <v>428.1368856951108</v>
      </c>
      <c r="I43" s="31" t="n">
        <v>42.2996820537861</v>
      </c>
      <c r="J43" s="31" t="n">
        <v>-291.878605229359</v>
      </c>
      <c r="K43" s="31" t="n">
        <v>-21.19952612791957</v>
      </c>
      <c r="L43" s="31" t="n">
        <v>-192.0336406107363</v>
      </c>
      <c r="M43" s="31" t="n">
        <v>-1.773569457940945</v>
      </c>
      <c r="N43" s="31" t="n">
        <v>-9.586759357126775</v>
      </c>
      <c r="O43" s="31" t="n">
        <v>-21.82810968985143</v>
      </c>
      <c r="P43" s="31" t="n">
        <v>-17.93858324673266</v>
      </c>
      <c r="Q43" s="31" t="n">
        <v>-29.53959078937273</v>
      </c>
      <c r="R43" s="31" t="n">
        <v>-10.80671901667858</v>
      </c>
      <c r="S43" s="31" t="n">
        <v>-95.62593279780371</v>
      </c>
      <c r="T43" s="31" t="n">
        <v>1309.711755496526</v>
      </c>
      <c r="U43" s="31" t="n">
        <v>-24.93136426809597</v>
      </c>
      <c r="V43" s="31" t="n">
        <v>-35.29695078284981</v>
      </c>
      <c r="W43" s="31" t="n">
        <v>-34.95882968034109</v>
      </c>
      <c r="X43" s="31" t="n">
        <v>-40.11439039544941</v>
      </c>
      <c r="Y43" s="31" t="n">
        <v>3.646530870899041</v>
      </c>
      <c r="Z43" s="31" t="n">
        <v>-55.28533322453303</v>
      </c>
      <c r="AA43" s="31" t="n">
        <v>-28.46477468309803</v>
      </c>
      <c r="AB43" s="31" t="n">
        <v>-43.21768273413655</v>
      </c>
      <c r="AC43" s="31" t="n">
        <v>-62.58971035619452</v>
      </c>
      <c r="AD43" s="31" t="n">
        <v>-13.53809856152086</v>
      </c>
      <c r="AE43" s="31" t="n">
        <v>-51.94905004086676</v>
      </c>
      <c r="AF43" s="31" t="n">
        <v>68921.83810169269</v>
      </c>
      <c r="AG43" s="31" t="n">
        <v>2667.062426682865</v>
      </c>
      <c r="AH43" s="31" t="n">
        <v>3099.745370232565</v>
      </c>
      <c r="AI43" s="31" t="n">
        <v>608.350807695201</v>
      </c>
      <c r="AJ43" s="31" t="n">
        <v>1360.983637853289</v>
      </c>
      <c r="AK43" s="31" t="n">
        <v>154.7172937074643</v>
      </c>
      <c r="AL43" s="31" t="n">
        <v>285.024954028192</v>
      </c>
      <c r="AM43" s="31" t="n">
        <v>3526.504896872516</v>
      </c>
      <c r="AN43" s="31" t="n">
        <v>728.7714638221445</v>
      </c>
      <c r="AO43" s="31" t="n">
        <v>44.75977755944263</v>
      </c>
      <c r="AP43" s="31" t="n">
        <v>1313.809576841872</v>
      </c>
      <c r="AQ43" s="31" t="n">
        <v>56.26080585031171</v>
      </c>
      <c r="AR43" s="31" t="n">
        <v>542.9924037909686</v>
      </c>
      <c r="AS43" s="31" t="n">
        <v>63.63987557999653</v>
      </c>
      <c r="AT43" s="31" t="n">
        <v>16.12369119349346</v>
      </c>
      <c r="AU43" s="31" t="n">
        <v>9.843870451026513</v>
      </c>
      <c r="AV43" s="31" t="n">
        <v>1495.585387339921</v>
      </c>
      <c r="AW43" s="31" t="n">
        <v>1.958182190723897</v>
      </c>
      <c r="AX43" s="31" t="n">
        <v>2.561655803028005</v>
      </c>
      <c r="AY43" s="31" t="n">
        <v>-11.63458769208526</v>
      </c>
      <c r="AZ43" s="31" t="n">
        <v>607.7623027326093</v>
      </c>
      <c r="BA43" s="31" t="n">
        <v>255.2122085211032</v>
      </c>
      <c r="BB43" s="31" t="n">
        <v>9933.817054259707</v>
      </c>
      <c r="BC43" s="31" t="n">
        <v>871.3463397924237</v>
      </c>
      <c r="BD43" s="31" t="n">
        <v>15.43239686418694</v>
      </c>
      <c r="BE43" s="31" t="n">
        <v>851.2280832254114</v>
      </c>
      <c r="BF43" s="31" t="n">
        <v>3008.531334289683</v>
      </c>
      <c r="BG43" s="31" t="n">
        <v>479.4416029095257</v>
      </c>
      <c r="BH43" s="31" t="n">
        <v>120.7903613740778</v>
      </c>
      <c r="BI43" s="31" t="n">
        <v>3303.706830843567</v>
      </c>
      <c r="BJ43" s="31" t="n">
        <v>346.2162019373631</v>
      </c>
      <c r="BK43" s="31" t="n">
        <v>620.4892887557753</v>
      </c>
      <c r="BL43" s="31" t="n">
        <v>1194.645995515471</v>
      </c>
      <c r="BM43" s="31" t="n">
        <v>310.7904873249001</v>
      </c>
      <c r="BN43" s="31" t="n">
        <v>1101.610822895442</v>
      </c>
      <c r="BO43" s="31" t="n">
        <v>535.4747807886495</v>
      </c>
      <c r="BP43" s="31" t="n">
        <v>174.7092024508617</v>
      </c>
      <c r="BQ43" s="31" t="n">
        <v>2386.388130280919</v>
      </c>
      <c r="BR43" s="31" t="n">
        <v>0</v>
      </c>
      <c r="BS43" s="31">
        <f>SUM(C43:BR43)</f>
        <v/>
      </c>
      <c r="BT43" s="31" t="n">
        <v>0</v>
      </c>
      <c r="BU43" s="31" t="n">
        <v>0</v>
      </c>
      <c r="BV43" s="31" t="n">
        <v>0</v>
      </c>
      <c r="BW43" s="31" t="n">
        <v>0</v>
      </c>
      <c r="BX43" s="31">
        <f>SUM(BT43:BW43)</f>
        <v/>
      </c>
      <c r="BY43" s="31">
        <f>BS43+BX43</f>
        <v/>
      </c>
    </row>
    <row r="44">
      <c r="A44" s="28" t="inlineStr">
        <is>
          <t>2700</t>
        </is>
      </c>
      <c r="B44" s="28" t="inlineStr">
        <is>
          <t>Fabricação de máquinas e equipamentos elétricos</t>
        </is>
      </c>
      <c r="C44" s="29" t="n">
        <v>63.88911931392603</v>
      </c>
      <c r="D44" s="29" t="n">
        <v>121.4455867736851</v>
      </c>
      <c r="E44" s="29" t="n">
        <v>8.790427086537429</v>
      </c>
      <c r="F44" s="29" t="n">
        <v>34.91688670347175</v>
      </c>
      <c r="G44" s="29" t="n">
        <v>573.5428481034501</v>
      </c>
      <c r="H44" s="29" t="n">
        <v>246.3425990824236</v>
      </c>
      <c r="I44" s="29" t="n">
        <v>35.88456243912923</v>
      </c>
      <c r="J44" s="29" t="n">
        <v>20.57136848950187</v>
      </c>
      <c r="K44" s="29" t="n">
        <v>39.29787455603844</v>
      </c>
      <c r="L44" s="29" t="n">
        <v>81.1176444957964</v>
      </c>
      <c r="M44" s="29" t="n">
        <v>46.31715093151321</v>
      </c>
      <c r="N44" s="29" t="n">
        <v>0.942366118367079</v>
      </c>
      <c r="O44" s="29" t="n">
        <v>47.54101876516558</v>
      </c>
      <c r="P44" s="29" t="n">
        <v>-2.382750020889282</v>
      </c>
      <c r="Q44" s="29" t="n">
        <v>2.037164297790926</v>
      </c>
      <c r="R44" s="29" t="n">
        <v>52.28324735702938</v>
      </c>
      <c r="S44" s="29" t="n">
        <v>77.38722845989531</v>
      </c>
      <c r="T44" s="29" t="n">
        <v>26.83182216117609</v>
      </c>
      <c r="U44" s="29" t="n">
        <v>6.097871406633082</v>
      </c>
      <c r="V44" s="29" t="n">
        <v>12.3713804943804</v>
      </c>
      <c r="W44" s="29" t="n">
        <v>202.5898946378797</v>
      </c>
      <c r="X44" s="29" t="n">
        <v>23.69050768445319</v>
      </c>
      <c r="Y44" s="29" t="n">
        <v>30.37481575117831</v>
      </c>
      <c r="Z44" s="29" t="n">
        <v>-0.2809089887440467</v>
      </c>
      <c r="AA44" s="29" t="n">
        <v>144.646821754443</v>
      </c>
      <c r="AB44" s="29" t="n">
        <v>210.3723694641014</v>
      </c>
      <c r="AC44" s="29" t="n">
        <v>79.30605914890666</v>
      </c>
      <c r="AD44" s="29" t="n">
        <v>228.7499688093404</v>
      </c>
      <c r="AE44" s="29" t="n">
        <v>171.3650727369856</v>
      </c>
      <c r="AF44" s="29" t="n">
        <v>2827.371423347635</v>
      </c>
      <c r="AG44" s="29" t="n">
        <v>13762.52144141403</v>
      </c>
      <c r="AH44" s="29" t="n">
        <v>4877.281979365416</v>
      </c>
      <c r="AI44" s="29" t="n">
        <v>1144.892347270058</v>
      </c>
      <c r="AJ44" s="29" t="n">
        <v>1579.812566528808</v>
      </c>
      <c r="AK44" s="29" t="n">
        <v>369.0450879508487</v>
      </c>
      <c r="AL44" s="29" t="n">
        <v>382.3089366922013</v>
      </c>
      <c r="AM44" s="29" t="n">
        <v>3251.229596278381</v>
      </c>
      <c r="AN44" s="29" t="n">
        <v>5765.058836699599</v>
      </c>
      <c r="AO44" s="29" t="n">
        <v>334.2781939068372</v>
      </c>
      <c r="AP44" s="29" t="n">
        <v>10912.54060739971</v>
      </c>
      <c r="AQ44" s="29" t="n">
        <v>513.9918939263894</v>
      </c>
      <c r="AR44" s="29" t="n">
        <v>1135.265836670159</v>
      </c>
      <c r="AS44" s="29" t="n">
        <v>1708.330834131059</v>
      </c>
      <c r="AT44" s="29" t="n">
        <v>32.56296002650023</v>
      </c>
      <c r="AU44" s="29" t="n">
        <v>0.2704917825161385</v>
      </c>
      <c r="AV44" s="29" t="n">
        <v>130.1905983525843</v>
      </c>
      <c r="AW44" s="29" t="n">
        <v>32.18631902743811</v>
      </c>
      <c r="AX44" s="29" t="n">
        <v>27.77161091376686</v>
      </c>
      <c r="AY44" s="29" t="n">
        <v>0.5931894002465128</v>
      </c>
      <c r="AZ44" s="29" t="n">
        <v>70.44984722104131</v>
      </c>
      <c r="BA44" s="29" t="n">
        <v>915.9089609148251</v>
      </c>
      <c r="BB44" s="29" t="n">
        <v>81.45302185480183</v>
      </c>
      <c r="BC44" s="29" t="n">
        <v>70.60200017363056</v>
      </c>
      <c r="BD44" s="29" t="n">
        <v>492.0100108939064</v>
      </c>
      <c r="BE44" s="29" t="n">
        <v>680.9895345885898</v>
      </c>
      <c r="BF44" s="29" t="n">
        <v>105.0482450560908</v>
      </c>
      <c r="BG44" s="29" t="n">
        <v>64.32175773360817</v>
      </c>
      <c r="BH44" s="29" t="n">
        <v>40.61951749931413</v>
      </c>
      <c r="BI44" s="29" t="n">
        <v>845.8504933289292</v>
      </c>
      <c r="BJ44" s="29" t="n">
        <v>2.588020055190562</v>
      </c>
      <c r="BK44" s="29" t="n">
        <v>111.2060874803617</v>
      </c>
      <c r="BL44" s="29" t="n">
        <v>58.79363035027061</v>
      </c>
      <c r="BM44" s="29" t="n">
        <v>1.885114017105287</v>
      </c>
      <c r="BN44" s="29" t="n">
        <v>39.95161144008171</v>
      </c>
      <c r="BO44" s="29" t="n">
        <v>11.55811410108293</v>
      </c>
      <c r="BP44" s="29" t="n">
        <v>62.25215453361107</v>
      </c>
      <c r="BQ44" s="29" t="n">
        <v>1532.191746772096</v>
      </c>
      <c r="BR44" s="29" t="n">
        <v>0</v>
      </c>
      <c r="BS44" s="29">
        <f>SUM(C44:BR44)</f>
        <v/>
      </c>
      <c r="BT44" s="29" t="n">
        <v>0</v>
      </c>
      <c r="BU44" s="29" t="n">
        <v>0</v>
      </c>
      <c r="BV44" s="29" t="n">
        <v>0</v>
      </c>
      <c r="BW44" s="29" t="n">
        <v>0</v>
      </c>
      <c r="BX44" s="29">
        <f>SUM(BT44:BW44)</f>
        <v/>
      </c>
      <c r="BY44" s="29">
        <f>BS44+BX44</f>
        <v/>
      </c>
    </row>
    <row r="45">
      <c r="A45" s="30" t="inlineStr">
        <is>
          <t>2800</t>
        </is>
      </c>
      <c r="B45" s="30" t="inlineStr">
        <is>
          <t>Fabricação de máquinas e equipamentos mecânicos</t>
        </is>
      </c>
      <c r="C45" s="31" t="n">
        <v>43.74013365823131</v>
      </c>
      <c r="D45" s="31" t="n">
        <v>52.65635836279602</v>
      </c>
      <c r="E45" s="31" t="n">
        <v>7.995268439151464</v>
      </c>
      <c r="F45" s="31" t="n">
        <v>132.5837902982016</v>
      </c>
      <c r="G45" s="31" t="n">
        <v>8257.555610424191</v>
      </c>
      <c r="H45" s="31" t="n">
        <v>9749.355356319224</v>
      </c>
      <c r="I45" s="31" t="n">
        <v>1061.938138528714</v>
      </c>
      <c r="J45" s="31" t="n">
        <v>-189.308195228537</v>
      </c>
      <c r="K45" s="31" t="n">
        <v>-6.987434972051419</v>
      </c>
      <c r="L45" s="31" t="n">
        <v>-74.58817027761246</v>
      </c>
      <c r="M45" s="31" t="n">
        <v>67.48636165589895</v>
      </c>
      <c r="N45" s="31" t="n">
        <v>-6.152991589490837</v>
      </c>
      <c r="O45" s="31" t="n">
        <v>12.76577473725237</v>
      </c>
      <c r="P45" s="31" t="n">
        <v>-10.18746294018332</v>
      </c>
      <c r="Q45" s="31" t="n">
        <v>-12.21187838992884</v>
      </c>
      <c r="R45" s="31" t="n">
        <v>138.6802021569251</v>
      </c>
      <c r="S45" s="31" t="n">
        <v>-48.80300131313565</v>
      </c>
      <c r="T45" s="31" t="n">
        <v>18.6715838123746</v>
      </c>
      <c r="U45" s="31" t="n">
        <v>-7.52107477168246</v>
      </c>
      <c r="V45" s="31" t="n">
        <v>-19.48360425647316</v>
      </c>
      <c r="W45" s="31" t="n">
        <v>-10.0478933041824</v>
      </c>
      <c r="X45" s="31" t="n">
        <v>-11.46729291123876</v>
      </c>
      <c r="Y45" s="31" t="n">
        <v>17.95004025342719</v>
      </c>
      <c r="Z45" s="31" t="n">
        <v>-33.75824834788417</v>
      </c>
      <c r="AA45" s="31" t="n">
        <v>94.43751554898466</v>
      </c>
      <c r="AB45" s="31" t="n">
        <v>1.093258236314614</v>
      </c>
      <c r="AC45" s="31" t="n">
        <v>29.35876873395937</v>
      </c>
      <c r="AD45" s="31" t="n">
        <v>61.50717416816748</v>
      </c>
      <c r="AE45" s="31" t="n">
        <v>178.115229833149</v>
      </c>
      <c r="AF45" s="31" t="n">
        <v>346.1816301517897</v>
      </c>
      <c r="AG45" s="31" t="n">
        <v>984.0573876587387</v>
      </c>
      <c r="AH45" s="31" t="n">
        <v>27978.16274756816</v>
      </c>
      <c r="AI45" s="31" t="n">
        <v>1994.187300726843</v>
      </c>
      <c r="AJ45" s="31" t="n">
        <v>279.8638434196259</v>
      </c>
      <c r="AK45" s="31" t="n">
        <v>489.471581234867</v>
      </c>
      <c r="AL45" s="31" t="n">
        <v>57.59093329597946</v>
      </c>
      <c r="AM45" s="31" t="n">
        <v>11548.71143273159</v>
      </c>
      <c r="AN45" s="31" t="n">
        <v>220.8734984597128</v>
      </c>
      <c r="AO45" s="31" t="n">
        <v>121.9916726620615</v>
      </c>
      <c r="AP45" s="31" t="n">
        <v>4653.276373857037</v>
      </c>
      <c r="AQ45" s="31" t="n">
        <v>579.2183873084853</v>
      </c>
      <c r="AR45" s="31" t="n">
        <v>414.589228262977</v>
      </c>
      <c r="AS45" s="31" t="n">
        <v>277.4986803135084</v>
      </c>
      <c r="AT45" s="31" t="n">
        <v>266.3786799686607</v>
      </c>
      <c r="AU45" s="31" t="n">
        <v>4.151099208394681</v>
      </c>
      <c r="AV45" s="31" t="n">
        <v>291.5555769781012</v>
      </c>
      <c r="AW45" s="31" t="n">
        <v>10.95971383604344</v>
      </c>
      <c r="AX45" s="31" t="n">
        <v>26.34538598643559</v>
      </c>
      <c r="AY45" s="31" t="n">
        <v>-7.052851925622401</v>
      </c>
      <c r="AZ45" s="31" t="n">
        <v>-6.039977894499703</v>
      </c>
      <c r="BA45" s="31" t="n">
        <v>3.718722266294863</v>
      </c>
      <c r="BB45" s="31" t="n">
        <v>43.45083959254875</v>
      </c>
      <c r="BC45" s="31" t="n">
        <v>9.585615447434135</v>
      </c>
      <c r="BD45" s="31" t="n">
        <v>21.35986749577166</v>
      </c>
      <c r="BE45" s="31" t="n">
        <v>18.73008888044702</v>
      </c>
      <c r="BF45" s="31" t="n">
        <v>77.58034665873232</v>
      </c>
      <c r="BG45" s="31" t="n">
        <v>2.979172937560865</v>
      </c>
      <c r="BH45" s="31" t="n">
        <v>13.13833432336621</v>
      </c>
      <c r="BI45" s="31" t="n">
        <v>1753.59884756479</v>
      </c>
      <c r="BJ45" s="31" t="n">
        <v>1.32557195431412</v>
      </c>
      <c r="BK45" s="31" t="n">
        <v>121.8636667934641</v>
      </c>
      <c r="BL45" s="31" t="n">
        <v>31.09335959410934</v>
      </c>
      <c r="BM45" s="31" t="n">
        <v>1.984678547683802</v>
      </c>
      <c r="BN45" s="31" t="n">
        <v>271.0298599527904</v>
      </c>
      <c r="BO45" s="31" t="n">
        <v>68.90757113134616</v>
      </c>
      <c r="BP45" s="31" t="n">
        <v>6.591593795773512</v>
      </c>
      <c r="BQ45" s="31" t="n">
        <v>77.37438657915602</v>
      </c>
      <c r="BR45" s="31" t="n">
        <v>0</v>
      </c>
      <c r="BS45" s="31">
        <f>SUM(C45:BR45)</f>
        <v/>
      </c>
      <c r="BT45" s="31" t="n">
        <v>0</v>
      </c>
      <c r="BU45" s="31" t="n">
        <v>0</v>
      </c>
      <c r="BV45" s="31" t="n">
        <v>0</v>
      </c>
      <c r="BW45" s="31" t="n">
        <v>0</v>
      </c>
      <c r="BX45" s="31">
        <f>SUM(BT45:BW45)</f>
        <v/>
      </c>
      <c r="BY45" s="31">
        <f>BS45+BX45</f>
        <v/>
      </c>
    </row>
    <row r="46">
      <c r="A46" s="28" t="inlineStr">
        <is>
          <t>2991</t>
        </is>
      </c>
      <c r="B46" s="28" t="inlineStr">
        <is>
          <t>Fabricação de automóveis, caminhões e ônibus, exceto peças</t>
        </is>
      </c>
      <c r="C46" s="29" t="n">
        <v>1.373677367476051</v>
      </c>
      <c r="D46" s="29" t="n">
        <v>2.377413943853591</v>
      </c>
      <c r="E46" s="29" t="n">
        <v>0.1433754611832474</v>
      </c>
      <c r="F46" s="29" t="n">
        <v>1.018728245422989</v>
      </c>
      <c r="G46" s="29" t="n">
        <v>70.90637163671927</v>
      </c>
      <c r="H46" s="29" t="n">
        <v>57.06368238714364</v>
      </c>
      <c r="I46" s="29" t="n">
        <v>6.691152858010789</v>
      </c>
      <c r="J46" s="29" t="n">
        <v>3.44971562281742</v>
      </c>
      <c r="K46" s="29" t="n">
        <v>47.65186871411203</v>
      </c>
      <c r="L46" s="29" t="n">
        <v>5.912447369376631</v>
      </c>
      <c r="M46" s="29" t="n">
        <v>2.476194903107599</v>
      </c>
      <c r="N46" s="29" t="n">
        <v>0.05817542557772632</v>
      </c>
      <c r="O46" s="29" t="n">
        <v>9.03968367539688</v>
      </c>
      <c r="P46" s="29" t="n">
        <v>1.285609816115704</v>
      </c>
      <c r="Q46" s="29" t="n">
        <v>1.960207687381339</v>
      </c>
      <c r="R46" s="29" t="n">
        <v>2.356866078738078</v>
      </c>
      <c r="S46" s="29" t="n">
        <v>2.408507482511135</v>
      </c>
      <c r="T46" s="29" t="n">
        <v>0.3655550952152691</v>
      </c>
      <c r="U46" s="29" t="n">
        <v>0.3403373339888433</v>
      </c>
      <c r="V46" s="29" t="n">
        <v>0.3752003563067127</v>
      </c>
      <c r="W46" s="29" t="n">
        <v>4.342579783786119</v>
      </c>
      <c r="X46" s="29" t="n">
        <v>14.18887093464797</v>
      </c>
      <c r="Y46" s="29" t="n">
        <v>1.012069296798832</v>
      </c>
      <c r="Z46" s="29" t="n">
        <v>0.1417767039326301</v>
      </c>
      <c r="AA46" s="29" t="n">
        <v>8.443628623724289</v>
      </c>
      <c r="AB46" s="29" t="n">
        <v>2.584525417532113</v>
      </c>
      <c r="AC46" s="29" t="n">
        <v>2.739639686662998</v>
      </c>
      <c r="AD46" s="29" t="n">
        <v>2.010185664345382</v>
      </c>
      <c r="AE46" s="29" t="n">
        <v>7.420362167572289</v>
      </c>
      <c r="AF46" s="29" t="n">
        <v>36.85668063497548</v>
      </c>
      <c r="AG46" s="29" t="n">
        <v>222.9460873076509</v>
      </c>
      <c r="AH46" s="29" t="n">
        <v>265.8685210756159</v>
      </c>
      <c r="AI46" s="29" t="n">
        <v>4382.963221618364</v>
      </c>
      <c r="AJ46" s="29" t="n">
        <v>269.546648177577</v>
      </c>
      <c r="AK46" s="29" t="n">
        <v>533.8767664595422</v>
      </c>
      <c r="AL46" s="29" t="n">
        <v>8.218879406201074</v>
      </c>
      <c r="AM46" s="29" t="n">
        <v>258.8860608070351</v>
      </c>
      <c r="AN46" s="29" t="n">
        <v>102.5169923879073</v>
      </c>
      <c r="AO46" s="29" t="n">
        <v>1.913757044961045</v>
      </c>
      <c r="AP46" s="29" t="n">
        <v>234.5261500106481</v>
      </c>
      <c r="AQ46" s="29" t="n">
        <v>575.555154166521</v>
      </c>
      <c r="AR46" s="29" t="n">
        <v>5.654754446680802</v>
      </c>
      <c r="AS46" s="29" t="n">
        <v>579.076580870441</v>
      </c>
      <c r="AT46" s="29" t="n">
        <v>2.706025570376551</v>
      </c>
      <c r="AU46" s="29" t="n">
        <v>0.006314256850098413</v>
      </c>
      <c r="AV46" s="29" t="n">
        <v>1.5487680216047</v>
      </c>
      <c r="AW46" s="29" t="n">
        <v>1.16757808127286</v>
      </c>
      <c r="AX46" s="29" t="n">
        <v>0.8415314731194701</v>
      </c>
      <c r="AY46" s="29" t="n">
        <v>0.04078590209692226</v>
      </c>
      <c r="AZ46" s="29" t="n">
        <v>1.008808684701144</v>
      </c>
      <c r="BA46" s="29" t="n">
        <v>17.06400193234917</v>
      </c>
      <c r="BB46" s="29" t="n">
        <v>0.5589128194596564</v>
      </c>
      <c r="BC46" s="29" t="n">
        <v>0.9081932953544976</v>
      </c>
      <c r="BD46" s="29" t="n">
        <v>8.800099403845765</v>
      </c>
      <c r="BE46" s="29" t="n">
        <v>12.4480123075026</v>
      </c>
      <c r="BF46" s="29" t="n">
        <v>13.1069600807239</v>
      </c>
      <c r="BG46" s="29" t="n">
        <v>0.9881390559923888</v>
      </c>
      <c r="BH46" s="29" t="n">
        <v>-0.8173396455177453</v>
      </c>
      <c r="BI46" s="29" t="n">
        <v>28.59019723357471</v>
      </c>
      <c r="BJ46" s="29" t="n">
        <v>-0.9738813964592169</v>
      </c>
      <c r="BK46" s="29" t="n">
        <v>37.02259257017008</v>
      </c>
      <c r="BL46" s="29" t="n">
        <v>3.411688110591831</v>
      </c>
      <c r="BM46" s="29" t="n">
        <v>0.1042328495011735</v>
      </c>
      <c r="BN46" s="29" t="n">
        <v>-0.7506067254051937</v>
      </c>
      <c r="BO46" s="29" t="n">
        <v>-3.010244761210959</v>
      </c>
      <c r="BP46" s="29" t="n">
        <v>0.9302504361077919</v>
      </c>
      <c r="BQ46" s="29" t="n">
        <v>17.07503347297789</v>
      </c>
      <c r="BR46" s="29" t="n">
        <v>0</v>
      </c>
      <c r="BS46" s="29">
        <f>SUM(C46:BR46)</f>
        <v/>
      </c>
      <c r="BT46" s="29" t="n">
        <v>0</v>
      </c>
      <c r="BU46" s="29" t="n">
        <v>0</v>
      </c>
      <c r="BV46" s="29" t="n">
        <v>0</v>
      </c>
      <c r="BW46" s="29" t="n">
        <v>0</v>
      </c>
      <c r="BX46" s="29">
        <f>SUM(BT46:BW46)</f>
        <v/>
      </c>
      <c r="BY46" s="29">
        <f>BS46+BX46</f>
        <v/>
      </c>
    </row>
    <row r="47">
      <c r="A47" s="30" t="inlineStr">
        <is>
          <t>2992</t>
        </is>
      </c>
      <c r="B47" s="30" t="inlineStr">
        <is>
          <t>Fabricação de peças e acessórios para veículos automotores</t>
        </is>
      </c>
      <c r="C47" s="31" t="n">
        <v>16.0363961025126</v>
      </c>
      <c r="D47" s="31" t="n">
        <v>11.68834552733395</v>
      </c>
      <c r="E47" s="31" t="n">
        <v>0.6701446332732612</v>
      </c>
      <c r="F47" s="31" t="n">
        <v>8.267267266245465</v>
      </c>
      <c r="G47" s="31" t="n">
        <v>216.8667449556177</v>
      </c>
      <c r="H47" s="31" t="n">
        <v>207.148301021832</v>
      </c>
      <c r="I47" s="31" t="n">
        <v>24.15920734470421</v>
      </c>
      <c r="J47" s="31" t="n">
        <v>28.71356167610021</v>
      </c>
      <c r="K47" s="31" t="n">
        <v>3.207455328061947</v>
      </c>
      <c r="L47" s="31" t="n">
        <v>44.48826223770733</v>
      </c>
      <c r="M47" s="31" t="n">
        <v>36.18564701991359</v>
      </c>
      <c r="N47" s="31" t="n">
        <v>0.1873032926289798</v>
      </c>
      <c r="O47" s="31" t="n">
        <v>10.80768088303277</v>
      </c>
      <c r="P47" s="31" t="n">
        <v>1.9481283089881</v>
      </c>
      <c r="Q47" s="31" t="n">
        <v>6.315603633067859</v>
      </c>
      <c r="R47" s="31" t="n">
        <v>10.74426216386492</v>
      </c>
      <c r="S47" s="31" t="n">
        <v>8.230532792638034</v>
      </c>
      <c r="T47" s="31" t="n">
        <v>13.6739845342627</v>
      </c>
      <c r="U47" s="31" t="n">
        <v>9.752214473702589</v>
      </c>
      <c r="V47" s="31" t="n">
        <v>1.654014849021355</v>
      </c>
      <c r="W47" s="31" t="n">
        <v>14.89700331350822</v>
      </c>
      <c r="X47" s="31" t="n">
        <v>16.41125433336976</v>
      </c>
      <c r="Y47" s="31" t="n">
        <v>11.77567448962147</v>
      </c>
      <c r="Z47" s="31" t="n">
        <v>3.886384625564554</v>
      </c>
      <c r="AA47" s="31" t="n">
        <v>46.12293834327453</v>
      </c>
      <c r="AB47" s="31" t="n">
        <v>22.60929167552327</v>
      </c>
      <c r="AC47" s="31" t="n">
        <v>30.00178210105411</v>
      </c>
      <c r="AD47" s="31" t="n">
        <v>31.02826605500161</v>
      </c>
      <c r="AE47" s="31" t="n">
        <v>82.60937185919191</v>
      </c>
      <c r="AF47" s="31" t="n">
        <v>316.697814594149</v>
      </c>
      <c r="AG47" s="31" t="n">
        <v>158.8014768310264</v>
      </c>
      <c r="AH47" s="31" t="n">
        <v>688.0586561968536</v>
      </c>
      <c r="AI47" s="31" t="n">
        <v>44491.81178859729</v>
      </c>
      <c r="AJ47" s="31" t="n">
        <v>12543.83150609271</v>
      </c>
      <c r="AK47" s="31" t="n">
        <v>255.2325854946745</v>
      </c>
      <c r="AL47" s="31" t="n">
        <v>26.58418688565708</v>
      </c>
      <c r="AM47" s="31" t="n">
        <v>366.032066517061</v>
      </c>
      <c r="AN47" s="31" t="n">
        <v>52.9894090157281</v>
      </c>
      <c r="AO47" s="31" t="n">
        <v>4.395311387562102</v>
      </c>
      <c r="AP47" s="31" t="n">
        <v>401.268772851541</v>
      </c>
      <c r="AQ47" s="31" t="n">
        <v>19465.00000860546</v>
      </c>
      <c r="AR47" s="31" t="n">
        <v>30.20846806486094</v>
      </c>
      <c r="AS47" s="31" t="n">
        <v>13311.93730059938</v>
      </c>
      <c r="AT47" s="31" t="n">
        <v>6.361644100036636</v>
      </c>
      <c r="AU47" s="31" t="n">
        <v>2.016751744377796</v>
      </c>
      <c r="AV47" s="31" t="n">
        <v>12.28305631325977</v>
      </c>
      <c r="AW47" s="31" t="n">
        <v>2.400145419073854</v>
      </c>
      <c r="AX47" s="31" t="n">
        <v>11.75678184358345</v>
      </c>
      <c r="AY47" s="31" t="n">
        <v>0.1023564588607954</v>
      </c>
      <c r="AZ47" s="31" t="n">
        <v>1.437397477359167</v>
      </c>
      <c r="BA47" s="31" t="n">
        <v>8.054808716221546</v>
      </c>
      <c r="BB47" s="31" t="n">
        <v>18.04790750560904</v>
      </c>
      <c r="BC47" s="31" t="n">
        <v>1.119385738453153</v>
      </c>
      <c r="BD47" s="31" t="n">
        <v>7.944552507320058</v>
      </c>
      <c r="BE47" s="31" t="n">
        <v>6.543964380174115</v>
      </c>
      <c r="BF47" s="31" t="n">
        <v>60.58636466735242</v>
      </c>
      <c r="BG47" s="31" t="n">
        <v>0.9095506142737984</v>
      </c>
      <c r="BH47" s="31" t="n">
        <v>225.8304062451686</v>
      </c>
      <c r="BI47" s="31" t="n">
        <v>49.88278768684467</v>
      </c>
      <c r="BJ47" s="31" t="n">
        <v>-0.3916670253505989</v>
      </c>
      <c r="BK47" s="31" t="n">
        <v>878.0195126918607</v>
      </c>
      <c r="BL47" s="31" t="n">
        <v>228.3422634798001</v>
      </c>
      <c r="BM47" s="31" t="n">
        <v>0.8003917341258652</v>
      </c>
      <c r="BN47" s="31" t="n">
        <v>224.457347395193</v>
      </c>
      <c r="BO47" s="31" t="n">
        <v>1.571020156635221</v>
      </c>
      <c r="BP47" s="31" t="n">
        <v>1.098929861703663</v>
      </c>
      <c r="BQ47" s="31" t="n">
        <v>15.47274346479503</v>
      </c>
      <c r="BR47" s="31" t="n">
        <v>0</v>
      </c>
      <c r="BS47" s="31">
        <f>SUM(C47:BR47)</f>
        <v/>
      </c>
      <c r="BT47" s="31" t="n">
        <v>0</v>
      </c>
      <c r="BU47" s="31" t="n">
        <v>0</v>
      </c>
      <c r="BV47" s="31" t="n">
        <v>0</v>
      </c>
      <c r="BW47" s="31" t="n">
        <v>0</v>
      </c>
      <c r="BX47" s="31">
        <f>SUM(BT47:BW47)</f>
        <v/>
      </c>
      <c r="BY47" s="31">
        <f>BS47+BX47</f>
        <v/>
      </c>
    </row>
    <row r="48">
      <c r="A48" s="28" t="inlineStr">
        <is>
          <t>3000</t>
        </is>
      </c>
      <c r="B48" s="28" t="inlineStr">
        <is>
          <t>Fabricação de outros equipamentos de transporte, exceto veículos automotores</t>
        </is>
      </c>
      <c r="C48" s="29" t="n">
        <v>0.913042785896419</v>
      </c>
      <c r="D48" s="29" t="n">
        <v>0.8524947787170797</v>
      </c>
      <c r="E48" s="29" t="n">
        <v>0.2784838958386788</v>
      </c>
      <c r="F48" s="29" t="n">
        <v>1.547522093007105</v>
      </c>
      <c r="G48" s="29" t="n">
        <v>47.56904985259531</v>
      </c>
      <c r="H48" s="29" t="n">
        <v>53.22450046541096</v>
      </c>
      <c r="I48" s="29" t="n">
        <v>6.046513649440716</v>
      </c>
      <c r="J48" s="29" t="n">
        <v>-25.08149348099804</v>
      </c>
      <c r="K48" s="29" t="n">
        <v>-0.6423998014076407</v>
      </c>
      <c r="L48" s="29" t="n">
        <v>-11.93628282285124</v>
      </c>
      <c r="M48" s="29" t="n">
        <v>4.073729633266831</v>
      </c>
      <c r="N48" s="29" t="n">
        <v>-0.7753253269310229</v>
      </c>
      <c r="O48" s="29" t="n">
        <v>-1.471053614578577</v>
      </c>
      <c r="P48" s="29" t="n">
        <v>8.398171786399104</v>
      </c>
      <c r="Q48" s="29" t="n">
        <v>-0.8210169894742416</v>
      </c>
      <c r="R48" s="29" t="n">
        <v>0.4404590766407552</v>
      </c>
      <c r="S48" s="29" t="n">
        <v>-4.782541015921972</v>
      </c>
      <c r="T48" s="29" t="n">
        <v>1.148768387392067</v>
      </c>
      <c r="U48" s="29" t="n">
        <v>-0.5663067890171084</v>
      </c>
      <c r="V48" s="29" t="n">
        <v>-1.883219027327959</v>
      </c>
      <c r="W48" s="29" t="n">
        <v>-0.5313930530570886</v>
      </c>
      <c r="X48" s="29" t="n">
        <v>-2.395540763083748</v>
      </c>
      <c r="Y48" s="29" t="n">
        <v>1.187294380573162</v>
      </c>
      <c r="Z48" s="29" t="n">
        <v>-3.594988727333487</v>
      </c>
      <c r="AA48" s="29" t="n">
        <v>-0.568648865036625</v>
      </c>
      <c r="AB48" s="29" t="n">
        <v>-0.1449715658783803</v>
      </c>
      <c r="AC48" s="29" t="n">
        <v>5.786334967529051</v>
      </c>
      <c r="AD48" s="29" t="n">
        <v>0.8791793486505927</v>
      </c>
      <c r="AE48" s="29" t="n">
        <v>5.48146151613093</v>
      </c>
      <c r="AF48" s="29" t="n">
        <v>-0.1641340745637812</v>
      </c>
      <c r="AG48" s="29" t="n">
        <v>15.14852361297814</v>
      </c>
      <c r="AH48" s="29" t="n">
        <v>131.9324991284211</v>
      </c>
      <c r="AI48" s="29" t="n">
        <v>59.46844215651255</v>
      </c>
      <c r="AJ48" s="29" t="n">
        <v>18.30753181530301</v>
      </c>
      <c r="AK48" s="29" t="n">
        <v>15544.78892459282</v>
      </c>
      <c r="AL48" s="29" t="n">
        <v>7.975306968250552</v>
      </c>
      <c r="AM48" s="29" t="n">
        <v>3596.777028510931</v>
      </c>
      <c r="AN48" s="29" t="n">
        <v>5.95807639899359</v>
      </c>
      <c r="AO48" s="29" t="n">
        <v>2.853187471460561</v>
      </c>
      <c r="AP48" s="29" t="n">
        <v>50.42727032072675</v>
      </c>
      <c r="AQ48" s="29" t="n">
        <v>239.0879765031679</v>
      </c>
      <c r="AR48" s="29" t="n">
        <v>-7.423720534377945</v>
      </c>
      <c r="AS48" s="29" t="n">
        <v>1396.180786712032</v>
      </c>
      <c r="AT48" s="29" t="n">
        <v>3.023842258949082</v>
      </c>
      <c r="AU48" s="29" t="n">
        <v>0.1833963949279465</v>
      </c>
      <c r="AV48" s="29" t="n">
        <v>6.058085594165908</v>
      </c>
      <c r="AW48" s="29" t="n">
        <v>0.1973593440547392</v>
      </c>
      <c r="AX48" s="29" t="n">
        <v>1.710631926422362</v>
      </c>
      <c r="AY48" s="29" t="n">
        <v>-0.6542099248818378</v>
      </c>
      <c r="AZ48" s="29" t="n">
        <v>-1.173963610363812</v>
      </c>
      <c r="BA48" s="29" t="n">
        <v>-7.414076277217303</v>
      </c>
      <c r="BB48" s="29" t="n">
        <v>0.677139288267636</v>
      </c>
      <c r="BC48" s="29" t="n">
        <v>1.337535767216179</v>
      </c>
      <c r="BD48" s="29" t="n">
        <v>1.579640200655029</v>
      </c>
      <c r="BE48" s="29" t="n">
        <v>1.861113930776728</v>
      </c>
      <c r="BF48" s="29" t="n">
        <v>2.667048626151669</v>
      </c>
      <c r="BG48" s="29" t="n">
        <v>2.046801832682951</v>
      </c>
      <c r="BH48" s="29" t="n">
        <v>5.251261473457118</v>
      </c>
      <c r="BI48" s="29" t="n">
        <v>10.26843594955523</v>
      </c>
      <c r="BJ48" s="29" t="n">
        <v>0.2707480413782557</v>
      </c>
      <c r="BK48" s="29" t="n">
        <v>265.4801246814519</v>
      </c>
      <c r="BL48" s="29" t="n">
        <v>7.906154070153716</v>
      </c>
      <c r="BM48" s="29" t="n">
        <v>0.223055628109927</v>
      </c>
      <c r="BN48" s="29" t="n">
        <v>30.57670197301365</v>
      </c>
      <c r="BO48" s="29" t="n">
        <v>91.26941084122618</v>
      </c>
      <c r="BP48" s="29" t="n">
        <v>1.418609803995326</v>
      </c>
      <c r="BQ48" s="29" t="n">
        <v>149.9805101930053</v>
      </c>
      <c r="BR48" s="29" t="n">
        <v>0</v>
      </c>
      <c r="BS48" s="29">
        <f>SUM(C48:BR48)</f>
        <v/>
      </c>
      <c r="BT48" s="29" t="n">
        <v>0</v>
      </c>
      <c r="BU48" s="29" t="n">
        <v>0</v>
      </c>
      <c r="BV48" s="29" t="n">
        <v>0</v>
      </c>
      <c r="BW48" s="29" t="n">
        <v>0</v>
      </c>
      <c r="BX48" s="29">
        <f>SUM(BT48:BW48)</f>
        <v/>
      </c>
      <c r="BY48" s="29">
        <f>BS48+BX48</f>
        <v/>
      </c>
    </row>
    <row r="49">
      <c r="A49" s="30" t="inlineStr">
        <is>
          <t>3180</t>
        </is>
      </c>
      <c r="B49" s="30" t="inlineStr">
        <is>
          <t>Fabricação de móveis e de produtos de indústrias diversas</t>
        </is>
      </c>
      <c r="C49" s="31" t="n">
        <v>42.53196810539423</v>
      </c>
      <c r="D49" s="31" t="n">
        <v>40.39601411876607</v>
      </c>
      <c r="E49" s="31" t="n">
        <v>15.17158771971501</v>
      </c>
      <c r="F49" s="31" t="n">
        <v>5.715505918824381</v>
      </c>
      <c r="G49" s="31" t="n">
        <v>180.2666066775085</v>
      </c>
      <c r="H49" s="31" t="n">
        <v>156.042541251442</v>
      </c>
      <c r="I49" s="31" t="n">
        <v>13.93237691618846</v>
      </c>
      <c r="J49" s="31" t="n">
        <v>-36.69123663499425</v>
      </c>
      <c r="K49" s="31" t="n">
        <v>11.00876825004987</v>
      </c>
      <c r="L49" s="31" t="n">
        <v>35.1148705759066</v>
      </c>
      <c r="M49" s="31" t="n">
        <v>47.31288555697858</v>
      </c>
      <c r="N49" s="31" t="n">
        <v>-1.672417202565489</v>
      </c>
      <c r="O49" s="31" t="n">
        <v>92.92160665301616</v>
      </c>
      <c r="P49" s="31" t="n">
        <v>1811.470865111637</v>
      </c>
      <c r="Q49" s="31" t="n">
        <v>281.7702833120939</v>
      </c>
      <c r="R49" s="31" t="n">
        <v>30.19010283197387</v>
      </c>
      <c r="S49" s="31" t="n">
        <v>0.2005187606700182</v>
      </c>
      <c r="T49" s="31" t="n">
        <v>22.614941618844</v>
      </c>
      <c r="U49" s="31" t="n">
        <v>14.46355799047802</v>
      </c>
      <c r="V49" s="31" t="n">
        <v>-4.330337279258945</v>
      </c>
      <c r="W49" s="31" t="n">
        <v>237.3175153640169</v>
      </c>
      <c r="X49" s="31" t="n">
        <v>87.27523438071425</v>
      </c>
      <c r="Y49" s="31" t="n">
        <v>23.24076288586709</v>
      </c>
      <c r="Z49" s="31" t="n">
        <v>116.5414413339987</v>
      </c>
      <c r="AA49" s="31" t="n">
        <v>140.6752486437262</v>
      </c>
      <c r="AB49" s="31" t="n">
        <v>210.148827090829</v>
      </c>
      <c r="AC49" s="31" t="n">
        <v>9.477954666346498</v>
      </c>
      <c r="AD49" s="31" t="n">
        <v>9.662377360797196</v>
      </c>
      <c r="AE49" s="31" t="n">
        <v>48.04940224358003</v>
      </c>
      <c r="AF49" s="31" t="n">
        <v>216.5294543398847</v>
      </c>
      <c r="AG49" s="31" t="n">
        <v>54.35233137985955</v>
      </c>
      <c r="AH49" s="31" t="n">
        <v>921.8436607673914</v>
      </c>
      <c r="AI49" s="31" t="n">
        <v>391.8738562884474</v>
      </c>
      <c r="AJ49" s="31" t="n">
        <v>538.7381883915199</v>
      </c>
      <c r="AK49" s="31" t="n">
        <v>88.00205966686184</v>
      </c>
      <c r="AL49" s="31" t="n">
        <v>3507.556405188088</v>
      </c>
      <c r="AM49" s="31" t="n">
        <v>269.6275697250907</v>
      </c>
      <c r="AN49" s="31" t="n">
        <v>71.25623483652916</v>
      </c>
      <c r="AO49" s="31" t="n">
        <v>65.03200987822325</v>
      </c>
      <c r="AP49" s="31" t="n">
        <v>1090.158183891792</v>
      </c>
      <c r="AQ49" s="31" t="n">
        <v>55.30098587348409</v>
      </c>
      <c r="AR49" s="31" t="n">
        <v>642.7885599369353</v>
      </c>
      <c r="AS49" s="31" t="n">
        <v>173.8055873564805</v>
      </c>
      <c r="AT49" s="31" t="n">
        <v>181.205916761885</v>
      </c>
      <c r="AU49" s="31" t="n">
        <v>1.7288826046248</v>
      </c>
      <c r="AV49" s="31" t="n">
        <v>288.5426884774231</v>
      </c>
      <c r="AW49" s="31" t="n">
        <v>12.04876360367993</v>
      </c>
      <c r="AX49" s="31" t="n">
        <v>24.13335735412872</v>
      </c>
      <c r="AY49" s="31" t="n">
        <v>-0.8345299563403575</v>
      </c>
      <c r="AZ49" s="31" t="n">
        <v>54.37538762996106</v>
      </c>
      <c r="BA49" s="31" t="n">
        <v>-21.98632796893752</v>
      </c>
      <c r="BB49" s="31" t="n">
        <v>159.9871141073565</v>
      </c>
      <c r="BC49" s="31" t="n">
        <v>227.4148597149046</v>
      </c>
      <c r="BD49" s="31" t="n">
        <v>198.9207463988156</v>
      </c>
      <c r="BE49" s="31" t="n">
        <v>359.3855373215223</v>
      </c>
      <c r="BF49" s="31" t="n">
        <v>625.9901410268527</v>
      </c>
      <c r="BG49" s="31" t="n">
        <v>568.3329361258743</v>
      </c>
      <c r="BH49" s="31" t="n">
        <v>784.526193579594</v>
      </c>
      <c r="BI49" s="31" t="n">
        <v>253.4140945237137</v>
      </c>
      <c r="BJ49" s="31" t="n">
        <v>26.70200173970504</v>
      </c>
      <c r="BK49" s="31" t="n">
        <v>1049.617096005855</v>
      </c>
      <c r="BL49" s="31" t="n">
        <v>1338.952777169822</v>
      </c>
      <c r="BM49" s="31" t="n">
        <v>45.77002525352639</v>
      </c>
      <c r="BN49" s="31" t="n">
        <v>5826.22736020281</v>
      </c>
      <c r="BO49" s="31" t="n">
        <v>18952.18262979185</v>
      </c>
      <c r="BP49" s="31" t="n">
        <v>195.3371435825062</v>
      </c>
      <c r="BQ49" s="31" t="n">
        <v>173.2710763794281</v>
      </c>
      <c r="BR49" s="31" t="n">
        <v>0</v>
      </c>
      <c r="BS49" s="31">
        <f>SUM(C49:BR49)</f>
        <v/>
      </c>
      <c r="BT49" s="31" t="n">
        <v>0</v>
      </c>
      <c r="BU49" s="31" t="n">
        <v>0</v>
      </c>
      <c r="BV49" s="31" t="n">
        <v>0</v>
      </c>
      <c r="BW49" s="31" t="n">
        <v>0</v>
      </c>
      <c r="BX49" s="31">
        <f>SUM(BT49:BW49)</f>
        <v/>
      </c>
      <c r="BY49" s="31">
        <f>BS49+BX49</f>
        <v/>
      </c>
    </row>
    <row r="50">
      <c r="A50" s="28" t="inlineStr">
        <is>
          <t>3300</t>
        </is>
      </c>
      <c r="B50" s="28" t="inlineStr">
        <is>
          <t>Manutenção, reparação e instalação de máquinas e equipamentos</t>
        </is>
      </c>
      <c r="C50" s="29" t="n">
        <v>26.49060007972749</v>
      </c>
      <c r="D50" s="29" t="n">
        <v>12.03774421113018</v>
      </c>
      <c r="E50" s="29" t="n">
        <v>17.81102191239357</v>
      </c>
      <c r="F50" s="29" t="n">
        <v>147.2880253450835</v>
      </c>
      <c r="G50" s="29" t="n">
        <v>548.4498239161319</v>
      </c>
      <c r="H50" s="29" t="n">
        <v>480.0067660094838</v>
      </c>
      <c r="I50" s="29" t="n">
        <v>107.3821788681986</v>
      </c>
      <c r="J50" s="29" t="n">
        <v>150.6254445961</v>
      </c>
      <c r="K50" s="29" t="n">
        <v>145.7760037242089</v>
      </c>
      <c r="L50" s="29" t="n">
        <v>81.07020351505706</v>
      </c>
      <c r="M50" s="29" t="n">
        <v>76.20378622871567</v>
      </c>
      <c r="N50" s="29" t="n">
        <v>0.7965587469562156</v>
      </c>
      <c r="O50" s="29" t="n">
        <v>19.84874970648375</v>
      </c>
      <c r="P50" s="29" t="n">
        <v>32.55392026286596</v>
      </c>
      <c r="Q50" s="29" t="n">
        <v>16.23639116442682</v>
      </c>
      <c r="R50" s="29" t="n">
        <v>142.8941586683528</v>
      </c>
      <c r="S50" s="29" t="n">
        <v>530.4871995682904</v>
      </c>
      <c r="T50" s="29" t="n">
        <v>178.5435412014577</v>
      </c>
      <c r="U50" s="29" t="n">
        <v>184.2303160373403</v>
      </c>
      <c r="V50" s="29" t="n">
        <v>151.6716055657761</v>
      </c>
      <c r="W50" s="29" t="n">
        <v>321.9780139310344</v>
      </c>
      <c r="X50" s="29" t="n">
        <v>106.048923248986</v>
      </c>
      <c r="Y50" s="29" t="n">
        <v>32.90661951687392</v>
      </c>
      <c r="Z50" s="29" t="n">
        <v>92.23283272650561</v>
      </c>
      <c r="AA50" s="29" t="n">
        <v>86.96256312815861</v>
      </c>
      <c r="AB50" s="29" t="n">
        <v>395.9755102819523</v>
      </c>
      <c r="AC50" s="29" t="n">
        <v>1354.063989990773</v>
      </c>
      <c r="AD50" s="29" t="n">
        <v>356.8848235539472</v>
      </c>
      <c r="AE50" s="29" t="n">
        <v>127.1623912282019</v>
      </c>
      <c r="AF50" s="29" t="n">
        <v>126.2192164375066</v>
      </c>
      <c r="AG50" s="29" t="n">
        <v>207.7723158145211</v>
      </c>
      <c r="AH50" s="29" t="n">
        <v>524.3499919315749</v>
      </c>
      <c r="AI50" s="29" t="n">
        <v>58.27116280805006</v>
      </c>
      <c r="AJ50" s="29" t="n">
        <v>119.6549195197106</v>
      </c>
      <c r="AK50" s="29" t="n">
        <v>51.13403269816371</v>
      </c>
      <c r="AL50" s="29" t="n">
        <v>124.6156729149941</v>
      </c>
      <c r="AM50" s="29" t="n">
        <v>259.1695087556588</v>
      </c>
      <c r="AN50" s="29" t="n">
        <v>295.0329180568532</v>
      </c>
      <c r="AO50" s="29" t="n">
        <v>204.9026867749515</v>
      </c>
      <c r="AP50" s="29" t="n">
        <v>485.0189546782537</v>
      </c>
      <c r="AQ50" s="29" t="n">
        <v>113.3948732886352</v>
      </c>
      <c r="AR50" s="29" t="n">
        <v>762.2751180378436</v>
      </c>
      <c r="AS50" s="29" t="n">
        <v>107.3932167137664</v>
      </c>
      <c r="AT50" s="29" t="n">
        <v>125.9634832784243</v>
      </c>
      <c r="AU50" s="29" t="n">
        <v>27.46403996399523</v>
      </c>
      <c r="AV50" s="29" t="n">
        <v>523.0811091333231</v>
      </c>
      <c r="AW50" s="29" t="n">
        <v>1.751832721394839</v>
      </c>
      <c r="AX50" s="29" t="n">
        <v>49.67803351313653</v>
      </c>
      <c r="AY50" s="29" t="n">
        <v>58.5942608983066</v>
      </c>
      <c r="AZ50" s="29" t="n">
        <v>19.34144502824123</v>
      </c>
      <c r="BA50" s="29" t="n">
        <v>52.93988750031138</v>
      </c>
      <c r="BB50" s="29" t="n">
        <v>275.1046545198461</v>
      </c>
      <c r="BC50" s="29" t="n">
        <v>56.62181628650833</v>
      </c>
      <c r="BD50" s="29" t="n">
        <v>32.03637459780289</v>
      </c>
      <c r="BE50" s="29" t="n">
        <v>148.7127430012102</v>
      </c>
      <c r="BF50" s="29" t="n">
        <v>65.9257762524428</v>
      </c>
      <c r="BG50" s="29" t="n">
        <v>41.17772695137097</v>
      </c>
      <c r="BH50" s="29" t="n">
        <v>184.1232738505948</v>
      </c>
      <c r="BI50" s="29" t="n">
        <v>211.2267865443609</v>
      </c>
      <c r="BJ50" s="29" t="n">
        <v>37.99959523665121</v>
      </c>
      <c r="BK50" s="29" t="n">
        <v>179.5517830357175</v>
      </c>
      <c r="BL50" s="29" t="n">
        <v>24.40624710545627</v>
      </c>
      <c r="BM50" s="29" t="n">
        <v>0.1201014918649406</v>
      </c>
      <c r="BN50" s="29" t="n">
        <v>213.8043925823237</v>
      </c>
      <c r="BO50" s="29" t="n">
        <v>131.8235372403954</v>
      </c>
      <c r="BP50" s="29" t="n">
        <v>76.69454476075315</v>
      </c>
      <c r="BQ50" s="29" t="n">
        <v>112.1981562865624</v>
      </c>
      <c r="BR50" s="29" t="n">
        <v>0</v>
      </c>
      <c r="BS50" s="29">
        <f>SUM(C50:BR50)</f>
        <v/>
      </c>
      <c r="BT50" s="29" t="n">
        <v>0</v>
      </c>
      <c r="BU50" s="29" t="n">
        <v>0</v>
      </c>
      <c r="BV50" s="29" t="n">
        <v>0</v>
      </c>
      <c r="BW50" s="29" t="n">
        <v>0</v>
      </c>
      <c r="BX50" s="29">
        <f>SUM(BT50:BW50)</f>
        <v/>
      </c>
      <c r="BY50" s="29">
        <f>BS50+BX50</f>
        <v/>
      </c>
    </row>
    <row r="51">
      <c r="A51" s="30" t="inlineStr">
        <is>
          <t>3500</t>
        </is>
      </c>
      <c r="B51" s="30" t="inlineStr">
        <is>
          <t>Energia elétrica, gás natural e outras utilidades</t>
        </is>
      </c>
      <c r="C51" s="31" t="n">
        <v>2338.102387783289</v>
      </c>
      <c r="D51" s="31" t="n">
        <v>1467.956423825919</v>
      </c>
      <c r="E51" s="31" t="n">
        <v>138.3564997122499</v>
      </c>
      <c r="F51" s="31" t="n">
        <v>211.7680255969553</v>
      </c>
      <c r="G51" s="31" t="n">
        <v>86.56653581508087</v>
      </c>
      <c r="H51" s="31" t="n">
        <v>530.7450802480922</v>
      </c>
      <c r="I51" s="31" t="n">
        <v>95.76216187567735</v>
      </c>
      <c r="J51" s="31" t="n">
        <v>442.5525320332525</v>
      </c>
      <c r="K51" s="31" t="n">
        <v>20.59446621713488</v>
      </c>
      <c r="L51" s="31" t="n">
        <v>879.7619225494609</v>
      </c>
      <c r="M51" s="31" t="n">
        <v>190.367724903321</v>
      </c>
      <c r="N51" s="31" t="n">
        <v>16.16290693171815</v>
      </c>
      <c r="O51" s="31" t="n">
        <v>388.7364553346591</v>
      </c>
      <c r="P51" s="31" t="n">
        <v>47.65942157325362</v>
      </c>
      <c r="Q51" s="31" t="n">
        <v>55.56871690398945</v>
      </c>
      <c r="R51" s="31" t="n">
        <v>348.6914106979162</v>
      </c>
      <c r="S51" s="31" t="n">
        <v>697.4884045511797</v>
      </c>
      <c r="T51" s="31" t="n">
        <v>30.47297426254874</v>
      </c>
      <c r="U51" s="31" t="n">
        <v>9.323468993009955</v>
      </c>
      <c r="V51" s="31" t="n">
        <v>129.3759719545356</v>
      </c>
      <c r="W51" s="31" t="n">
        <v>1719.20296929693</v>
      </c>
      <c r="X51" s="31" t="n">
        <v>198.4326804099071</v>
      </c>
      <c r="Y51" s="31" t="n">
        <v>52.93213311463592</v>
      </c>
      <c r="Z51" s="31" t="n">
        <v>73.97673806267117</v>
      </c>
      <c r="AA51" s="31" t="n">
        <v>649.5884076618034</v>
      </c>
      <c r="AB51" s="31" t="n">
        <v>1087.23711992899</v>
      </c>
      <c r="AC51" s="31" t="n">
        <v>845.1758408849461</v>
      </c>
      <c r="AD51" s="31" t="n">
        <v>848.2745687655558</v>
      </c>
      <c r="AE51" s="31" t="n">
        <v>340.279725166768</v>
      </c>
      <c r="AF51" s="31" t="n">
        <v>37.33250185908647</v>
      </c>
      <c r="AG51" s="31" t="n">
        <v>153.7352830133077</v>
      </c>
      <c r="AH51" s="31" t="n">
        <v>178.0236262222805</v>
      </c>
      <c r="AI51" s="31" t="n">
        <v>133.754298870408</v>
      </c>
      <c r="AJ51" s="31" t="n">
        <v>305.3464758448069</v>
      </c>
      <c r="AK51" s="31" t="n">
        <v>47.79384081086852</v>
      </c>
      <c r="AL51" s="31" t="n">
        <v>101.7778986825282</v>
      </c>
      <c r="AM51" s="31" t="n">
        <v>61.38788020396588</v>
      </c>
      <c r="AN51" s="31" t="n">
        <v>36749.54990714575</v>
      </c>
      <c r="AO51" s="31" t="n">
        <v>1122.58237148384</v>
      </c>
      <c r="AP51" s="31" t="n">
        <v>166.7049203609134</v>
      </c>
      <c r="AQ51" s="31" t="n">
        <v>470.5702429380326</v>
      </c>
      <c r="AR51" s="31" t="n">
        <v>6346.986929157886</v>
      </c>
      <c r="AS51" s="31" t="n">
        <v>477.9893867739035</v>
      </c>
      <c r="AT51" s="31" t="n">
        <v>18.64050457043131</v>
      </c>
      <c r="AU51" s="31" t="n">
        <v>9.567598776811177</v>
      </c>
      <c r="AV51" s="31" t="n">
        <v>425.972388075629</v>
      </c>
      <c r="AW51" s="31" t="n">
        <v>477.1362599109664</v>
      </c>
      <c r="AX51" s="31" t="n">
        <v>457.4077760446842</v>
      </c>
      <c r="AY51" s="31" t="n">
        <v>30.90612678787173</v>
      </c>
      <c r="AZ51" s="31" t="n">
        <v>126.7596513772078</v>
      </c>
      <c r="BA51" s="31" t="n">
        <v>551.754098278068</v>
      </c>
      <c r="BB51" s="31" t="n">
        <v>293.3635107679931</v>
      </c>
      <c r="BC51" s="31" t="n">
        <v>635.0172686268455</v>
      </c>
      <c r="BD51" s="31" t="n">
        <v>267.3897561820335</v>
      </c>
      <c r="BE51" s="31" t="n">
        <v>383.4677540780149</v>
      </c>
      <c r="BF51" s="31" t="n">
        <v>91.21216411110633</v>
      </c>
      <c r="BG51" s="31" t="n">
        <v>102.811583688461</v>
      </c>
      <c r="BH51" s="31" t="n">
        <v>58.50219790520259</v>
      </c>
      <c r="BI51" s="31" t="n">
        <v>2195.931144768501</v>
      </c>
      <c r="BJ51" s="31" t="n">
        <v>29.99422705010435</v>
      </c>
      <c r="BK51" s="31" t="n">
        <v>1433.738048481527</v>
      </c>
      <c r="BL51" s="31" t="n">
        <v>449.1243074147917</v>
      </c>
      <c r="BM51" s="31" t="n">
        <v>805.7383901869174</v>
      </c>
      <c r="BN51" s="31" t="n">
        <v>387.806365433974</v>
      </c>
      <c r="BO51" s="31" t="n">
        <v>489.1678734585292</v>
      </c>
      <c r="BP51" s="31" t="n">
        <v>316.0131506627498</v>
      </c>
      <c r="BQ51" s="31" t="n">
        <v>865.4782293266927</v>
      </c>
      <c r="BR51" s="31" t="n">
        <v>0</v>
      </c>
      <c r="BS51" s="31">
        <f>SUM(C51:BR51)</f>
        <v/>
      </c>
      <c r="BT51" s="31" t="n">
        <v>0</v>
      </c>
      <c r="BU51" s="31" t="n">
        <v>0</v>
      </c>
      <c r="BV51" s="31" t="n">
        <v>0</v>
      </c>
      <c r="BW51" s="31" t="n">
        <v>0</v>
      </c>
      <c r="BX51" s="31">
        <f>SUM(BT51:BW51)</f>
        <v/>
      </c>
      <c r="BY51" s="31">
        <f>BS51+BX51</f>
        <v/>
      </c>
    </row>
    <row r="52">
      <c r="A52" s="28" t="inlineStr">
        <is>
          <t>3680</t>
        </is>
      </c>
      <c r="B52" s="28" t="inlineStr">
        <is>
          <t>Água, esgoto e gestão de resíduos</t>
        </is>
      </c>
      <c r="C52" s="29" t="n">
        <v>-3.065410666907514</v>
      </c>
      <c r="D52" s="29" t="n">
        <v>-0.4440659853628507</v>
      </c>
      <c r="E52" s="29" t="n">
        <v>-0.3263596479832984</v>
      </c>
      <c r="F52" s="29" t="n">
        <v>2.100417777570903</v>
      </c>
      <c r="G52" s="29" t="n">
        <v>4.409888865985865</v>
      </c>
      <c r="H52" s="29" t="n">
        <v>37.54033935641348</v>
      </c>
      <c r="I52" s="29" t="n">
        <v>4.588524105211737</v>
      </c>
      <c r="J52" s="29" t="n">
        <v>8.262590889713881</v>
      </c>
      <c r="K52" s="29" t="n">
        <v>3.766341431478657</v>
      </c>
      <c r="L52" s="29" t="n">
        <v>24.84852448459897</v>
      </c>
      <c r="M52" s="29" t="n">
        <v>41.1203114255738</v>
      </c>
      <c r="N52" s="29" t="n">
        <v>-0.02141799629913776</v>
      </c>
      <c r="O52" s="29" t="n">
        <v>5.702989271681339</v>
      </c>
      <c r="P52" s="29" t="n">
        <v>1.925436478180403</v>
      </c>
      <c r="Q52" s="29" t="n">
        <v>1.773354886552068</v>
      </c>
      <c r="R52" s="29" t="n">
        <v>28.93983566318425</v>
      </c>
      <c r="S52" s="29" t="n">
        <v>40.13168820820628</v>
      </c>
      <c r="T52" s="29" t="n">
        <v>0.3136143322046913</v>
      </c>
      <c r="U52" s="29" t="n">
        <v>38.20324881767656</v>
      </c>
      <c r="V52" s="29" t="n">
        <v>11.29736632328776</v>
      </c>
      <c r="W52" s="29" t="n">
        <v>76.86761562527083</v>
      </c>
      <c r="X52" s="29" t="n">
        <v>38.76853158145168</v>
      </c>
      <c r="Y52" s="29" t="n">
        <v>10.9398997513815</v>
      </c>
      <c r="Z52" s="29" t="n">
        <v>5.093224425785746</v>
      </c>
      <c r="AA52" s="29" t="n">
        <v>46.01433471649697</v>
      </c>
      <c r="AB52" s="29" t="n">
        <v>87.2479151325465</v>
      </c>
      <c r="AC52" s="29" t="n">
        <v>392.9480913873047</v>
      </c>
      <c r="AD52" s="29" t="n">
        <v>180.422134031829</v>
      </c>
      <c r="AE52" s="29" t="n">
        <v>14.07194793690741</v>
      </c>
      <c r="AF52" s="29" t="n">
        <v>1.086322437010526</v>
      </c>
      <c r="AG52" s="29" t="n">
        <v>4.152664690175523</v>
      </c>
      <c r="AH52" s="29" t="n">
        <v>7.249885305322238</v>
      </c>
      <c r="AI52" s="29" t="n">
        <v>6.857468758242319</v>
      </c>
      <c r="AJ52" s="29" t="n">
        <v>25.80102464366739</v>
      </c>
      <c r="AK52" s="29" t="n">
        <v>6.105068019708923</v>
      </c>
      <c r="AL52" s="29" t="n">
        <v>5.995130725169298</v>
      </c>
      <c r="AM52" s="29" t="n">
        <v>1.753355620949193</v>
      </c>
      <c r="AN52" s="29" t="n">
        <v>7.418609656023557</v>
      </c>
      <c r="AO52" s="29" t="n">
        <v>92.13097146907864</v>
      </c>
      <c r="AP52" s="29" t="n">
        <v>21.27525825715918</v>
      </c>
      <c r="AQ52" s="29" t="n">
        <v>38.91523258083064</v>
      </c>
      <c r="AR52" s="29" t="n">
        <v>351.3984233838604</v>
      </c>
      <c r="AS52" s="29" t="n">
        <v>7.517407270047064</v>
      </c>
      <c r="AT52" s="29" t="n">
        <v>0.756944643105999</v>
      </c>
      <c r="AU52" s="29" t="n">
        <v>0.4652273053985682</v>
      </c>
      <c r="AV52" s="29" t="n">
        <v>72.71179944979124</v>
      </c>
      <c r="AW52" s="29" t="n">
        <v>43.86827137337855</v>
      </c>
      <c r="AX52" s="29" t="n">
        <v>75.71293278270865</v>
      </c>
      <c r="AY52" s="29" t="n">
        <v>1.944441235905873</v>
      </c>
      <c r="AZ52" s="29" t="n">
        <v>5.723038793336097</v>
      </c>
      <c r="BA52" s="29" t="n">
        <v>3.935404913526294</v>
      </c>
      <c r="BB52" s="29" t="n">
        <v>16.3993702214505</v>
      </c>
      <c r="BC52" s="29" t="n">
        <v>47.54465980691175</v>
      </c>
      <c r="BD52" s="29" t="n">
        <v>33.1651658314641</v>
      </c>
      <c r="BE52" s="29" t="n">
        <v>62.55735355511306</v>
      </c>
      <c r="BF52" s="29" t="n">
        <v>7.497325227950104</v>
      </c>
      <c r="BG52" s="29" t="n">
        <v>5.621665763434509</v>
      </c>
      <c r="BH52" s="29" t="n">
        <v>5.471360274076431</v>
      </c>
      <c r="BI52" s="29" t="n">
        <v>425.2019183734204</v>
      </c>
      <c r="BJ52" s="29" t="n">
        <v>2.535225230014833</v>
      </c>
      <c r="BK52" s="29" t="n">
        <v>718.1812223325859</v>
      </c>
      <c r="BL52" s="29" t="n">
        <v>96.41425266935195</v>
      </c>
      <c r="BM52" s="29" t="n">
        <v>24.39044227702395</v>
      </c>
      <c r="BN52" s="29" t="n">
        <v>137.9130169257904</v>
      </c>
      <c r="BO52" s="29" t="n">
        <v>158.0456794679274</v>
      </c>
      <c r="BP52" s="29" t="n">
        <v>10.1995935859287</v>
      </c>
      <c r="BQ52" s="29" t="n">
        <v>171.3842239520464</v>
      </c>
      <c r="BR52" s="29" t="n">
        <v>0</v>
      </c>
      <c r="BS52" s="29">
        <f>SUM(C52:BR52)</f>
        <v/>
      </c>
      <c r="BT52" s="29" t="n">
        <v>0</v>
      </c>
      <c r="BU52" s="29" t="n">
        <v>0</v>
      </c>
      <c r="BV52" s="29" t="n">
        <v>0</v>
      </c>
      <c r="BW52" s="29" t="n">
        <v>0</v>
      </c>
      <c r="BX52" s="29">
        <f>SUM(BT52:BW52)</f>
        <v/>
      </c>
      <c r="BY52" s="29">
        <f>BS52+BX52</f>
        <v/>
      </c>
    </row>
    <row r="53">
      <c r="A53" s="30" t="inlineStr">
        <is>
          <t>4180</t>
        </is>
      </c>
      <c r="B53" s="30" t="inlineStr">
        <is>
          <t>Construção</t>
        </is>
      </c>
      <c r="C53" s="31" t="n">
        <v>13.38291531055829</v>
      </c>
      <c r="D53" s="31" t="n">
        <v>11.4335992310439</v>
      </c>
      <c r="E53" s="31" t="n">
        <v>2.006829861643412</v>
      </c>
      <c r="F53" s="31" t="n">
        <v>3.044519979553844</v>
      </c>
      <c r="G53" s="31" t="n">
        <v>228.6491677056636</v>
      </c>
      <c r="H53" s="31" t="n">
        <v>311.072264993046</v>
      </c>
      <c r="I53" s="31" t="n">
        <v>21.65305282897609</v>
      </c>
      <c r="J53" s="31" t="n">
        <v>5.393091377567138</v>
      </c>
      <c r="K53" s="31" t="n">
        <v>8.112607987893085</v>
      </c>
      <c r="L53" s="31" t="n">
        <v>16.56571145691593</v>
      </c>
      <c r="M53" s="31" t="n">
        <v>4.908421638529942</v>
      </c>
      <c r="N53" s="31" t="n">
        <v>0.862821283903456</v>
      </c>
      <c r="O53" s="31" t="n">
        <v>2.06798439272782</v>
      </c>
      <c r="P53" s="31" t="n">
        <v>1.450465517863649</v>
      </c>
      <c r="Q53" s="31" t="n">
        <v>0.7972405147807993</v>
      </c>
      <c r="R53" s="31" t="n">
        <v>2.516244466827554</v>
      </c>
      <c r="S53" s="31" t="n">
        <v>14.77004664780432</v>
      </c>
      <c r="T53" s="31" t="n">
        <v>2.278359209111096</v>
      </c>
      <c r="U53" s="31" t="n">
        <v>9.491814918094729</v>
      </c>
      <c r="V53" s="31" t="n">
        <v>5.88258388632051</v>
      </c>
      <c r="W53" s="31" t="n">
        <v>15.40605312582497</v>
      </c>
      <c r="X53" s="31" t="n">
        <v>7.356958336853347</v>
      </c>
      <c r="Y53" s="31" t="n">
        <v>1.179516118427474</v>
      </c>
      <c r="Z53" s="31" t="n">
        <v>2.667040347195315</v>
      </c>
      <c r="AA53" s="31" t="n">
        <v>10.75983717102409</v>
      </c>
      <c r="AB53" s="31" t="n">
        <v>7.030061756051043</v>
      </c>
      <c r="AC53" s="31" t="n">
        <v>13.4664652683692</v>
      </c>
      <c r="AD53" s="31" t="n">
        <v>138.4992129995468</v>
      </c>
      <c r="AE53" s="31" t="n">
        <v>13.43894309641089</v>
      </c>
      <c r="AF53" s="31" t="n">
        <v>11.16566973907877</v>
      </c>
      <c r="AG53" s="31" t="n">
        <v>3.321956884413264</v>
      </c>
      <c r="AH53" s="31" t="n">
        <v>16.37420349012866</v>
      </c>
      <c r="AI53" s="31" t="n">
        <v>36.08638803931741</v>
      </c>
      <c r="AJ53" s="31" t="n">
        <v>9.898526932156976</v>
      </c>
      <c r="AK53" s="31" t="n">
        <v>20.18434791213456</v>
      </c>
      <c r="AL53" s="31" t="n">
        <v>4.243775475078094</v>
      </c>
      <c r="AM53" s="31" t="n">
        <v>4.443726289100969</v>
      </c>
      <c r="AN53" s="31" t="n">
        <v>5.744363842292271</v>
      </c>
      <c r="AO53" s="31" t="n">
        <v>238.1770622227225</v>
      </c>
      <c r="AP53" s="31" t="n">
        <v>3439.911579402048</v>
      </c>
      <c r="AQ53" s="31" t="n">
        <v>44.73295378521002</v>
      </c>
      <c r="AR53" s="31" t="n">
        <v>189.9173726277398</v>
      </c>
      <c r="AS53" s="31" t="n">
        <v>62.32242530555741</v>
      </c>
      <c r="AT53" s="31" t="n">
        <v>17.71782509956303</v>
      </c>
      <c r="AU53" s="31" t="n">
        <v>23.09927516893224</v>
      </c>
      <c r="AV53" s="31" t="n">
        <v>129.1002436976341</v>
      </c>
      <c r="AW53" s="31" t="n">
        <v>19.23400311883084</v>
      </c>
      <c r="AX53" s="31" t="n">
        <v>39.02822569133191</v>
      </c>
      <c r="AY53" s="31" t="n">
        <v>7.56821827918102</v>
      </c>
      <c r="AZ53" s="31" t="n">
        <v>27.19228831924724</v>
      </c>
      <c r="BA53" s="31" t="n">
        <v>215.8469250790487</v>
      </c>
      <c r="BB53" s="31" t="n">
        <v>141.8720723289705</v>
      </c>
      <c r="BC53" s="31" t="n">
        <v>66.01434374200157</v>
      </c>
      <c r="BD53" s="31" t="n">
        <v>88.05285883105442</v>
      </c>
      <c r="BE53" s="31" t="n">
        <v>26.98055330651312</v>
      </c>
      <c r="BF53" s="31" t="n">
        <v>57.47201532196374</v>
      </c>
      <c r="BG53" s="31" t="n">
        <v>5.763138362138326</v>
      </c>
      <c r="BH53" s="31" t="n">
        <v>35.58447425769767</v>
      </c>
      <c r="BI53" s="31" t="n">
        <v>176.3839744650479</v>
      </c>
      <c r="BJ53" s="31" t="n">
        <v>4.71399252315662</v>
      </c>
      <c r="BK53" s="31" t="n">
        <v>857.8342995827996</v>
      </c>
      <c r="BL53" s="31" t="n">
        <v>121.7783468258129</v>
      </c>
      <c r="BM53" s="31" t="n">
        <v>54.91330279173745</v>
      </c>
      <c r="BN53" s="31" t="n">
        <v>296.4925838420145</v>
      </c>
      <c r="BO53" s="31" t="n">
        <v>9.194593596965497</v>
      </c>
      <c r="BP53" s="31" t="n">
        <v>12.15660613207086</v>
      </c>
      <c r="BQ53" s="31" t="n">
        <v>24.53122864010949</v>
      </c>
      <c r="BR53" s="31" t="n">
        <v>0</v>
      </c>
      <c r="BS53" s="31">
        <f>SUM(C53:BR53)</f>
        <v/>
      </c>
      <c r="BT53" s="31" t="n">
        <v>0</v>
      </c>
      <c r="BU53" s="31" t="n">
        <v>0</v>
      </c>
      <c r="BV53" s="31" t="n">
        <v>0</v>
      </c>
      <c r="BW53" s="31" t="n">
        <v>0</v>
      </c>
      <c r="BX53" s="31">
        <f>SUM(BT53:BW53)</f>
        <v/>
      </c>
      <c r="BY53" s="31">
        <f>BS53+BX53</f>
        <v/>
      </c>
    </row>
    <row r="54">
      <c r="A54" s="28" t="inlineStr">
        <is>
          <t>4500</t>
        </is>
      </c>
      <c r="B54" s="28" t="inlineStr">
        <is>
          <t>Comércio e reparação de veículos automotores e motocicletas</t>
        </is>
      </c>
      <c r="C54" s="29" t="n">
        <v>-356.7859569782261</v>
      </c>
      <c r="D54" s="29" t="n">
        <v>-71.36333630469852</v>
      </c>
      <c r="E54" s="29" t="n">
        <v>-24.32171202615811</v>
      </c>
      <c r="F54" s="29" t="n">
        <v>-100.3502915112105</v>
      </c>
      <c r="G54" s="29" t="n">
        <v>-64.35498634237079</v>
      </c>
      <c r="H54" s="29" t="n">
        <v>-3186.17250993273</v>
      </c>
      <c r="I54" s="29" t="n">
        <v>-143.3831660713316</v>
      </c>
      <c r="J54" s="29" t="n">
        <v>-26.4152107428164</v>
      </c>
      <c r="K54" s="29" t="n">
        <v>0.7629688440960767</v>
      </c>
      <c r="L54" s="29" t="n">
        <v>-24.77671294178884</v>
      </c>
      <c r="M54" s="29" t="n">
        <v>-41.58869117280706</v>
      </c>
      <c r="N54" s="29" t="n">
        <v>0.007082092048669413</v>
      </c>
      <c r="O54" s="29" t="n">
        <v>-5.397128706225596</v>
      </c>
      <c r="P54" s="29" t="n">
        <v>-0.4596733404171675</v>
      </c>
      <c r="Q54" s="29" t="n">
        <v>-4.402837604841673</v>
      </c>
      <c r="R54" s="29" t="n">
        <v>0.3180890783966411</v>
      </c>
      <c r="S54" s="29" t="n">
        <v>2.226327860974885</v>
      </c>
      <c r="T54" s="29" t="n">
        <v>0.6248931690915894</v>
      </c>
      <c r="U54" s="29" t="n">
        <v>2.848990573738209</v>
      </c>
      <c r="V54" s="29" t="n">
        <v>-11.47119693061197</v>
      </c>
      <c r="W54" s="29" t="n">
        <v>2.584452830943201</v>
      </c>
      <c r="X54" s="29" t="n">
        <v>-14.6251021010061</v>
      </c>
      <c r="Y54" s="29" t="n">
        <v>0.5303237942061674</v>
      </c>
      <c r="Z54" s="29" t="n">
        <v>-71.837553694267</v>
      </c>
      <c r="AA54" s="29" t="n">
        <v>-358.8653128086742</v>
      </c>
      <c r="AB54" s="29" t="n">
        <v>-582.06598726144</v>
      </c>
      <c r="AC54" s="29" t="n">
        <v>-4.234074062753436</v>
      </c>
      <c r="AD54" s="29" t="n">
        <v>-93.01856708055701</v>
      </c>
      <c r="AE54" s="29" t="n">
        <v>0.759919965427338</v>
      </c>
      <c r="AF54" s="29" t="n">
        <v>-621.2604726637323</v>
      </c>
      <c r="AG54" s="29" t="n">
        <v>-37.92479776625422</v>
      </c>
      <c r="AH54" s="29" t="n">
        <v>-4861.621135069969</v>
      </c>
      <c r="AI54" s="29" t="n">
        <v>-18.30610008163755</v>
      </c>
      <c r="AJ54" s="29" t="n">
        <v>123.9341556681796</v>
      </c>
      <c r="AK54" s="29" t="n">
        <v>3.30081047532305</v>
      </c>
      <c r="AL54" s="29" t="n">
        <v>-70.19185598179939</v>
      </c>
      <c r="AM54" s="29" t="n">
        <v>-89.21028135081481</v>
      </c>
      <c r="AN54" s="29" t="n">
        <v>-310.1925850258553</v>
      </c>
      <c r="AO54" s="29" t="n">
        <v>-1311.0860952941</v>
      </c>
      <c r="AP54" s="29" t="n">
        <v>-573.6389236215314</v>
      </c>
      <c r="AQ54" s="29" t="n">
        <v>-1660.824059282295</v>
      </c>
      <c r="AR54" s="29" t="n">
        <v>-5713.311463707523</v>
      </c>
      <c r="AS54" s="29" t="n">
        <v>-9723.308952359581</v>
      </c>
      <c r="AT54" s="29" t="n">
        <v>9.956018504093024</v>
      </c>
      <c r="AU54" s="29" t="n">
        <v>13.08428723882622</v>
      </c>
      <c r="AV54" s="29" t="n">
        <v>-675.8969475984794</v>
      </c>
      <c r="AW54" s="29" t="n">
        <v>0.6569509930313928</v>
      </c>
      <c r="AX54" s="29" t="n">
        <v>-120.4409043859388</v>
      </c>
      <c r="AY54" s="29" t="n">
        <v>-1.630729707880663</v>
      </c>
      <c r="AZ54" s="29" t="n">
        <v>-63.66344760156399</v>
      </c>
      <c r="BA54" s="29" t="n">
        <v>-13.93782454283506</v>
      </c>
      <c r="BB54" s="29" t="n">
        <v>21.03181688645702</v>
      </c>
      <c r="BC54" s="29" t="n">
        <v>-99.24954284014645</v>
      </c>
      <c r="BD54" s="29" t="n">
        <v>-29.14184331067351</v>
      </c>
      <c r="BE54" s="29" t="n">
        <v>3.393919043452697</v>
      </c>
      <c r="BF54" s="29" t="n">
        <v>-145.1287754633472</v>
      </c>
      <c r="BG54" s="29" t="n">
        <v>-44.85651033252203</v>
      </c>
      <c r="BH54" s="29" t="n">
        <v>-1417.205219797407</v>
      </c>
      <c r="BI54" s="29" t="n">
        <v>-88.05024489636948</v>
      </c>
      <c r="BJ54" s="29" t="n">
        <v>-254.9823040281317</v>
      </c>
      <c r="BK54" s="29" t="n">
        <v>-2156.216463187422</v>
      </c>
      <c r="BL54" s="29" t="n">
        <v>-443.9673672631893</v>
      </c>
      <c r="BM54" s="29" t="n">
        <v>11.53641149425292</v>
      </c>
      <c r="BN54" s="29" t="n">
        <v>-1738.167274607215</v>
      </c>
      <c r="BO54" s="29" t="n">
        <v>-824.6933340088011</v>
      </c>
      <c r="BP54" s="29" t="n">
        <v>-60.43830141648071</v>
      </c>
      <c r="BQ54" s="29" t="n">
        <v>-55.25914003604609</v>
      </c>
      <c r="BR54" s="29" t="n">
        <v>0</v>
      </c>
      <c r="BS54" s="29">
        <f>SUM(C54:BR54)</f>
        <v/>
      </c>
      <c r="BT54" s="29" t="n">
        <v>0</v>
      </c>
      <c r="BU54" s="29" t="n">
        <v>0</v>
      </c>
      <c r="BV54" s="29" t="n">
        <v>0</v>
      </c>
      <c r="BW54" s="29" t="n">
        <v>0</v>
      </c>
      <c r="BX54" s="29">
        <f>SUM(BT54:BW54)</f>
        <v/>
      </c>
      <c r="BY54" s="29">
        <f>BS54+BX54</f>
        <v/>
      </c>
    </row>
    <row r="55">
      <c r="A55" s="30" t="inlineStr">
        <is>
          <t>4680</t>
        </is>
      </c>
      <c r="B55" s="30" t="inlineStr">
        <is>
          <t>Comércio por atacado e a varejo, exceto veículos automotores</t>
        </is>
      </c>
      <c r="C55" s="31" t="n">
        <v>815.4643892982369</v>
      </c>
      <c r="D55" s="31" t="n">
        <v>786.1180101125805</v>
      </c>
      <c r="E55" s="31" t="n">
        <v>23.68062418207253</v>
      </c>
      <c r="F55" s="31" t="n">
        <v>-934.2711960732676</v>
      </c>
      <c r="G55" s="31" t="n">
        <v>-956.8963802074758</v>
      </c>
      <c r="H55" s="31" t="n">
        <v>-3835.250061774672</v>
      </c>
      <c r="I55" s="31" t="n">
        <v>-1195.031062404716</v>
      </c>
      <c r="J55" s="31" t="n">
        <v>-193554.065502422</v>
      </c>
      <c r="K55" s="31" t="n">
        <v>-12314.77167394196</v>
      </c>
      <c r="L55" s="31" t="n">
        <v>-111033.8284095364</v>
      </c>
      <c r="M55" s="31" t="n">
        <v>-4044.612896364612</v>
      </c>
      <c r="N55" s="31" t="n">
        <v>-5263.231346712943</v>
      </c>
      <c r="O55" s="31" t="n">
        <v>-14602.8561640536</v>
      </c>
      <c r="P55" s="31" t="n">
        <v>-16753.27470661196</v>
      </c>
      <c r="Q55" s="31" t="n">
        <v>-17725.18237716513</v>
      </c>
      <c r="R55" s="31" t="n">
        <v>-13145.06604736882</v>
      </c>
      <c r="S55" s="31" t="n">
        <v>-57102.63048305134</v>
      </c>
      <c r="T55" s="31" t="n">
        <v>-1260.369441642992</v>
      </c>
      <c r="U55" s="31" t="n">
        <v>-12497.59391415169</v>
      </c>
      <c r="V55" s="31" t="n">
        <v>-19655.49805336649</v>
      </c>
      <c r="W55" s="31" t="n">
        <v>-31808.02814734818</v>
      </c>
      <c r="X55" s="31" t="n">
        <v>-29414.14523169058</v>
      </c>
      <c r="Y55" s="31" t="n">
        <v>-1910.734905898806</v>
      </c>
      <c r="Z55" s="31" t="n">
        <v>-30808.95195129297</v>
      </c>
      <c r="AA55" s="31" t="n">
        <v>-40650.41664656696</v>
      </c>
      <c r="AB55" s="31" t="n">
        <v>-30315.72643318138</v>
      </c>
      <c r="AC55" s="31" t="n">
        <v>-37769.97499701659</v>
      </c>
      <c r="AD55" s="31" t="n">
        <v>-11797.69142532615</v>
      </c>
      <c r="AE55" s="31" t="n">
        <v>-35206.41773578391</v>
      </c>
      <c r="AF55" s="31" t="n">
        <v>-17051.31349322339</v>
      </c>
      <c r="AG55" s="31" t="n">
        <v>-24970.61911932718</v>
      </c>
      <c r="AH55" s="31" t="n">
        <v>-80269.39533822569</v>
      </c>
      <c r="AI55" s="31" t="n">
        <v>-2591.223397259265</v>
      </c>
      <c r="AJ55" s="31" t="n">
        <v>-555.7322817774476</v>
      </c>
      <c r="AK55" s="31" t="n">
        <v>-2833.87377352379</v>
      </c>
      <c r="AL55" s="31" t="n">
        <v>-17737.07458660665</v>
      </c>
      <c r="AM55" s="31" t="n">
        <v>-73.23945481167991</v>
      </c>
      <c r="AN55" s="31" t="n">
        <v>79.68239566849059</v>
      </c>
      <c r="AO55" s="31" t="n">
        <v>-139.6261511758019</v>
      </c>
      <c r="AP55" s="31" t="n">
        <v>768.7298303839528</v>
      </c>
      <c r="AQ55" s="31" t="n">
        <v>73.39554890705377</v>
      </c>
      <c r="AR55" s="31" t="n">
        <v>-139936.6780683307</v>
      </c>
      <c r="AS55" s="31" t="n">
        <v>217.2575183097955</v>
      </c>
      <c r="AT55" s="31" t="n">
        <v>91.03952600880669</v>
      </c>
      <c r="AU55" s="31" t="n">
        <v>105.7005767391554</v>
      </c>
      <c r="AV55" s="31" t="n">
        <v>190.0887092108532</v>
      </c>
      <c r="AW55" s="31" t="n">
        <v>58.26259533995731</v>
      </c>
      <c r="AX55" s="31" t="n">
        <v>1518.825407491284</v>
      </c>
      <c r="AY55" s="31" t="n">
        <v>-6842.93974611853</v>
      </c>
      <c r="AZ55" s="31" t="n">
        <v>-10424.38671939012</v>
      </c>
      <c r="BA55" s="31" t="n">
        <v>-55085.08236851901</v>
      </c>
      <c r="BB55" s="31" t="n">
        <v>-11835.18047513402</v>
      </c>
      <c r="BC55" s="31" t="n">
        <v>-1230.824247944778</v>
      </c>
      <c r="BD55" s="31" t="n">
        <v>37.32549914509572</v>
      </c>
      <c r="BE55" s="31" t="n">
        <v>-8293.701737442187</v>
      </c>
      <c r="BF55" s="31" t="n">
        <v>-807.3449777878587</v>
      </c>
      <c r="BG55" s="31" t="n">
        <v>-6396.29617459383</v>
      </c>
      <c r="BH55" s="31" t="n">
        <v>122.6248671068343</v>
      </c>
      <c r="BI55" s="31" t="n">
        <v>-10622.0303240408</v>
      </c>
      <c r="BJ55" s="31" t="n">
        <v>-1158.443164458505</v>
      </c>
      <c r="BK55" s="31" t="n">
        <v>891.4554326583359</v>
      </c>
      <c r="BL55" s="31" t="n">
        <v>415.8556900896817</v>
      </c>
      <c r="BM55" s="31" t="n">
        <v>-80.5581904567989</v>
      </c>
      <c r="BN55" s="31" t="n">
        <v>2873.230372635177</v>
      </c>
      <c r="BO55" s="31" t="n">
        <v>2595.186117703771</v>
      </c>
      <c r="BP55" s="31" t="n">
        <v>-362.039925907048</v>
      </c>
      <c r="BQ55" s="31" t="n">
        <v>11.06338148176464</v>
      </c>
      <c r="BR55" s="31" t="n">
        <v>0</v>
      </c>
      <c r="BS55" s="31">
        <f>SUM(C55:BR55)</f>
        <v/>
      </c>
      <c r="BT55" s="31" t="n">
        <v>0</v>
      </c>
      <c r="BU55" s="31" t="n">
        <v>0</v>
      </c>
      <c r="BV55" s="31" t="n">
        <v>0</v>
      </c>
      <c r="BW55" s="31" t="n">
        <v>0</v>
      </c>
      <c r="BX55" s="31">
        <f>SUM(BT55:BW55)</f>
        <v/>
      </c>
      <c r="BY55" s="31">
        <f>BS55+BX55</f>
        <v/>
      </c>
    </row>
    <row r="56">
      <c r="A56" s="28" t="inlineStr">
        <is>
          <t>4900</t>
        </is>
      </c>
      <c r="B56" s="28" t="inlineStr">
        <is>
          <t>Transporte terrestre</t>
        </is>
      </c>
      <c r="C56" s="29" t="n">
        <v>-3063.791557379564</v>
      </c>
      <c r="D56" s="29" t="n">
        <v>-418.5001428272241</v>
      </c>
      <c r="E56" s="29" t="n">
        <v>-320.5421611047008</v>
      </c>
      <c r="F56" s="29" t="n">
        <v>-387.1212312643454</v>
      </c>
      <c r="G56" s="29" t="n">
        <v>-1520.502576855065</v>
      </c>
      <c r="H56" s="29" t="n">
        <v>-1591.889229170475</v>
      </c>
      <c r="I56" s="29" t="n">
        <v>-236.6541627133061</v>
      </c>
      <c r="J56" s="29" t="n">
        <v>-5618.894543182713</v>
      </c>
      <c r="K56" s="29" t="n">
        <v>-1481.378272320206</v>
      </c>
      <c r="L56" s="29" t="n">
        <v>-5870.696314337688</v>
      </c>
      <c r="M56" s="29" t="n">
        <v>-1203.616905394956</v>
      </c>
      <c r="N56" s="29" t="n">
        <v>-66.92981741122635</v>
      </c>
      <c r="O56" s="29" t="n">
        <v>-396.2564898589343</v>
      </c>
      <c r="P56" s="29" t="n">
        <v>-229.8953266156189</v>
      </c>
      <c r="Q56" s="29" t="n">
        <v>-303.0245423779722</v>
      </c>
      <c r="R56" s="29" t="n">
        <v>-242.2284092755509</v>
      </c>
      <c r="S56" s="29" t="n">
        <v>-1844.369234052137</v>
      </c>
      <c r="T56" s="29" t="n">
        <v>-107.0079441372324</v>
      </c>
      <c r="U56" s="29" t="n">
        <v>-1504.141723697014</v>
      </c>
      <c r="V56" s="29" t="n">
        <v>-842.1580116442547</v>
      </c>
      <c r="W56" s="29" t="n">
        <v>-2972.576877498648</v>
      </c>
      <c r="X56" s="29" t="n">
        <v>-972.3399966108558</v>
      </c>
      <c r="Y56" s="29" t="n">
        <v>-560.6737402141879</v>
      </c>
      <c r="Z56" s="29" t="n">
        <v>-1267.124412654343</v>
      </c>
      <c r="AA56" s="29" t="n">
        <v>-1242.555833906867</v>
      </c>
      <c r="AB56" s="29" t="n">
        <v>-1117.231594512053</v>
      </c>
      <c r="AC56" s="29" t="n">
        <v>-2047.278708824998</v>
      </c>
      <c r="AD56" s="29" t="n">
        <v>-329.0667743960533</v>
      </c>
      <c r="AE56" s="29" t="n">
        <v>-1044.175911862984</v>
      </c>
      <c r="AF56" s="29" t="n">
        <v>-424.9683421061216</v>
      </c>
      <c r="AG56" s="29" t="n">
        <v>-542.4935227185883</v>
      </c>
      <c r="AH56" s="29" t="n">
        <v>-867.2966188593796</v>
      </c>
      <c r="AI56" s="29" t="n">
        <v>-1194.401969504341</v>
      </c>
      <c r="AJ56" s="29" t="n">
        <v>-633.7929740032981</v>
      </c>
      <c r="AK56" s="29" t="n">
        <v>-203.8478553455058</v>
      </c>
      <c r="AL56" s="29" t="n">
        <v>-603.8028671625035</v>
      </c>
      <c r="AM56" s="29" t="n">
        <v>-24.86068110904779</v>
      </c>
      <c r="AN56" s="29" t="n">
        <v>-1431.742317501511</v>
      </c>
      <c r="AO56" s="29" t="n">
        <v>-163.2139789876315</v>
      </c>
      <c r="AP56" s="29" t="n">
        <v>-577.0578423067578</v>
      </c>
      <c r="AQ56" s="29" t="n">
        <v>-415.3181502332365</v>
      </c>
      <c r="AR56" s="29" t="n">
        <v>-19388.07167181484</v>
      </c>
      <c r="AS56" s="29" t="n">
        <v>-19239.95596840942</v>
      </c>
      <c r="AT56" s="29" t="n">
        <v>-58.0316631576303</v>
      </c>
      <c r="AU56" s="29" t="n">
        <v>-7.944723979784314</v>
      </c>
      <c r="AV56" s="29" t="n">
        <v>-2728.404283210034</v>
      </c>
      <c r="AW56" s="29" t="n">
        <v>-1.986277344106913</v>
      </c>
      <c r="AX56" s="29" t="n">
        <v>-319.8027796589993</v>
      </c>
      <c r="AY56" s="29" t="n">
        <v>-107.7625459142949</v>
      </c>
      <c r="AZ56" s="29" t="n">
        <v>-24.37216783529435</v>
      </c>
      <c r="BA56" s="29" t="n">
        <v>-68.40484896660367</v>
      </c>
      <c r="BB56" s="29" t="n">
        <v>-55.52810801985014</v>
      </c>
      <c r="BC56" s="29" t="n">
        <v>-18.4318548669303</v>
      </c>
      <c r="BD56" s="29" t="n">
        <v>12.35878351516904</v>
      </c>
      <c r="BE56" s="29" t="n">
        <v>-173.6895764629911</v>
      </c>
      <c r="BF56" s="29" t="n">
        <v>-51.38046837868924</v>
      </c>
      <c r="BG56" s="29" t="n">
        <v>11.94532065832144</v>
      </c>
      <c r="BH56" s="29" t="n">
        <v>-158.3509455444086</v>
      </c>
      <c r="BI56" s="29" t="n">
        <v>-35.48716258115524</v>
      </c>
      <c r="BJ56" s="29" t="n">
        <v>-25.70281919263214</v>
      </c>
      <c r="BK56" s="29" t="n">
        <v>-51.50042060935972</v>
      </c>
      <c r="BL56" s="29" t="n">
        <v>95.06888807505715</v>
      </c>
      <c r="BM56" s="29" t="n">
        <v>174.6049017104831</v>
      </c>
      <c r="BN56" s="29" t="n">
        <v>-17.76825164934173</v>
      </c>
      <c r="BO56" s="29" t="n">
        <v>1.67576244692386</v>
      </c>
      <c r="BP56" s="29" t="n">
        <v>-6.258497920684309</v>
      </c>
      <c r="BQ56" s="29" t="n">
        <v>184.9121880149696</v>
      </c>
      <c r="BR56" s="29" t="n">
        <v>0</v>
      </c>
      <c r="BS56" s="29">
        <f>SUM(C56:BR56)</f>
        <v/>
      </c>
      <c r="BT56" s="29" t="n">
        <v>0</v>
      </c>
      <c r="BU56" s="29" t="n">
        <v>0</v>
      </c>
      <c r="BV56" s="29" t="n">
        <v>0</v>
      </c>
      <c r="BW56" s="29" t="n">
        <v>0</v>
      </c>
      <c r="BX56" s="29">
        <f>SUM(BT56:BW56)</f>
        <v/>
      </c>
      <c r="BY56" s="29">
        <f>BS56+BX56</f>
        <v/>
      </c>
    </row>
    <row r="57">
      <c r="A57" s="30" t="inlineStr">
        <is>
          <t>5000</t>
        </is>
      </c>
      <c r="B57" s="30" t="inlineStr">
        <is>
          <t>Transporte aquaviário</t>
        </is>
      </c>
      <c r="C57" s="31" t="n">
        <v>0.0009535457377202745</v>
      </c>
      <c r="D57" s="31" t="n">
        <v>0.0007801737854074961</v>
      </c>
      <c r="E57" s="31" t="n">
        <v>0.0008668597615638854</v>
      </c>
      <c r="F57" s="31" t="n">
        <v>0.003380753070099169</v>
      </c>
      <c r="G57" s="31" t="n">
        <v>1988.401394678305</v>
      </c>
      <c r="H57" s="31" t="n">
        <v>0.01100911897186136</v>
      </c>
      <c r="I57" s="31" t="n">
        <v>4.849155422707955</v>
      </c>
      <c r="J57" s="31" t="n">
        <v>661.2798966508441</v>
      </c>
      <c r="K57" s="31" t="n">
        <v>63.92328053940779</v>
      </c>
      <c r="L57" s="31" t="n">
        <v>197.8435594509038</v>
      </c>
      <c r="M57" s="31" t="n">
        <v>0.3683019360664972</v>
      </c>
      <c r="N57" s="31" t="n">
        <v>0.1829373643670592</v>
      </c>
      <c r="O57" s="31" t="n">
        <v>2.911567726117109</v>
      </c>
      <c r="P57" s="31" t="n">
        <v>4.35521555251377</v>
      </c>
      <c r="Q57" s="31" t="n">
        <v>1.804754826442178</v>
      </c>
      <c r="R57" s="31" t="n">
        <v>109.8427892323528</v>
      </c>
      <c r="S57" s="31" t="n">
        <v>757.2116144987691</v>
      </c>
      <c r="T57" s="31" t="n">
        <v>5.390512521859682</v>
      </c>
      <c r="U57" s="31" t="n">
        <v>28.56571147375789</v>
      </c>
      <c r="V57" s="31" t="n">
        <v>6.506340763054879</v>
      </c>
      <c r="W57" s="31" t="n">
        <v>409.7644272118811</v>
      </c>
      <c r="X57" s="31" t="n">
        <v>5.039981210905244</v>
      </c>
      <c r="Y57" s="31" t="n">
        <v>14.02041235503794</v>
      </c>
      <c r="Z57" s="31" t="n">
        <v>0.5737776542342174</v>
      </c>
      <c r="AA57" s="31" t="n">
        <v>17.2908332458205</v>
      </c>
      <c r="AB57" s="31" t="n">
        <v>52.61468146674557</v>
      </c>
      <c r="AC57" s="31" t="n">
        <v>143.9790032691482</v>
      </c>
      <c r="AD57" s="31" t="n">
        <v>5.02689162850563</v>
      </c>
      <c r="AE57" s="31" t="n">
        <v>13.49639245111749</v>
      </c>
      <c r="AF57" s="31" t="n">
        <v>11.14915360783355</v>
      </c>
      <c r="AG57" s="31" t="n">
        <v>15.09177069046491</v>
      </c>
      <c r="AH57" s="31" t="n">
        <v>126.2045457842961</v>
      </c>
      <c r="AI57" s="31" t="n">
        <v>49.72591215235759</v>
      </c>
      <c r="AJ57" s="31" t="n">
        <v>28.92170400121019</v>
      </c>
      <c r="AK57" s="31" t="n">
        <v>33.20748408682269</v>
      </c>
      <c r="AL57" s="31" t="n">
        <v>0.2118904804032931</v>
      </c>
      <c r="AM57" s="31" t="n">
        <v>3.416776773211624</v>
      </c>
      <c r="AN57" s="31" t="n">
        <v>0.08399871089554072</v>
      </c>
      <c r="AO57" s="31" t="n">
        <v>0.04533676552979137</v>
      </c>
      <c r="AP57" s="31" t="n">
        <v>1.20528816858859</v>
      </c>
      <c r="AQ57" s="31" t="n">
        <v>0.8234033108875376</v>
      </c>
      <c r="AR57" s="31" t="n">
        <v>436.3190961866928</v>
      </c>
      <c r="AS57" s="31" t="n">
        <v>282.2920327608335</v>
      </c>
      <c r="AT57" s="31" t="n">
        <v>576.8300363652958</v>
      </c>
      <c r="AU57" s="31" t="n">
        <v>0.01100911897186136</v>
      </c>
      <c r="AV57" s="31" t="n">
        <v>23.616864000415</v>
      </c>
      <c r="AW57" s="31" t="n">
        <v>0.1317626837577106</v>
      </c>
      <c r="AX57" s="31" t="n">
        <v>5.071358356218777</v>
      </c>
      <c r="AY57" s="31" t="n">
        <v>0.02054457634906411</v>
      </c>
      <c r="AZ57" s="31" t="n">
        <v>0.7737054699279288</v>
      </c>
      <c r="BA57" s="31" t="n">
        <v>0.2443677667848605</v>
      </c>
      <c r="BB57" s="31" t="n">
        <v>7.51955958510291</v>
      </c>
      <c r="BC57" s="31" t="n">
        <v>0.5755081957022637</v>
      </c>
      <c r="BD57" s="31" t="n">
        <v>0.2463615442364572</v>
      </c>
      <c r="BE57" s="31" t="n">
        <v>0.8486856612481247</v>
      </c>
      <c r="BF57" s="31" t="n">
        <v>0.8339522233566188</v>
      </c>
      <c r="BG57" s="31" t="n">
        <v>0.2004179768735702</v>
      </c>
      <c r="BH57" s="31" t="n">
        <v>0.143205232610354</v>
      </c>
      <c r="BI57" s="31" t="n">
        <v>75.64537171833598</v>
      </c>
      <c r="BJ57" s="31" t="n">
        <v>0.2165715231157381</v>
      </c>
      <c r="BK57" s="31" t="n">
        <v>0.2810359346990122</v>
      </c>
      <c r="BL57" s="31" t="n">
        <v>0.0678751193304524</v>
      </c>
      <c r="BM57" s="31" t="n">
        <v>0.6504915650775399</v>
      </c>
      <c r="BN57" s="31" t="n">
        <v>0.05764617414399852</v>
      </c>
      <c r="BO57" s="31" t="n">
        <v>0.3426696637462042</v>
      </c>
      <c r="BP57" s="31" t="n">
        <v>0.6486144282791787</v>
      </c>
      <c r="BQ57" s="31" t="n">
        <v>0.4446123717061173</v>
      </c>
      <c r="BR57" s="31" t="n">
        <v>0</v>
      </c>
      <c r="BS57" s="31">
        <f>SUM(C57:BR57)</f>
        <v/>
      </c>
      <c r="BT57" s="31" t="n">
        <v>0</v>
      </c>
      <c r="BU57" s="31" t="n">
        <v>0</v>
      </c>
      <c r="BV57" s="31" t="n">
        <v>0</v>
      </c>
      <c r="BW57" s="31" t="n">
        <v>0</v>
      </c>
      <c r="BX57" s="31">
        <f>SUM(BT57:BW57)</f>
        <v/>
      </c>
      <c r="BY57" s="31">
        <f>BS57+BX57</f>
        <v/>
      </c>
    </row>
    <row r="58">
      <c r="A58" s="28" t="inlineStr">
        <is>
          <t>5100</t>
        </is>
      </c>
      <c r="B58" s="28" t="inlineStr">
        <is>
          <t>Transporte aéreo</t>
        </is>
      </c>
      <c r="C58" s="29" t="n">
        <v>0.2961588119115121</v>
      </c>
      <c r="D58" s="29" t="n">
        <v>-0.001609673628431989</v>
      </c>
      <c r="E58" s="29" t="n">
        <v>0.6016197083856348</v>
      </c>
      <c r="F58" s="29" t="n">
        <v>0.2533116548060746</v>
      </c>
      <c r="G58" s="29" t="n">
        <v>388.3338645403158</v>
      </c>
      <c r="H58" s="29" t="n">
        <v>3.399539679108901</v>
      </c>
      <c r="I58" s="29" t="n">
        <v>4.598676981004401</v>
      </c>
      <c r="J58" s="29" t="n">
        <v>44.23515159378873</v>
      </c>
      <c r="K58" s="29" t="n">
        <v>0.2884403137728688</v>
      </c>
      <c r="L58" s="29" t="n">
        <v>35.93173714942193</v>
      </c>
      <c r="M58" s="29" t="n">
        <v>7.447428472591314</v>
      </c>
      <c r="N58" s="29" t="n">
        <v>3.942829524967005</v>
      </c>
      <c r="O58" s="29" t="n">
        <v>3.484624000467248</v>
      </c>
      <c r="P58" s="29" t="n">
        <v>3.225554483303541</v>
      </c>
      <c r="Q58" s="29" t="n">
        <v>3.613043773398041</v>
      </c>
      <c r="R58" s="29" t="n">
        <v>10.15607205751908</v>
      </c>
      <c r="S58" s="29" t="n">
        <v>15.59446802600348</v>
      </c>
      <c r="T58" s="29" t="n">
        <v>1.589866524660264</v>
      </c>
      <c r="U58" s="29" t="n">
        <v>7.989515454683565</v>
      </c>
      <c r="V58" s="29" t="n">
        <v>1.267533040901753</v>
      </c>
      <c r="W58" s="29" t="n">
        <v>60.02046097315652</v>
      </c>
      <c r="X58" s="29" t="n">
        <v>46.15397268441098</v>
      </c>
      <c r="Y58" s="29" t="n">
        <v>1.7117722190284</v>
      </c>
      <c r="Z58" s="29" t="n">
        <v>19.89292561575602</v>
      </c>
      <c r="AA58" s="29" t="n">
        <v>5.32159369980527</v>
      </c>
      <c r="AB58" s="29" t="n">
        <v>16.95560444147993</v>
      </c>
      <c r="AC58" s="29" t="n">
        <v>12.5228671528485</v>
      </c>
      <c r="AD58" s="29" t="n">
        <v>1.65334160181002</v>
      </c>
      <c r="AE58" s="29" t="n">
        <v>6.188752702128204</v>
      </c>
      <c r="AF58" s="29" t="n">
        <v>25.27170136629636</v>
      </c>
      <c r="AG58" s="29" t="n">
        <v>23.08296167794219</v>
      </c>
      <c r="AH58" s="29" t="n">
        <v>26.58019981961657</v>
      </c>
      <c r="AI58" s="29" t="n">
        <v>22.71218198812166</v>
      </c>
      <c r="AJ58" s="29" t="n">
        <v>12.15378201693516</v>
      </c>
      <c r="AK58" s="29" t="n">
        <v>3.012570648559783</v>
      </c>
      <c r="AL58" s="29" t="n">
        <v>4.817518759805012</v>
      </c>
      <c r="AM58" s="29" t="n">
        <v>8.705365568442362</v>
      </c>
      <c r="AN58" s="29" t="n">
        <v>61.96451248791288</v>
      </c>
      <c r="AO58" s="29" t="n">
        <v>7.822325657818736</v>
      </c>
      <c r="AP58" s="29" t="n">
        <v>136.386450828351</v>
      </c>
      <c r="AQ58" s="29" t="n">
        <v>25.75624921554357</v>
      </c>
      <c r="AR58" s="29" t="n">
        <v>520.7008317598693</v>
      </c>
      <c r="AS58" s="29" t="n">
        <v>30.13443932848096</v>
      </c>
      <c r="AT58" s="29" t="n">
        <v>19.39598600903781</v>
      </c>
      <c r="AU58" s="29" t="n">
        <v>1.357614445865773</v>
      </c>
      <c r="AV58" s="29" t="n">
        <v>102.8655947595938</v>
      </c>
      <c r="AW58" s="29" t="n">
        <v>7.723554315719206</v>
      </c>
      <c r="AX58" s="29" t="n">
        <v>7.170471681318715</v>
      </c>
      <c r="AY58" s="29" t="n">
        <v>1.463387610688395</v>
      </c>
      <c r="AZ58" s="29" t="n">
        <v>16.32541912190963</v>
      </c>
      <c r="BA58" s="29" t="n">
        <v>17.44321122031495</v>
      </c>
      <c r="BB58" s="29" t="n">
        <v>132.2397358199064</v>
      </c>
      <c r="BC58" s="29" t="n">
        <v>252.8520152469075</v>
      </c>
      <c r="BD58" s="29" t="n">
        <v>7.773778955350603</v>
      </c>
      <c r="BE58" s="29" t="n">
        <v>111.9971157128407</v>
      </c>
      <c r="BF58" s="29" t="n">
        <v>43.1390842324187</v>
      </c>
      <c r="BG58" s="29" t="n">
        <v>89.6423898120002</v>
      </c>
      <c r="BH58" s="29" t="n">
        <v>15.39437655896611</v>
      </c>
      <c r="BI58" s="29" t="n">
        <v>47.29401518767877</v>
      </c>
      <c r="BJ58" s="29" t="n">
        <v>3.563199603026967</v>
      </c>
      <c r="BK58" s="29" t="n">
        <v>161.1051230693247</v>
      </c>
      <c r="BL58" s="29" t="n">
        <v>31.44452652458967</v>
      </c>
      <c r="BM58" s="29" t="n">
        <v>276.5401360330681</v>
      </c>
      <c r="BN58" s="29" t="n">
        <v>79.53922708410788</v>
      </c>
      <c r="BO58" s="29" t="n">
        <v>0.1501800306073464</v>
      </c>
      <c r="BP58" s="29" t="n">
        <v>12.66084346403987</v>
      </c>
      <c r="BQ58" s="29" t="n">
        <v>837.854636992979</v>
      </c>
      <c r="BR58" s="29" t="n">
        <v>0</v>
      </c>
      <c r="BS58" s="29">
        <f>SUM(C58:BR58)</f>
        <v/>
      </c>
      <c r="BT58" s="29" t="n">
        <v>0</v>
      </c>
      <c r="BU58" s="29" t="n">
        <v>0</v>
      </c>
      <c r="BV58" s="29" t="n">
        <v>0</v>
      </c>
      <c r="BW58" s="29" t="n">
        <v>0</v>
      </c>
      <c r="BX58" s="29">
        <f>SUM(BT58:BW58)</f>
        <v/>
      </c>
      <c r="BY58" s="29">
        <f>BS58+BX58</f>
        <v/>
      </c>
    </row>
    <row r="59">
      <c r="A59" s="30" t="inlineStr">
        <is>
          <t>5280</t>
        </is>
      </c>
      <c r="B59" s="30" t="inlineStr">
        <is>
          <t>Armazenamento, atividades auxiliares dos transportes e correio</t>
        </is>
      </c>
      <c r="C59" s="31" t="n">
        <v>384.4980596826754</v>
      </c>
      <c r="D59" s="31" t="n">
        <v>8.160367617356506</v>
      </c>
      <c r="E59" s="31" t="n">
        <v>38.69667847666812</v>
      </c>
      <c r="F59" s="31" t="n">
        <v>4.92403558598724</v>
      </c>
      <c r="G59" s="31" t="n">
        <v>583.6379033992446</v>
      </c>
      <c r="H59" s="31" t="n">
        <v>600.963174239216</v>
      </c>
      <c r="I59" s="31" t="n">
        <v>60.77476327801508</v>
      </c>
      <c r="J59" s="31" t="n">
        <v>491.8832639621351</v>
      </c>
      <c r="K59" s="31" t="n">
        <v>417.0525448699404</v>
      </c>
      <c r="L59" s="31" t="n">
        <v>479.6983435283848</v>
      </c>
      <c r="M59" s="31" t="n">
        <v>277.6993068328815</v>
      </c>
      <c r="N59" s="31" t="n">
        <v>4.474967385801846</v>
      </c>
      <c r="O59" s="31" t="n">
        <v>19.6846325668801</v>
      </c>
      <c r="P59" s="31" t="n">
        <v>9.63726639367356</v>
      </c>
      <c r="Q59" s="31" t="n">
        <v>13.42700688247603</v>
      </c>
      <c r="R59" s="31" t="n">
        <v>55.05554353491311</v>
      </c>
      <c r="S59" s="31" t="n">
        <v>277.2067651461974</v>
      </c>
      <c r="T59" s="31" t="n">
        <v>18.03182063181971</v>
      </c>
      <c r="U59" s="31" t="n">
        <v>122.9417981002366</v>
      </c>
      <c r="V59" s="31" t="n">
        <v>231.2646340767998</v>
      </c>
      <c r="W59" s="31" t="n">
        <v>211.5993778190633</v>
      </c>
      <c r="X59" s="31" t="n">
        <v>96.73867499872543</v>
      </c>
      <c r="Y59" s="31" t="n">
        <v>48.58651299229535</v>
      </c>
      <c r="Z59" s="31" t="n">
        <v>80.43216944485934</v>
      </c>
      <c r="AA59" s="31" t="n">
        <v>32.63842099326071</v>
      </c>
      <c r="AB59" s="31" t="n">
        <v>48.25136039900407</v>
      </c>
      <c r="AC59" s="31" t="n">
        <v>421.6547994584298</v>
      </c>
      <c r="AD59" s="31" t="n">
        <v>21.61562607387219</v>
      </c>
      <c r="AE59" s="31" t="n">
        <v>129.0226963049413</v>
      </c>
      <c r="AF59" s="31" t="n">
        <v>69.95007205397239</v>
      </c>
      <c r="AG59" s="31" t="n">
        <v>114.5410346959206</v>
      </c>
      <c r="AH59" s="31" t="n">
        <v>59.90204350029308</v>
      </c>
      <c r="AI59" s="31" t="n">
        <v>323.1443257820646</v>
      </c>
      <c r="AJ59" s="31" t="n">
        <v>78.6501755621603</v>
      </c>
      <c r="AK59" s="31" t="n">
        <v>28.44785943234664</v>
      </c>
      <c r="AL59" s="31" t="n">
        <v>44.19494693949321</v>
      </c>
      <c r="AM59" s="31" t="n">
        <v>28.88328437886315</v>
      </c>
      <c r="AN59" s="31" t="n">
        <v>36.11785593131309</v>
      </c>
      <c r="AO59" s="31" t="n">
        <v>2.067607288142324</v>
      </c>
      <c r="AP59" s="31" t="n">
        <v>57.68509847434457</v>
      </c>
      <c r="AQ59" s="31" t="n">
        <v>68.05323644343713</v>
      </c>
      <c r="AR59" s="31" t="n">
        <v>2136.723722898122</v>
      </c>
      <c r="AS59" s="31" t="n">
        <v>1143.673610844779</v>
      </c>
      <c r="AT59" s="31" t="n">
        <v>486.6929265420642</v>
      </c>
      <c r="AU59" s="31" t="n">
        <v>581.652343543664</v>
      </c>
      <c r="AV59" s="31" t="n">
        <v>691.982480744007</v>
      </c>
      <c r="AW59" s="31" t="n">
        <v>4.799163322939885</v>
      </c>
      <c r="AX59" s="31" t="n">
        <v>21.41919439431333</v>
      </c>
      <c r="AY59" s="31" t="n">
        <v>4.190888723061594</v>
      </c>
      <c r="AZ59" s="31" t="n">
        <v>7.330093653619942</v>
      </c>
      <c r="BA59" s="31" t="n">
        <v>39.78425471563418</v>
      </c>
      <c r="BB59" s="31" t="n">
        <v>21.23684760095749</v>
      </c>
      <c r="BC59" s="31" t="n">
        <v>253.4321967903651</v>
      </c>
      <c r="BD59" s="31" t="n">
        <v>13.26219156618126</v>
      </c>
      <c r="BE59" s="31" t="n">
        <v>55.29488404334678</v>
      </c>
      <c r="BF59" s="31" t="n">
        <v>22.92193104404534</v>
      </c>
      <c r="BG59" s="31" t="n">
        <v>36.9451347023879</v>
      </c>
      <c r="BH59" s="31" t="n">
        <v>21.73773501532024</v>
      </c>
      <c r="BI59" s="31" t="n">
        <v>80.58659652481724</v>
      </c>
      <c r="BJ59" s="31" t="n">
        <v>8.446760306456579</v>
      </c>
      <c r="BK59" s="31" t="n">
        <v>303.3266330382229</v>
      </c>
      <c r="BL59" s="31" t="n">
        <v>27.79281392646509</v>
      </c>
      <c r="BM59" s="31" t="n">
        <v>40.27230903027289</v>
      </c>
      <c r="BN59" s="31" t="n">
        <v>43.45965066057349</v>
      </c>
      <c r="BO59" s="31" t="n">
        <v>22.2997774588498</v>
      </c>
      <c r="BP59" s="31" t="n">
        <v>5.648620502593656</v>
      </c>
      <c r="BQ59" s="31" t="n">
        <v>153.1921024420162</v>
      </c>
      <c r="BR59" s="31" t="n">
        <v>0</v>
      </c>
      <c r="BS59" s="31">
        <f>SUM(C59:BR59)</f>
        <v/>
      </c>
      <c r="BT59" s="31" t="n">
        <v>0</v>
      </c>
      <c r="BU59" s="31" t="n">
        <v>0</v>
      </c>
      <c r="BV59" s="31" t="n">
        <v>0</v>
      </c>
      <c r="BW59" s="31" t="n">
        <v>0</v>
      </c>
      <c r="BX59" s="31">
        <f>SUM(BT59:BW59)</f>
        <v/>
      </c>
      <c r="BY59" s="31">
        <f>BS59+BX59</f>
        <v/>
      </c>
    </row>
    <row r="60">
      <c r="A60" s="28" t="inlineStr">
        <is>
          <t>5500</t>
        </is>
      </c>
      <c r="B60" s="28" t="inlineStr">
        <is>
          <t>Alojamento</t>
        </is>
      </c>
      <c r="C60" s="29" t="n">
        <v>1.56830025560701</v>
      </c>
      <c r="D60" s="29" t="n">
        <v>0.2603809991330005</v>
      </c>
      <c r="E60" s="29" t="n">
        <v>1.310807698216222</v>
      </c>
      <c r="F60" s="29" t="n">
        <v>4.934508832899531</v>
      </c>
      <c r="G60" s="29" t="n">
        <v>122.8634439854584</v>
      </c>
      <c r="H60" s="29" t="n">
        <v>68.47859842047335</v>
      </c>
      <c r="I60" s="29" t="n">
        <v>7.280722492902328</v>
      </c>
      <c r="J60" s="29" t="n">
        <v>148.0855930363298</v>
      </c>
      <c r="K60" s="29" t="n">
        <v>19.85218750108509</v>
      </c>
      <c r="L60" s="29" t="n">
        <v>134.7798608780321</v>
      </c>
      <c r="M60" s="29" t="n">
        <v>24.16773644780433</v>
      </c>
      <c r="N60" s="29" t="n">
        <v>15.99781172641823</v>
      </c>
      <c r="O60" s="29" t="n">
        <v>11.35588624391397</v>
      </c>
      <c r="P60" s="29" t="n">
        <v>8.366322597807519</v>
      </c>
      <c r="Q60" s="29" t="n">
        <v>9.102886540337174</v>
      </c>
      <c r="R60" s="29" t="n">
        <v>5.129042295120906</v>
      </c>
      <c r="S60" s="29" t="n">
        <v>42.31769848957767</v>
      </c>
      <c r="T60" s="29" t="n">
        <v>3.083188497092417</v>
      </c>
      <c r="U60" s="29" t="n">
        <v>13.97590175857067</v>
      </c>
      <c r="V60" s="29" t="n">
        <v>11.88967695586921</v>
      </c>
      <c r="W60" s="29" t="n">
        <v>72.37955374492306</v>
      </c>
      <c r="X60" s="29" t="n">
        <v>66.46319633158329</v>
      </c>
      <c r="Y60" s="29" t="n">
        <v>16.15863932207751</v>
      </c>
      <c r="Z60" s="29" t="n">
        <v>92.56894375956374</v>
      </c>
      <c r="AA60" s="29" t="n">
        <v>48.88662667814823</v>
      </c>
      <c r="AB60" s="29" t="n">
        <v>39.94646938458264</v>
      </c>
      <c r="AC60" s="29" t="n">
        <v>85.45927594827093</v>
      </c>
      <c r="AD60" s="29" t="n">
        <v>19.34802343393885</v>
      </c>
      <c r="AE60" s="29" t="n">
        <v>74.83721152544369</v>
      </c>
      <c r="AF60" s="29" t="n">
        <v>50.53069883420601</v>
      </c>
      <c r="AG60" s="29" t="n">
        <v>51.73762456900755</v>
      </c>
      <c r="AH60" s="29" t="n">
        <v>139.743682332481</v>
      </c>
      <c r="AI60" s="29" t="n">
        <v>51.50878975170529</v>
      </c>
      <c r="AJ60" s="29" t="n">
        <v>35.3606328477467</v>
      </c>
      <c r="AK60" s="29" t="n">
        <v>14.80290301535952</v>
      </c>
      <c r="AL60" s="29" t="n">
        <v>51.82696601183274</v>
      </c>
      <c r="AM60" s="29" t="n">
        <v>25.4134134052565</v>
      </c>
      <c r="AN60" s="29" t="n">
        <v>75.24500859306274</v>
      </c>
      <c r="AO60" s="29" t="n">
        <v>6.808700586192065</v>
      </c>
      <c r="AP60" s="29" t="n">
        <v>419.4373217142526</v>
      </c>
      <c r="AQ60" s="29" t="n">
        <v>148.17100739952</v>
      </c>
      <c r="AR60" s="29" t="n">
        <v>1384.285086722312</v>
      </c>
      <c r="AS60" s="29" t="n">
        <v>87.05225361043391</v>
      </c>
      <c r="AT60" s="29" t="n">
        <v>2.36110079391128</v>
      </c>
      <c r="AU60" s="29" t="n">
        <v>19.92398291697192</v>
      </c>
      <c r="AV60" s="29" t="n">
        <v>100.9862711194363</v>
      </c>
      <c r="AW60" s="29" t="n">
        <v>0.01788103161116874</v>
      </c>
      <c r="AX60" s="29" t="n">
        <v>12.13768386456128</v>
      </c>
      <c r="AY60" s="29" t="n">
        <v>21.95106220815078</v>
      </c>
      <c r="AZ60" s="29" t="n">
        <v>52.44995463401994</v>
      </c>
      <c r="BA60" s="29" t="n">
        <v>32.21961725823118</v>
      </c>
      <c r="BB60" s="29" t="n">
        <v>313.7452130433569</v>
      </c>
      <c r="BC60" s="29" t="n">
        <v>342.8866243790786</v>
      </c>
      <c r="BD60" s="29" t="n">
        <v>25.72295799664529</v>
      </c>
      <c r="BE60" s="29" t="n">
        <v>140.7130949251146</v>
      </c>
      <c r="BF60" s="29" t="n">
        <v>128.4149425709992</v>
      </c>
      <c r="BG60" s="29" t="n">
        <v>93.29470885490719</v>
      </c>
      <c r="BH60" s="29" t="n">
        <v>74.72876726951102</v>
      </c>
      <c r="BI60" s="29" t="n">
        <v>80.27389837393046</v>
      </c>
      <c r="BJ60" s="29" t="n">
        <v>19.34549829948747</v>
      </c>
      <c r="BK60" s="29" t="n">
        <v>678.9755893606988</v>
      </c>
      <c r="BL60" s="29" t="n">
        <v>66.85440413641538</v>
      </c>
      <c r="BM60" s="29" t="n">
        <v>150.8036610572873</v>
      </c>
      <c r="BN60" s="29" t="n">
        <v>155.7178020615525</v>
      </c>
      <c r="BO60" s="29" t="n">
        <v>0.04650244602562504</v>
      </c>
      <c r="BP60" s="29" t="n">
        <v>54.56881205603332</v>
      </c>
      <c r="BQ60" s="29" t="n">
        <v>2265.440270176914</v>
      </c>
      <c r="BR60" s="29" t="n">
        <v>0</v>
      </c>
      <c r="BS60" s="29">
        <f>SUM(C60:BR60)</f>
        <v/>
      </c>
      <c r="BT60" s="29" t="n">
        <v>0</v>
      </c>
      <c r="BU60" s="29" t="n">
        <v>0</v>
      </c>
      <c r="BV60" s="29" t="n">
        <v>0</v>
      </c>
      <c r="BW60" s="29" t="n">
        <v>0</v>
      </c>
      <c r="BX60" s="29">
        <f>SUM(BT60:BW60)</f>
        <v/>
      </c>
      <c r="BY60" s="29">
        <f>BS60+BX60</f>
        <v/>
      </c>
    </row>
    <row r="61">
      <c r="A61" s="30" t="inlineStr">
        <is>
          <t>5600</t>
        </is>
      </c>
      <c r="B61" s="30" t="inlineStr">
        <is>
          <t>Alimentação</t>
        </is>
      </c>
      <c r="C61" s="31" t="n">
        <v>5.445998127424946</v>
      </c>
      <c r="D61" s="31" t="n">
        <v>0.751631001465041</v>
      </c>
      <c r="E61" s="31" t="n">
        <v>1.139970468294279</v>
      </c>
      <c r="F61" s="31" t="n">
        <v>1.952839200132146</v>
      </c>
      <c r="G61" s="31" t="n">
        <v>127.1073702006015</v>
      </c>
      <c r="H61" s="31" t="n">
        <v>29.68359210380329</v>
      </c>
      <c r="I61" s="31" t="n">
        <v>3.526782205374486</v>
      </c>
      <c r="J61" s="31" t="n">
        <v>3.705439625544048</v>
      </c>
      <c r="K61" s="31" t="n">
        <v>5.277711564891714</v>
      </c>
      <c r="L61" s="31" t="n">
        <v>35.86654754171928</v>
      </c>
      <c r="M61" s="31" t="n">
        <v>3.36793324081753</v>
      </c>
      <c r="N61" s="31" t="n">
        <v>0.5707132165568507</v>
      </c>
      <c r="O61" s="31" t="n">
        <v>2.0093717803078</v>
      </c>
      <c r="P61" s="31" t="n">
        <v>1.143233838578803</v>
      </c>
      <c r="Q61" s="31" t="n">
        <v>0.5209395410303098</v>
      </c>
      <c r="R61" s="31" t="n">
        <v>1.667122651147192</v>
      </c>
      <c r="S61" s="31" t="n">
        <v>8.789430707418816</v>
      </c>
      <c r="T61" s="31" t="n">
        <v>3.399750647613042</v>
      </c>
      <c r="U61" s="31" t="n">
        <v>5.009459679858248</v>
      </c>
      <c r="V61" s="31" t="n">
        <v>1.547534554635217</v>
      </c>
      <c r="W61" s="31" t="n">
        <v>28.73667884936776</v>
      </c>
      <c r="X61" s="31" t="n">
        <v>25.34713466522786</v>
      </c>
      <c r="Y61" s="31" t="n">
        <v>0.8758451303332192</v>
      </c>
      <c r="Z61" s="31" t="n">
        <v>46.58671385070669</v>
      </c>
      <c r="AA61" s="31" t="n">
        <v>8.996459446050427</v>
      </c>
      <c r="AB61" s="31" t="n">
        <v>3.518633131462137</v>
      </c>
      <c r="AC61" s="31" t="n">
        <v>9.112995448789698</v>
      </c>
      <c r="AD61" s="31" t="n">
        <v>12.41358055112987</v>
      </c>
      <c r="AE61" s="31" t="n">
        <v>11.31427635551445</v>
      </c>
      <c r="AF61" s="31" t="n">
        <v>4.508263786467328</v>
      </c>
      <c r="AG61" s="31" t="n">
        <v>1.906421924339894</v>
      </c>
      <c r="AH61" s="31" t="n">
        <v>25.4160575404171</v>
      </c>
      <c r="AI61" s="31" t="n">
        <v>63.4356798209441</v>
      </c>
      <c r="AJ61" s="31" t="n">
        <v>7.216504597565633</v>
      </c>
      <c r="AK61" s="31" t="n">
        <v>4.471113768032281</v>
      </c>
      <c r="AL61" s="31" t="n">
        <v>2.101625269888753</v>
      </c>
      <c r="AM61" s="31" t="n">
        <v>14.52012806841729</v>
      </c>
      <c r="AN61" s="31" t="n">
        <v>42.45290792546035</v>
      </c>
      <c r="AO61" s="31" t="n">
        <v>13.94478909279999</v>
      </c>
      <c r="AP61" s="31" t="n">
        <v>19.58080749102849</v>
      </c>
      <c r="AQ61" s="31" t="n">
        <v>31.43161756333262</v>
      </c>
      <c r="AR61" s="31" t="n">
        <v>193.2040303848264</v>
      </c>
      <c r="AS61" s="31" t="n">
        <v>33.41973505055942</v>
      </c>
      <c r="AT61" s="31" t="n">
        <v>11.57273354892309</v>
      </c>
      <c r="AU61" s="31" t="n">
        <v>102.8874556958057</v>
      </c>
      <c r="AV61" s="31" t="n">
        <v>25.60154617560711</v>
      </c>
      <c r="AW61" s="31" t="n">
        <v>43.49214752645308</v>
      </c>
      <c r="AX61" s="31" t="n">
        <v>11.10605794537183</v>
      </c>
      <c r="AY61" s="31" t="n">
        <v>4.814645390152279</v>
      </c>
      <c r="AZ61" s="31" t="n">
        <v>111.4812747113288</v>
      </c>
      <c r="BA61" s="31" t="n">
        <v>31.23284910441268</v>
      </c>
      <c r="BB61" s="31" t="n">
        <v>40.70824109558023</v>
      </c>
      <c r="BC61" s="31" t="n">
        <v>397.3102830599316</v>
      </c>
      <c r="BD61" s="31" t="n">
        <v>13.14122283913357</v>
      </c>
      <c r="BE61" s="31" t="n">
        <v>238.5941713412514</v>
      </c>
      <c r="BF61" s="31" t="n">
        <v>7.561344686462889</v>
      </c>
      <c r="BG61" s="31" t="n">
        <v>48.61921226168513</v>
      </c>
      <c r="BH61" s="31" t="n">
        <v>13.92560851945947</v>
      </c>
      <c r="BI61" s="31" t="n">
        <v>229.174415108757</v>
      </c>
      <c r="BJ61" s="31" t="n">
        <v>3.362082882891549</v>
      </c>
      <c r="BK61" s="31" t="n">
        <v>1382.066867715357</v>
      </c>
      <c r="BL61" s="31" t="n">
        <v>255.5120192701397</v>
      </c>
      <c r="BM61" s="31" t="n">
        <v>58.57890553416093</v>
      </c>
      <c r="BN61" s="31" t="n">
        <v>835.9536599591164</v>
      </c>
      <c r="BO61" s="31" t="n">
        <v>579.6430379338177</v>
      </c>
      <c r="BP61" s="31" t="n">
        <v>10.20954624712221</v>
      </c>
      <c r="BQ61" s="31" t="n">
        <v>1510.953486040872</v>
      </c>
      <c r="BR61" s="31" t="n">
        <v>0</v>
      </c>
      <c r="BS61" s="31">
        <f>SUM(C61:BR61)</f>
        <v/>
      </c>
      <c r="BT61" s="31" t="n">
        <v>0</v>
      </c>
      <c r="BU61" s="31" t="n">
        <v>0</v>
      </c>
      <c r="BV61" s="31" t="n">
        <v>0</v>
      </c>
      <c r="BW61" s="31" t="n">
        <v>0</v>
      </c>
      <c r="BX61" s="31">
        <f>SUM(BT61:BW61)</f>
        <v/>
      </c>
      <c r="BY61" s="31">
        <f>BS61+BX61</f>
        <v/>
      </c>
    </row>
    <row r="62">
      <c r="A62" s="28" t="inlineStr">
        <is>
          <t>5800</t>
        </is>
      </c>
      <c r="B62" s="28" t="inlineStr">
        <is>
          <t>Edição e edição integrada à impressão</t>
        </is>
      </c>
      <c r="C62" s="29" t="n">
        <v>0.1384114422482937</v>
      </c>
      <c r="D62" s="29" t="n">
        <v>-0.0005916473122331914</v>
      </c>
      <c r="E62" s="29" t="n">
        <v>0.03514148011469954</v>
      </c>
      <c r="F62" s="29" t="n">
        <v>-0.01722920639528237</v>
      </c>
      <c r="G62" s="29" t="n">
        <v>0.1589875796955229</v>
      </c>
      <c r="H62" s="29" t="n">
        <v>0.3621195962382491</v>
      </c>
      <c r="I62" s="29" t="n">
        <v>0.04783575184533621</v>
      </c>
      <c r="J62" s="29" t="n">
        <v>-2.646994749951259</v>
      </c>
      <c r="K62" s="29" t="n">
        <v>0.1267933252717608</v>
      </c>
      <c r="L62" s="29" t="n">
        <v>-0.9456634437521535</v>
      </c>
      <c r="M62" s="29" t="n">
        <v>3.946756142080741</v>
      </c>
      <c r="N62" s="29" t="n">
        <v>-0.09668617197088056</v>
      </c>
      <c r="O62" s="29" t="n">
        <v>-0.1148226001947162</v>
      </c>
      <c r="P62" s="29" t="n">
        <v>-0.1719308274538045</v>
      </c>
      <c r="Q62" s="29" t="n">
        <v>-0.2822160989557987</v>
      </c>
      <c r="R62" s="29" t="n">
        <v>0.2128170153506829</v>
      </c>
      <c r="S62" s="29" t="n">
        <v>1.687118872645621</v>
      </c>
      <c r="T62" s="29" t="n">
        <v>14.812474697935</v>
      </c>
      <c r="U62" s="29" t="n">
        <v>-0.2038696549207436</v>
      </c>
      <c r="V62" s="29" t="n">
        <v>-0.1492567539206633</v>
      </c>
      <c r="W62" s="29" t="n">
        <v>158.0304331091365</v>
      </c>
      <c r="X62" s="29" t="n">
        <v>-0.2108794742251238</v>
      </c>
      <c r="Y62" s="29" t="n">
        <v>-0.03357371742466986</v>
      </c>
      <c r="Z62" s="29" t="n">
        <v>-0.4424318106584767</v>
      </c>
      <c r="AA62" s="29" t="n">
        <v>-0.3847460701603526</v>
      </c>
      <c r="AB62" s="29" t="n">
        <v>-0.4437165107476082</v>
      </c>
      <c r="AC62" s="29" t="n">
        <v>-0.4399263644442469</v>
      </c>
      <c r="AD62" s="29" t="n">
        <v>-0.2010880537673795</v>
      </c>
      <c r="AE62" s="29" t="n">
        <v>-0.3316196247477591</v>
      </c>
      <c r="AF62" s="29" t="n">
        <v>2.024727392316858</v>
      </c>
      <c r="AG62" s="29" t="n">
        <v>-0.3470791628211206</v>
      </c>
      <c r="AH62" s="29" t="n">
        <v>-1.204860380807572</v>
      </c>
      <c r="AI62" s="29" t="n">
        <v>0.2397990006884991</v>
      </c>
      <c r="AJ62" s="29" t="n">
        <v>2.876273236009278</v>
      </c>
      <c r="AK62" s="29" t="n">
        <v>0.0001448381105782732</v>
      </c>
      <c r="AL62" s="29" t="n">
        <v>0.02467020731700606</v>
      </c>
      <c r="AM62" s="29" t="n">
        <v>10.91864565263944</v>
      </c>
      <c r="AN62" s="29" t="n">
        <v>48.346532636832</v>
      </c>
      <c r="AO62" s="29" t="n">
        <v>3.628636964190064</v>
      </c>
      <c r="AP62" s="29" t="n">
        <v>0.421710704297063</v>
      </c>
      <c r="AQ62" s="29" t="n">
        <v>1.251862711699661</v>
      </c>
      <c r="AR62" s="29" t="n">
        <v>290.7351647763073</v>
      </c>
      <c r="AS62" s="29" t="n">
        <v>0.5764208787462749</v>
      </c>
      <c r="AT62" s="29" t="n">
        <v>0.01082456360348613</v>
      </c>
      <c r="AU62" s="29" t="n">
        <v>0.3605214589093221</v>
      </c>
      <c r="AV62" s="29" t="n">
        <v>0.8318566285943322</v>
      </c>
      <c r="AW62" s="29" t="n">
        <v>35.87457031329127</v>
      </c>
      <c r="AX62" s="29" t="n">
        <v>0.7798936260756167</v>
      </c>
      <c r="AY62" s="29" t="n">
        <v>24.22056716670705</v>
      </c>
      <c r="AZ62" s="29" t="n">
        <v>3.68089951680129</v>
      </c>
      <c r="BA62" s="29" t="n">
        <v>70.76424363919196</v>
      </c>
      <c r="BB62" s="29" t="n">
        <v>9.702326156310654</v>
      </c>
      <c r="BC62" s="29" t="n">
        <v>769.2428192320745</v>
      </c>
      <c r="BD62" s="29" t="n">
        <v>33.67046471366542</v>
      </c>
      <c r="BE62" s="29" t="n">
        <v>204.8967403877089</v>
      </c>
      <c r="BF62" s="29" t="n">
        <v>97.32782171911266</v>
      </c>
      <c r="BG62" s="29" t="n">
        <v>2288.155807183673</v>
      </c>
      <c r="BH62" s="29" t="n">
        <v>17.4915864678088</v>
      </c>
      <c r="BI62" s="29" t="n">
        <v>24.11749552633215</v>
      </c>
      <c r="BJ62" s="29" t="n">
        <v>0.001118058424891393</v>
      </c>
      <c r="BK62" s="29" t="n">
        <v>873.583939231423</v>
      </c>
      <c r="BL62" s="29" t="n">
        <v>1943.574504258069</v>
      </c>
      <c r="BM62" s="29" t="n">
        <v>1121.818674243198</v>
      </c>
      <c r="BN62" s="29" t="n">
        <v>44.18535219007605</v>
      </c>
      <c r="BO62" s="29" t="n">
        <v>81.5836727865437</v>
      </c>
      <c r="BP62" s="29" t="n">
        <v>4.588606992860711</v>
      </c>
      <c r="BQ62" s="29" t="n">
        <v>100.5102695374258</v>
      </c>
      <c r="BR62" s="29" t="n">
        <v>0</v>
      </c>
      <c r="BS62" s="29">
        <f>SUM(C62:BR62)</f>
        <v/>
      </c>
      <c r="BT62" s="29" t="n">
        <v>0</v>
      </c>
      <c r="BU62" s="29" t="n">
        <v>0</v>
      </c>
      <c r="BV62" s="29" t="n">
        <v>0</v>
      </c>
      <c r="BW62" s="29" t="n">
        <v>0</v>
      </c>
      <c r="BX62" s="29">
        <f>SUM(BT62:BW62)</f>
        <v/>
      </c>
      <c r="BY62" s="29">
        <f>BS62+BX62</f>
        <v/>
      </c>
    </row>
    <row r="63">
      <c r="A63" s="30" t="inlineStr">
        <is>
          <t>5980</t>
        </is>
      </c>
      <c r="B63" s="30" t="inlineStr">
        <is>
          <t>Atividades de televisão, rádio, cinema e  gravação/edição de som e imagem</t>
        </is>
      </c>
      <c r="C63" s="31" t="n">
        <v>-0.00187853902240601</v>
      </c>
      <c r="D63" s="31" t="n">
        <v>-0.0007332298746986721</v>
      </c>
      <c r="E63" s="31" t="n">
        <v>3.953420492115606e-05</v>
      </c>
      <c r="F63" s="31" t="n">
        <v>-0.0190660830790003</v>
      </c>
      <c r="G63" s="31" t="n">
        <v>-0.03328276126235848</v>
      </c>
      <c r="H63" s="31" t="n">
        <v>-0.08329827744242198</v>
      </c>
      <c r="I63" s="31" t="n">
        <v>-0.02444380427240217</v>
      </c>
      <c r="J63" s="31" t="n">
        <v>-3.905031565683797</v>
      </c>
      <c r="K63" s="31" t="n">
        <v>-0.245713814747969</v>
      </c>
      <c r="L63" s="31" t="n">
        <v>-2.255678095112877</v>
      </c>
      <c r="M63" s="31" t="n">
        <v>-0.08721744572741073</v>
      </c>
      <c r="N63" s="31" t="n">
        <v>-0.105168923480812</v>
      </c>
      <c r="O63" s="31" t="n">
        <v>-0.2903215702011734</v>
      </c>
      <c r="P63" s="31" t="n">
        <v>-0.3341684218362344</v>
      </c>
      <c r="Q63" s="31" t="n">
        <v>-0.3543475224103539</v>
      </c>
      <c r="R63" s="31" t="n">
        <v>-0.2633739221799599</v>
      </c>
      <c r="S63" s="31" t="n">
        <v>-1.143482116622211</v>
      </c>
      <c r="T63" s="31" t="n">
        <v>-0.02584700929392566</v>
      </c>
      <c r="U63" s="31" t="n">
        <v>-0.2907801669782589</v>
      </c>
      <c r="V63" s="31" t="n">
        <v>-0.3946347077720311</v>
      </c>
      <c r="W63" s="31" t="n">
        <v>-0.637304242958775</v>
      </c>
      <c r="X63" s="31" t="n">
        <v>-0.5905393619650592</v>
      </c>
      <c r="Y63" s="31" t="n">
        <v>-0.03898584573112004</v>
      </c>
      <c r="Z63" s="31" t="n">
        <v>-0.6353466355265266</v>
      </c>
      <c r="AA63" s="31" t="n">
        <v>-0.8128932739441169</v>
      </c>
      <c r="AB63" s="31" t="n">
        <v>-0.6075301585388763</v>
      </c>
      <c r="AC63" s="31" t="n">
        <v>-0.7568038295285655</v>
      </c>
      <c r="AD63" s="31" t="n">
        <v>-0.2370990199310571</v>
      </c>
      <c r="AE63" s="31" t="n">
        <v>-0.7048884193931558</v>
      </c>
      <c r="AF63" s="31" t="n">
        <v>-0.3503423024163672</v>
      </c>
      <c r="AG63" s="31" t="n">
        <v>-0.5012901173578785</v>
      </c>
      <c r="AH63" s="31" t="n">
        <v>-1.613190772106643</v>
      </c>
      <c r="AI63" s="31" t="n">
        <v>-0.05477321464485431</v>
      </c>
      <c r="AJ63" s="31" t="n">
        <v>-0.01183631401163104</v>
      </c>
      <c r="AK63" s="31" t="n">
        <v>-0.05740778052308303</v>
      </c>
      <c r="AL63" s="31" t="n">
        <v>-0.3564027825598988</v>
      </c>
      <c r="AM63" s="31" t="n">
        <v>-0.005838165054144565</v>
      </c>
      <c r="AN63" s="31" t="n">
        <v>0.003830864456860033</v>
      </c>
      <c r="AO63" s="31" t="n">
        <v>-0.003314035696517516</v>
      </c>
      <c r="AP63" s="31" t="n">
        <v>0.005474563839751497</v>
      </c>
      <c r="AQ63" s="31" t="n">
        <v>0.02118242699675545</v>
      </c>
      <c r="AR63" s="31" t="n">
        <v>-2.571647835039415</v>
      </c>
      <c r="AS63" s="31" t="n">
        <v>0.05064609898742294</v>
      </c>
      <c r="AT63" s="31" t="n">
        <v>0.0006246404377542693</v>
      </c>
      <c r="AU63" s="31" t="n">
        <v>0.0005020844024986829</v>
      </c>
      <c r="AV63" s="31" t="n">
        <v>0.02121800778118451</v>
      </c>
      <c r="AW63" s="31" t="n">
        <v>0.1353299774748911</v>
      </c>
      <c r="AX63" s="31" t="n">
        <v>0.02666186779882771</v>
      </c>
      <c r="AY63" s="31" t="n">
        <v>0.2512821876533968</v>
      </c>
      <c r="AZ63" s="31" t="n">
        <v>296.798997178249</v>
      </c>
      <c r="BA63" s="31" t="n">
        <v>219.009944082213</v>
      </c>
      <c r="BB63" s="31" t="n">
        <v>-0.1908312368234777</v>
      </c>
      <c r="BC63" s="31" t="n">
        <v>0.08439902180691092</v>
      </c>
      <c r="BD63" s="31" t="n">
        <v>0.0112356210385926</v>
      </c>
      <c r="BE63" s="31" t="n">
        <v>-0.1378491281498365</v>
      </c>
      <c r="BF63" s="31" t="n">
        <v>-0.01469544709837774</v>
      </c>
      <c r="BG63" s="31" t="n">
        <v>1433.572082359305</v>
      </c>
      <c r="BH63" s="31" t="n">
        <v>0.006531050652974987</v>
      </c>
      <c r="BI63" s="31" t="n">
        <v>1.614093847282541</v>
      </c>
      <c r="BJ63" s="31" t="n">
        <v>0.1071797118645418</v>
      </c>
      <c r="BK63" s="31" t="n">
        <v>0.01281698923543882</v>
      </c>
      <c r="BL63" s="31" t="n">
        <v>0.003095528245326528</v>
      </c>
      <c r="BM63" s="31" t="n">
        <v>0.02390038742937768</v>
      </c>
      <c r="BN63" s="31" t="n">
        <v>0.002629024627256885</v>
      </c>
      <c r="BO63" s="31" t="n">
        <v>0.01562787120533301</v>
      </c>
      <c r="BP63" s="31" t="n">
        <v>5.013726828421667</v>
      </c>
      <c r="BQ63" s="31" t="n">
        <v>0.01335779777191155</v>
      </c>
      <c r="BR63" s="31" t="n">
        <v>0</v>
      </c>
      <c r="BS63" s="31">
        <f>SUM(C63:BR63)</f>
        <v/>
      </c>
      <c r="BT63" s="31" t="n">
        <v>0</v>
      </c>
      <c r="BU63" s="31" t="n">
        <v>0</v>
      </c>
      <c r="BV63" s="31" t="n">
        <v>0</v>
      </c>
      <c r="BW63" s="31" t="n">
        <v>0</v>
      </c>
      <c r="BX63" s="31">
        <f>SUM(BT63:BW63)</f>
        <v/>
      </c>
      <c r="BY63" s="31">
        <f>BS63+BX63</f>
        <v/>
      </c>
    </row>
    <row r="64">
      <c r="A64" s="28" t="inlineStr">
        <is>
          <t>6100</t>
        </is>
      </c>
      <c r="B64" s="28" t="inlineStr">
        <is>
          <t>Telecomunicações</t>
        </is>
      </c>
      <c r="C64" s="29" t="n">
        <v>1.687888650811486</v>
      </c>
      <c r="D64" s="29" t="n">
        <v>0.8556619595569933</v>
      </c>
      <c r="E64" s="29" t="n">
        <v>2.027956587996762</v>
      </c>
      <c r="F64" s="29" t="n">
        <v>6.963004142654733</v>
      </c>
      <c r="G64" s="29" t="n">
        <v>206.0403699774828</v>
      </c>
      <c r="H64" s="29" t="n">
        <v>54.24563331078369</v>
      </c>
      <c r="I64" s="29" t="n">
        <v>6.866642805760368</v>
      </c>
      <c r="J64" s="29" t="n">
        <v>-11.51917410811987</v>
      </c>
      <c r="K64" s="29" t="n">
        <v>62.28852623482239</v>
      </c>
      <c r="L64" s="29" t="n">
        <v>245.7290118313827</v>
      </c>
      <c r="M64" s="29" t="n">
        <v>97.48629853293723</v>
      </c>
      <c r="N64" s="29" t="n">
        <v>-0.6610020699202257</v>
      </c>
      <c r="O64" s="29" t="n">
        <v>40.45954905178398</v>
      </c>
      <c r="P64" s="29" t="n">
        <v>122.2943639427799</v>
      </c>
      <c r="Q64" s="29" t="n">
        <v>13.9412698797096</v>
      </c>
      <c r="R64" s="29" t="n">
        <v>27.71874198335121</v>
      </c>
      <c r="S64" s="29" t="n">
        <v>64.05061914887229</v>
      </c>
      <c r="T64" s="29" t="n">
        <v>74.80416056329588</v>
      </c>
      <c r="U64" s="29" t="n">
        <v>49.46215380226064</v>
      </c>
      <c r="V64" s="29" t="n">
        <v>43.2244760829411</v>
      </c>
      <c r="W64" s="29" t="n">
        <v>67.03645620423372</v>
      </c>
      <c r="X64" s="29" t="n">
        <v>40.8114745817789</v>
      </c>
      <c r="Y64" s="29" t="n">
        <v>5.962265714339753</v>
      </c>
      <c r="Z64" s="29" t="n">
        <v>29.08528549742017</v>
      </c>
      <c r="AA64" s="29" t="n">
        <v>49.72965007199423</v>
      </c>
      <c r="AB64" s="29" t="n">
        <v>96.98110517500054</v>
      </c>
      <c r="AC64" s="29" t="n">
        <v>10.09284069450136</v>
      </c>
      <c r="AD64" s="29" t="n">
        <v>6.325260208816152</v>
      </c>
      <c r="AE64" s="29" t="n">
        <v>70.87663893250487</v>
      </c>
      <c r="AF64" s="29" t="n">
        <v>173.413000815119</v>
      </c>
      <c r="AG64" s="29" t="n">
        <v>85.78938502094915</v>
      </c>
      <c r="AH64" s="29" t="n">
        <v>43.84385170659303</v>
      </c>
      <c r="AI64" s="29" t="n">
        <v>284.5805393796843</v>
      </c>
      <c r="AJ64" s="29" t="n">
        <v>302.6602202517104</v>
      </c>
      <c r="AK64" s="29" t="n">
        <v>30.34651717734308</v>
      </c>
      <c r="AL64" s="29" t="n">
        <v>110.8595719593352</v>
      </c>
      <c r="AM64" s="29" t="n">
        <v>27.11876667816144</v>
      </c>
      <c r="AN64" s="29" t="n">
        <v>67.6410261647253</v>
      </c>
      <c r="AO64" s="29" t="n">
        <v>48.81851394363465</v>
      </c>
      <c r="AP64" s="29" t="n">
        <v>262.2720506180763</v>
      </c>
      <c r="AQ64" s="29" t="n">
        <v>278.3171815201326</v>
      </c>
      <c r="AR64" s="29" t="n">
        <v>1767.211155374767</v>
      </c>
      <c r="AS64" s="29" t="n">
        <v>255.565015569123</v>
      </c>
      <c r="AT64" s="29" t="n">
        <v>12.39943028057011</v>
      </c>
      <c r="AU64" s="29" t="n">
        <v>12.84790575127079</v>
      </c>
      <c r="AV64" s="29" t="n">
        <v>263.4509063219834</v>
      </c>
      <c r="AW64" s="29" t="n">
        <v>57.53997614289634</v>
      </c>
      <c r="AX64" s="29" t="n">
        <v>169.8350194257577</v>
      </c>
      <c r="AY64" s="29" t="n">
        <v>14.76638392597962</v>
      </c>
      <c r="AZ64" s="29" t="n">
        <v>60.00691589492588</v>
      </c>
      <c r="BA64" s="29" t="n">
        <v>4536.101776687763</v>
      </c>
      <c r="BB64" s="29" t="n">
        <v>673.7298704698228</v>
      </c>
      <c r="BC64" s="29" t="n">
        <v>1755.977336774162</v>
      </c>
      <c r="BD64" s="29" t="n">
        <v>147.5037494983961</v>
      </c>
      <c r="BE64" s="29" t="n">
        <v>717.1180176924563</v>
      </c>
      <c r="BF64" s="29" t="n">
        <v>107.9274388893088</v>
      </c>
      <c r="BG64" s="29" t="n">
        <v>906.4501011199866</v>
      </c>
      <c r="BH64" s="29" t="n">
        <v>37.72659969479433</v>
      </c>
      <c r="BI64" s="29" t="n">
        <v>533.6255085845278</v>
      </c>
      <c r="BJ64" s="29" t="n">
        <v>78.11882543893232</v>
      </c>
      <c r="BK64" s="29" t="n">
        <v>1232.585991690098</v>
      </c>
      <c r="BL64" s="29" t="n">
        <v>278.0167625433101</v>
      </c>
      <c r="BM64" s="29" t="n">
        <v>380.8300072124656</v>
      </c>
      <c r="BN64" s="29" t="n">
        <v>142.8556850656281</v>
      </c>
      <c r="BO64" s="29" t="n">
        <v>275.5219631175751</v>
      </c>
      <c r="BP64" s="29" t="n">
        <v>62.26867991979942</v>
      </c>
      <c r="BQ64" s="29" t="n">
        <v>443.9019222399793</v>
      </c>
      <c r="BR64" s="29" t="n">
        <v>0</v>
      </c>
      <c r="BS64" s="29">
        <f>SUM(C64:BR64)</f>
        <v/>
      </c>
      <c r="BT64" s="29" t="n">
        <v>0</v>
      </c>
      <c r="BU64" s="29" t="n">
        <v>0</v>
      </c>
      <c r="BV64" s="29" t="n">
        <v>0</v>
      </c>
      <c r="BW64" s="29" t="n">
        <v>0</v>
      </c>
      <c r="BX64" s="29">
        <f>SUM(BT64:BW64)</f>
        <v/>
      </c>
      <c r="BY64" s="29">
        <f>BS64+BX64</f>
        <v/>
      </c>
    </row>
    <row r="65">
      <c r="A65" s="30" t="inlineStr">
        <is>
          <t>6280</t>
        </is>
      </c>
      <c r="B65" s="30" t="inlineStr">
        <is>
          <t>Desenvolvimento de sistemas e outros serviços de informação</t>
        </is>
      </c>
      <c r="C65" s="31" t="n">
        <v>4.965252165957109</v>
      </c>
      <c r="D65" s="31" t="n">
        <v>1.856244546930767</v>
      </c>
      <c r="E65" s="31" t="n">
        <v>0.1508649969765431</v>
      </c>
      <c r="F65" s="31" t="n">
        <v>-1.550307993467408</v>
      </c>
      <c r="G65" s="31" t="n">
        <v>24.84649724255594</v>
      </c>
      <c r="H65" s="31" t="n">
        <v>131.1988976979933</v>
      </c>
      <c r="I65" s="31" t="n">
        <v>6.925740872011056</v>
      </c>
      <c r="J65" s="31" t="n">
        <v>-225.2753336291278</v>
      </c>
      <c r="K65" s="31" t="n">
        <v>-14.80966399866072</v>
      </c>
      <c r="L65" s="31" t="n">
        <v>38.56494763207745</v>
      </c>
      <c r="M65" s="31" t="n">
        <v>9.832011960775791</v>
      </c>
      <c r="N65" s="31" t="n">
        <v>1.635045900937788</v>
      </c>
      <c r="O65" s="31" t="n">
        <v>-16.51999294084248</v>
      </c>
      <c r="P65" s="31" t="n">
        <v>-20.50276863847361</v>
      </c>
      <c r="Q65" s="31" t="n">
        <v>-29.51595850453302</v>
      </c>
      <c r="R65" s="31" t="n">
        <v>-18.72297675596813</v>
      </c>
      <c r="S65" s="31" t="n">
        <v>-35.14434201840348</v>
      </c>
      <c r="T65" s="31" t="n">
        <v>-2.061580977708365</v>
      </c>
      <c r="U65" s="31" t="n">
        <v>-14.1819442030176</v>
      </c>
      <c r="V65" s="31" t="n">
        <v>-35.18132812580742</v>
      </c>
      <c r="W65" s="31" t="n">
        <v>75.26872125226397</v>
      </c>
      <c r="X65" s="31" t="n">
        <v>15.0863862841999</v>
      </c>
      <c r="Y65" s="31" t="n">
        <v>1.685127108711737</v>
      </c>
      <c r="Z65" s="31" t="n">
        <v>49.37264982836763</v>
      </c>
      <c r="AA65" s="31" t="n">
        <v>-31.45963225896005</v>
      </c>
      <c r="AB65" s="31" t="n">
        <v>-29.42665435835404</v>
      </c>
      <c r="AC65" s="31" t="n">
        <v>-16.57401798432786</v>
      </c>
      <c r="AD65" s="31" t="n">
        <v>-13.61231077142728</v>
      </c>
      <c r="AE65" s="31" t="n">
        <v>-30.43339194186747</v>
      </c>
      <c r="AF65" s="31" t="n">
        <v>28.03228594709377</v>
      </c>
      <c r="AG65" s="31" t="n">
        <v>39.57690874176146</v>
      </c>
      <c r="AH65" s="31" t="n">
        <v>-74.96441822418535</v>
      </c>
      <c r="AI65" s="31" t="n">
        <v>172.7026455690114</v>
      </c>
      <c r="AJ65" s="31" t="n">
        <v>32.71165522720077</v>
      </c>
      <c r="AK65" s="31" t="n">
        <v>7.910706215639684</v>
      </c>
      <c r="AL65" s="31" t="n">
        <v>5.676225003057071</v>
      </c>
      <c r="AM65" s="31" t="n">
        <v>33.35526627812675</v>
      </c>
      <c r="AN65" s="31" t="n">
        <v>239.7503305856247</v>
      </c>
      <c r="AO65" s="31" t="n">
        <v>108.9996460354662</v>
      </c>
      <c r="AP65" s="31" t="n">
        <v>101.3327970484416</v>
      </c>
      <c r="AQ65" s="31" t="n">
        <v>108.9340250917679</v>
      </c>
      <c r="AR65" s="31" t="n">
        <v>2171.36311263392</v>
      </c>
      <c r="AS65" s="31" t="n">
        <v>249.0483317833095</v>
      </c>
      <c r="AT65" s="31" t="n">
        <v>0.3138360529263758</v>
      </c>
      <c r="AU65" s="31" t="n">
        <v>148.2767064106839</v>
      </c>
      <c r="AV65" s="31" t="n">
        <v>420.2575465088707</v>
      </c>
      <c r="AW65" s="31" t="n">
        <v>14.88397192809962</v>
      </c>
      <c r="AX65" s="31" t="n">
        <v>23.79890351795012</v>
      </c>
      <c r="AY65" s="31" t="n">
        <v>83.26762258818133</v>
      </c>
      <c r="AZ65" s="31" t="n">
        <v>238.0663215198263</v>
      </c>
      <c r="BA65" s="31" t="n">
        <v>506.7679698180112</v>
      </c>
      <c r="BB65" s="31" t="n">
        <v>3883.223202045665</v>
      </c>
      <c r="BC65" s="31" t="n">
        <v>3618.289126854759</v>
      </c>
      <c r="BD65" s="31" t="n">
        <v>80.44119738962372</v>
      </c>
      <c r="BE65" s="31" t="n">
        <v>707.5055248719847</v>
      </c>
      <c r="BF65" s="31" t="n">
        <v>9.718170072005234</v>
      </c>
      <c r="BG65" s="31" t="n">
        <v>2817.201367483578</v>
      </c>
      <c r="BH65" s="31" t="n">
        <v>107.8024360800747</v>
      </c>
      <c r="BI65" s="31" t="n">
        <v>274.9967795176852</v>
      </c>
      <c r="BJ65" s="31" t="n">
        <v>53.23416771339917</v>
      </c>
      <c r="BK65" s="31" t="n">
        <v>3149.777288837469</v>
      </c>
      <c r="BL65" s="31" t="n">
        <v>315.9543376121352</v>
      </c>
      <c r="BM65" s="31" t="n">
        <v>103.1107243648355</v>
      </c>
      <c r="BN65" s="31" t="n">
        <v>487.0876520873594</v>
      </c>
      <c r="BO65" s="31" t="n">
        <v>0.8971390850587805</v>
      </c>
      <c r="BP65" s="31" t="n">
        <v>38.57032729173245</v>
      </c>
      <c r="BQ65" s="31" t="n">
        <v>400.124987154903</v>
      </c>
      <c r="BR65" s="31" t="n">
        <v>0</v>
      </c>
      <c r="BS65" s="31">
        <f>SUM(C65:BR65)</f>
        <v/>
      </c>
      <c r="BT65" s="31" t="n">
        <v>0</v>
      </c>
      <c r="BU65" s="31" t="n">
        <v>0</v>
      </c>
      <c r="BV65" s="31" t="n">
        <v>0</v>
      </c>
      <c r="BW65" s="31" t="n">
        <v>0</v>
      </c>
      <c r="BX65" s="31">
        <f>SUM(BT65:BW65)</f>
        <v/>
      </c>
      <c r="BY65" s="31">
        <f>BS65+BX65</f>
        <v/>
      </c>
    </row>
    <row r="66">
      <c r="A66" s="28" t="inlineStr">
        <is>
          <t>6480</t>
        </is>
      </c>
      <c r="B66" s="28" t="inlineStr">
        <is>
          <t>Intermediação financeira, seguros e previdência complementar</t>
        </is>
      </c>
      <c r="C66" s="29" t="n">
        <v>1692.046362017996</v>
      </c>
      <c r="D66" s="29" t="n">
        <v>543.7393000644983</v>
      </c>
      <c r="E66" s="29" t="n">
        <v>138.2108080570098</v>
      </c>
      <c r="F66" s="29" t="n">
        <v>198.6964873537955</v>
      </c>
      <c r="G66" s="29" t="n">
        <v>1091.59344728569</v>
      </c>
      <c r="H66" s="29" t="n">
        <v>345.0489790331662</v>
      </c>
      <c r="I66" s="29" t="n">
        <v>117.4423059411471</v>
      </c>
      <c r="J66" s="29" t="n">
        <v>1242.209993831285</v>
      </c>
      <c r="K66" s="29" t="n">
        <v>449.5901219317894</v>
      </c>
      <c r="L66" s="29" t="n">
        <v>1309.463836442862</v>
      </c>
      <c r="M66" s="29" t="n">
        <v>348.9055012327283</v>
      </c>
      <c r="N66" s="29" t="n">
        <v>63.43661572587418</v>
      </c>
      <c r="O66" s="29" t="n">
        <v>184.8418066845305</v>
      </c>
      <c r="P66" s="29" t="n">
        <v>194.9493942032045</v>
      </c>
      <c r="Q66" s="29" t="n">
        <v>142.9515886339237</v>
      </c>
      <c r="R66" s="29" t="n">
        <v>141.7550139162448</v>
      </c>
      <c r="S66" s="29" t="n">
        <v>544.771783622812</v>
      </c>
      <c r="T66" s="29" t="n">
        <v>69.56156027483651</v>
      </c>
      <c r="U66" s="29" t="n">
        <v>802.3391568324105</v>
      </c>
      <c r="V66" s="29" t="n">
        <v>284.7181979213855</v>
      </c>
      <c r="W66" s="29" t="n">
        <v>990.6922151651409</v>
      </c>
      <c r="X66" s="29" t="n">
        <v>359.9829334996832</v>
      </c>
      <c r="Y66" s="29" t="n">
        <v>184.6215559017474</v>
      </c>
      <c r="Z66" s="29" t="n">
        <v>258.7370104402152</v>
      </c>
      <c r="AA66" s="29" t="n">
        <v>435.6268764342444</v>
      </c>
      <c r="AB66" s="29" t="n">
        <v>531.7577023495902</v>
      </c>
      <c r="AC66" s="29" t="n">
        <v>829.9115999707558</v>
      </c>
      <c r="AD66" s="29" t="n">
        <v>295.9673639713571</v>
      </c>
      <c r="AE66" s="29" t="n">
        <v>385.5030003623208</v>
      </c>
      <c r="AF66" s="29" t="n">
        <v>456.7223127816644</v>
      </c>
      <c r="AG66" s="29" t="n">
        <v>322.3073108003771</v>
      </c>
      <c r="AH66" s="29" t="n">
        <v>597.1732532239333</v>
      </c>
      <c r="AI66" s="29" t="n">
        <v>640.907450801693</v>
      </c>
      <c r="AJ66" s="29" t="n">
        <v>252.1957697029301</v>
      </c>
      <c r="AK66" s="29" t="n">
        <v>141.9132679381789</v>
      </c>
      <c r="AL66" s="29" t="n">
        <v>231.1431789630524</v>
      </c>
      <c r="AM66" s="29" t="n">
        <v>144.8378597889612</v>
      </c>
      <c r="AN66" s="29" t="n">
        <v>1756.868600809595</v>
      </c>
      <c r="AO66" s="29" t="n">
        <v>311.4915091233534</v>
      </c>
      <c r="AP66" s="29" t="n">
        <v>1805.086379192793</v>
      </c>
      <c r="AQ66" s="29" t="n">
        <v>604.6152030763293</v>
      </c>
      <c r="AR66" s="29" t="n">
        <v>6800.233913378846</v>
      </c>
      <c r="AS66" s="29" t="n">
        <v>1958.865311043728</v>
      </c>
      <c r="AT66" s="29" t="n">
        <v>166.9753703367649</v>
      </c>
      <c r="AU66" s="29" t="n">
        <v>220.5271029248621</v>
      </c>
      <c r="AV66" s="29" t="n">
        <v>761.3566791986582</v>
      </c>
      <c r="AW66" s="29" t="n">
        <v>135.6104886995479</v>
      </c>
      <c r="AX66" s="29" t="n">
        <v>552.1775160372264</v>
      </c>
      <c r="AY66" s="29" t="n">
        <v>85.43051120722998</v>
      </c>
      <c r="AZ66" s="29" t="n">
        <v>220.1791349722702</v>
      </c>
      <c r="BA66" s="29" t="n">
        <v>1801.382278514266</v>
      </c>
      <c r="BB66" s="29" t="n">
        <v>772.7828932455202</v>
      </c>
      <c r="BC66" s="29" t="n">
        <v>22924.84579232292</v>
      </c>
      <c r="BD66" s="29" t="n">
        <v>5743.65317809624</v>
      </c>
      <c r="BE66" s="29" t="n">
        <v>992.9684973844961</v>
      </c>
      <c r="BF66" s="29" t="n">
        <v>313.6289680263585</v>
      </c>
      <c r="BG66" s="29" t="n">
        <v>222.9266639690599</v>
      </c>
      <c r="BH66" s="29" t="n">
        <v>364.9156791876958</v>
      </c>
      <c r="BI66" s="29" t="n">
        <v>1121.166784239697</v>
      </c>
      <c r="BJ66" s="29" t="n">
        <v>189.4075496667609</v>
      </c>
      <c r="BK66" s="29" t="n">
        <v>13039.51575812726</v>
      </c>
      <c r="BL66" s="29" t="n">
        <v>179.1591382390067</v>
      </c>
      <c r="BM66" s="29" t="n">
        <v>343.5742377219601</v>
      </c>
      <c r="BN66" s="29" t="n">
        <v>137.3223425518524</v>
      </c>
      <c r="BO66" s="29" t="n">
        <v>1147.979478439352</v>
      </c>
      <c r="BP66" s="29" t="n">
        <v>159.7008060398634</v>
      </c>
      <c r="BQ66" s="29" t="n">
        <v>518.1673799092932</v>
      </c>
      <c r="BR66" s="29" t="n">
        <v>0</v>
      </c>
      <c r="BS66" s="29">
        <f>SUM(C66:BR66)</f>
        <v/>
      </c>
      <c r="BT66" s="29" t="n">
        <v>0</v>
      </c>
      <c r="BU66" s="29" t="n">
        <v>0</v>
      </c>
      <c r="BV66" s="29" t="n">
        <v>0</v>
      </c>
      <c r="BW66" s="29" t="n">
        <v>0</v>
      </c>
      <c r="BX66" s="29">
        <f>SUM(BT66:BW66)</f>
        <v/>
      </c>
      <c r="BY66" s="29">
        <f>BS66+BX66</f>
        <v/>
      </c>
    </row>
    <row r="67">
      <c r="A67" s="30" t="inlineStr">
        <is>
          <t>6800</t>
        </is>
      </c>
      <c r="B67" s="30" t="inlineStr">
        <is>
          <t>Atividades imobiliárias</t>
        </is>
      </c>
      <c r="C67" s="31" t="n">
        <v>0.2237064267052326</v>
      </c>
      <c r="D67" s="31" t="n">
        <v>0.1830361449983196</v>
      </c>
      <c r="E67" s="31" t="n">
        <v>0.2033663355620488</v>
      </c>
      <c r="F67" s="31" t="n">
        <v>0.7931270789042992</v>
      </c>
      <c r="G67" s="31" t="n">
        <v>12.6901292219312</v>
      </c>
      <c r="H67" s="31" t="n">
        <v>2.582880087723025</v>
      </c>
      <c r="I67" s="31" t="n">
        <v>0.813471282595868</v>
      </c>
      <c r="J67" s="31" t="n">
        <v>26.43756421958965</v>
      </c>
      <c r="K67" s="31" t="n">
        <v>7.504200920791235</v>
      </c>
      <c r="L67" s="31" t="n">
        <v>15.88287572888146</v>
      </c>
      <c r="M67" s="31" t="n">
        <v>2.196351489012069</v>
      </c>
      <c r="N67" s="31" t="n">
        <v>0.8134635144489113</v>
      </c>
      <c r="O67" s="31" t="n">
        <v>9.39550359188496</v>
      </c>
      <c r="P67" s="31" t="n">
        <v>11.24613308725624</v>
      </c>
      <c r="Q67" s="31" t="n">
        <v>2.359044191901853</v>
      </c>
      <c r="R67" s="31" t="n">
        <v>1.687936792481495</v>
      </c>
      <c r="S67" s="31" t="n">
        <v>6.568720925507103</v>
      </c>
      <c r="T67" s="31" t="n">
        <v>1.504907501730487</v>
      </c>
      <c r="U67" s="31" t="n">
        <v>7.03645939998312</v>
      </c>
      <c r="V67" s="31" t="n">
        <v>10.65638254912666</v>
      </c>
      <c r="W67" s="31" t="n">
        <v>8.114313788288621</v>
      </c>
      <c r="X67" s="31" t="n">
        <v>3.477556524269112</v>
      </c>
      <c r="Y67" s="31" t="n">
        <v>5.104483553166924</v>
      </c>
      <c r="Z67" s="31" t="n">
        <v>8.297327847378899</v>
      </c>
      <c r="AA67" s="31" t="n">
        <v>14.47965055719064</v>
      </c>
      <c r="AB67" s="31" t="n">
        <v>7.036459856932941</v>
      </c>
      <c r="AC67" s="31" t="n">
        <v>10.3513271815942</v>
      </c>
      <c r="AD67" s="31" t="n">
        <v>0.4067338896569536</v>
      </c>
      <c r="AE67" s="31" t="n">
        <v>8.480364601643656</v>
      </c>
      <c r="AF67" s="31" t="n">
        <v>5.165504740496121</v>
      </c>
      <c r="AG67" s="31" t="n">
        <v>3.823278822543116</v>
      </c>
      <c r="AH67" s="31" t="n">
        <v>8.724405026827808</v>
      </c>
      <c r="AI67" s="31" t="n">
        <v>2.989511620620076</v>
      </c>
      <c r="AJ67" s="31" t="n">
        <v>6.345018763666892</v>
      </c>
      <c r="AK67" s="31" t="n">
        <v>1.301575589721621</v>
      </c>
      <c r="AL67" s="31" t="n">
        <v>7.605886144846464</v>
      </c>
      <c r="AM67" s="31" t="n">
        <v>1.606590441036609</v>
      </c>
      <c r="AN67" s="31" t="n">
        <v>19.70615363752493</v>
      </c>
      <c r="AO67" s="31" t="n">
        <v>10.63603545141955</v>
      </c>
      <c r="AP67" s="31" t="n">
        <v>30.14387326743719</v>
      </c>
      <c r="AQ67" s="31" t="n">
        <v>108.9635232100484</v>
      </c>
      <c r="AR67" s="31" t="n">
        <v>1269.613306446611</v>
      </c>
      <c r="AS67" s="31" t="n">
        <v>38.78187670695056</v>
      </c>
      <c r="AT67" s="31" t="n">
        <v>3.213181643656252</v>
      </c>
      <c r="AU67" s="31" t="n">
        <v>2.582746810691905</v>
      </c>
      <c r="AV67" s="31" t="n">
        <v>109.1465317857409</v>
      </c>
      <c r="AW67" s="31" t="n">
        <v>30.91165238979342</v>
      </c>
      <c r="AX67" s="31" t="n">
        <v>137.1499485360868</v>
      </c>
      <c r="AY67" s="31" t="n">
        <v>4.819772084692841</v>
      </c>
      <c r="AZ67" s="31" t="n">
        <v>13.09679533069798</v>
      </c>
      <c r="BA67" s="31" t="n">
        <v>57.32884148542053</v>
      </c>
      <c r="BB67" s="31" t="n">
        <v>79.94334499984822</v>
      </c>
      <c r="BC67" s="31" t="n">
        <v>135.0146523533236</v>
      </c>
      <c r="BD67" s="31" t="n">
        <v>57.79665139638514</v>
      </c>
      <c r="BE67" s="31" t="n">
        <v>156.9984697123858</v>
      </c>
      <c r="BF67" s="31" t="n">
        <v>27.23071886779979</v>
      </c>
      <c r="BG67" s="31" t="n">
        <v>47.01819113514705</v>
      </c>
      <c r="BH67" s="31" t="n">
        <v>33.59607939809253</v>
      </c>
      <c r="BI67" s="31" t="n">
        <v>104.9777629477494</v>
      </c>
      <c r="BJ67" s="31" t="n">
        <v>8.704059604603382</v>
      </c>
      <c r="BK67" s="31" t="n">
        <v>65.93186062216593</v>
      </c>
      <c r="BL67" s="31" t="n">
        <v>15.9237621478537</v>
      </c>
      <c r="BM67" s="31" t="n">
        <v>152.6058276610042</v>
      </c>
      <c r="BN67" s="31" t="n">
        <v>13.52420486498336</v>
      </c>
      <c r="BO67" s="31" t="n">
        <v>80.39053181541372</v>
      </c>
      <c r="BP67" s="31" t="n">
        <v>110.0616148757872</v>
      </c>
      <c r="BQ67" s="31" t="n">
        <v>104.3063999610624</v>
      </c>
      <c r="BR67" s="31" t="n">
        <v>0</v>
      </c>
      <c r="BS67" s="31">
        <f>SUM(C67:BR67)</f>
        <v/>
      </c>
      <c r="BT67" s="31" t="n">
        <v>0</v>
      </c>
      <c r="BU67" s="31" t="n">
        <v>0</v>
      </c>
      <c r="BV67" s="31" t="n">
        <v>0</v>
      </c>
      <c r="BW67" s="31" t="n">
        <v>0</v>
      </c>
      <c r="BX67" s="31">
        <f>SUM(BT67:BW67)</f>
        <v/>
      </c>
      <c r="BY67" s="31">
        <f>BS67+BX67</f>
        <v/>
      </c>
    </row>
    <row r="68">
      <c r="A68" s="28" t="inlineStr">
        <is>
          <t>6980</t>
        </is>
      </c>
      <c r="B68" s="28" t="inlineStr">
        <is>
          <t>Atividades jurídicas, contábeis, consultoria e sedes de empresas</t>
        </is>
      </c>
      <c r="C68" s="29" t="n">
        <v>3.165565548593604</v>
      </c>
      <c r="D68" s="29" t="n">
        <v>1.082752393897473</v>
      </c>
      <c r="E68" s="29" t="n">
        <v>3.672417277096164</v>
      </c>
      <c r="F68" s="29" t="n">
        <v>52.85180751684117</v>
      </c>
      <c r="G68" s="29" t="n">
        <v>805.1850574383715</v>
      </c>
      <c r="H68" s="29" t="n">
        <v>241.595911944066</v>
      </c>
      <c r="I68" s="29" t="n">
        <v>21.37118774033313</v>
      </c>
      <c r="J68" s="29" t="n">
        <v>632.9316772469994</v>
      </c>
      <c r="K68" s="29" t="n">
        <v>118.1484916106908</v>
      </c>
      <c r="L68" s="29" t="n">
        <v>977.1093198938474</v>
      </c>
      <c r="M68" s="29" t="n">
        <v>327.7946659937052</v>
      </c>
      <c r="N68" s="29" t="n">
        <v>70.9376018009789</v>
      </c>
      <c r="O68" s="29" t="n">
        <v>40.39214434775126</v>
      </c>
      <c r="P68" s="29" t="n">
        <v>34.4950809826153</v>
      </c>
      <c r="Q68" s="29" t="n">
        <v>21.3207552799528</v>
      </c>
      <c r="R68" s="29" t="n">
        <v>42.05771780327647</v>
      </c>
      <c r="S68" s="29" t="n">
        <v>285.535045362655</v>
      </c>
      <c r="T68" s="29" t="n">
        <v>19.36427999903513</v>
      </c>
      <c r="U68" s="29" t="n">
        <v>664.4838093285688</v>
      </c>
      <c r="V68" s="29" t="n">
        <v>126.7724678671757</v>
      </c>
      <c r="W68" s="29" t="n">
        <v>576.415766483159</v>
      </c>
      <c r="X68" s="29" t="n">
        <v>418.9101852393054</v>
      </c>
      <c r="Y68" s="29" t="n">
        <v>197.0061735513886</v>
      </c>
      <c r="Z68" s="29" t="n">
        <v>370.5325670996505</v>
      </c>
      <c r="AA68" s="29" t="n">
        <v>238.1078987001241</v>
      </c>
      <c r="AB68" s="29" t="n">
        <v>276.0630399097684</v>
      </c>
      <c r="AC68" s="29" t="n">
        <v>181.6994936545716</v>
      </c>
      <c r="AD68" s="29" t="n">
        <v>76.19122453212736</v>
      </c>
      <c r="AE68" s="29" t="n">
        <v>91.31237023186556</v>
      </c>
      <c r="AF68" s="29" t="n">
        <v>295.7439610070151</v>
      </c>
      <c r="AG68" s="29" t="n">
        <v>148.2089456227194</v>
      </c>
      <c r="AH68" s="29" t="n">
        <v>238.3026119919953</v>
      </c>
      <c r="AI68" s="29" t="n">
        <v>309.1209379560015</v>
      </c>
      <c r="AJ68" s="29" t="n">
        <v>127.3233816844722</v>
      </c>
      <c r="AK68" s="29" t="n">
        <v>49.97571755883501</v>
      </c>
      <c r="AL68" s="29" t="n">
        <v>60.62684800682148</v>
      </c>
      <c r="AM68" s="29" t="n">
        <v>88.61448347016923</v>
      </c>
      <c r="AN68" s="29" t="n">
        <v>85.6553081845572</v>
      </c>
      <c r="AO68" s="29" t="n">
        <v>217.7384549022833</v>
      </c>
      <c r="AP68" s="29" t="n">
        <v>460.0591110168867</v>
      </c>
      <c r="AQ68" s="29" t="n">
        <v>784.1540111088007</v>
      </c>
      <c r="AR68" s="29" t="n">
        <v>3604.17445458786</v>
      </c>
      <c r="AS68" s="29" t="n">
        <v>307.8461541859026</v>
      </c>
      <c r="AT68" s="29" t="n">
        <v>24.70796835319609</v>
      </c>
      <c r="AU68" s="29" t="n">
        <v>50.07814745155317</v>
      </c>
      <c r="AV68" s="29" t="n">
        <v>316.7924021022826</v>
      </c>
      <c r="AW68" s="29" t="n">
        <v>25.99909838030102</v>
      </c>
      <c r="AX68" s="29" t="n">
        <v>119.7055429180592</v>
      </c>
      <c r="AY68" s="29" t="n">
        <v>38.95944571981362</v>
      </c>
      <c r="AZ68" s="29" t="n">
        <v>277.3441758342022</v>
      </c>
      <c r="BA68" s="29" t="n">
        <v>310.5202735981803</v>
      </c>
      <c r="BB68" s="29" t="n">
        <v>603.6325083554094</v>
      </c>
      <c r="BC68" s="29" t="n">
        <v>1674.926466771881</v>
      </c>
      <c r="BD68" s="29" t="n">
        <v>290.8477860011611</v>
      </c>
      <c r="BE68" s="29" t="n">
        <v>2089.043012847065</v>
      </c>
      <c r="BF68" s="29" t="n">
        <v>605.5422430759969</v>
      </c>
      <c r="BG68" s="29" t="n">
        <v>80.27057919252137</v>
      </c>
      <c r="BH68" s="29" t="n">
        <v>119.4752777750411</v>
      </c>
      <c r="BI68" s="29" t="n">
        <v>535.0033456273212</v>
      </c>
      <c r="BJ68" s="29" t="n">
        <v>189.2178137372053</v>
      </c>
      <c r="BK68" s="29" t="n">
        <v>503.4255111025788</v>
      </c>
      <c r="BL68" s="29" t="n">
        <v>14.12688823707648</v>
      </c>
      <c r="BM68" s="29" t="n">
        <v>294.3855457553204</v>
      </c>
      <c r="BN68" s="29" t="n">
        <v>35.57205763854777</v>
      </c>
      <c r="BO68" s="29" t="n">
        <v>421.5742255119829</v>
      </c>
      <c r="BP68" s="29" t="n">
        <v>130.4073844985255</v>
      </c>
      <c r="BQ68" s="29" t="n">
        <v>404.2268871807026</v>
      </c>
      <c r="BR68" s="29" t="n">
        <v>0</v>
      </c>
      <c r="BS68" s="29">
        <f>SUM(C68:BR68)</f>
        <v/>
      </c>
      <c r="BT68" s="29" t="n">
        <v>0</v>
      </c>
      <c r="BU68" s="29" t="n">
        <v>0</v>
      </c>
      <c r="BV68" s="29" t="n">
        <v>0</v>
      </c>
      <c r="BW68" s="29" t="n">
        <v>0</v>
      </c>
      <c r="BX68" s="29">
        <f>SUM(BT68:BW68)</f>
        <v/>
      </c>
      <c r="BY68" s="29">
        <f>BS68+BX68</f>
        <v/>
      </c>
    </row>
    <row r="69">
      <c r="A69" s="30" t="inlineStr">
        <is>
          <t>7180</t>
        </is>
      </c>
      <c r="B69" s="30" t="inlineStr">
        <is>
          <t>Serviços de arquitetura, engenharia, testes/análises técnicas e P &amp; D</t>
        </is>
      </c>
      <c r="C69" s="31" t="n">
        <v>338.3194159946898</v>
      </c>
      <c r="D69" s="31" t="n">
        <v>11.69501939326049</v>
      </c>
      <c r="E69" s="31" t="n">
        <v>0.08615433624790481</v>
      </c>
      <c r="F69" s="31" t="n">
        <v>21.46058019100327</v>
      </c>
      <c r="G69" s="31" t="n">
        <v>686.5893345904542</v>
      </c>
      <c r="H69" s="31" t="n">
        <v>393.215648936056</v>
      </c>
      <c r="I69" s="31" t="n">
        <v>60.56306131039465</v>
      </c>
      <c r="J69" s="31" t="n">
        <v>469.0573740380887</v>
      </c>
      <c r="K69" s="31" t="n">
        <v>220.7090991955577</v>
      </c>
      <c r="L69" s="31" t="n">
        <v>427.6782771943766</v>
      </c>
      <c r="M69" s="31" t="n">
        <v>84.31555092284157</v>
      </c>
      <c r="N69" s="31" t="n">
        <v>49.03060082473464</v>
      </c>
      <c r="O69" s="31" t="n">
        <v>23.46073473625555</v>
      </c>
      <c r="P69" s="31" t="n">
        <v>54.07812409247002</v>
      </c>
      <c r="Q69" s="31" t="n">
        <v>29.744815987609</v>
      </c>
      <c r="R69" s="31" t="n">
        <v>34.49943198790226</v>
      </c>
      <c r="S69" s="31" t="n">
        <v>245.6151865575788</v>
      </c>
      <c r="T69" s="31" t="n">
        <v>12.81957757966201</v>
      </c>
      <c r="U69" s="31" t="n">
        <v>84.52666107712429</v>
      </c>
      <c r="V69" s="31" t="n">
        <v>183.3593367682002</v>
      </c>
      <c r="W69" s="31" t="n">
        <v>432.1878612383199</v>
      </c>
      <c r="X69" s="31" t="n">
        <v>250.5894351335137</v>
      </c>
      <c r="Y69" s="31" t="n">
        <v>142.265853874318</v>
      </c>
      <c r="Z69" s="31" t="n">
        <v>341.497552594505</v>
      </c>
      <c r="AA69" s="31" t="n">
        <v>356.9052589188017</v>
      </c>
      <c r="AB69" s="31" t="n">
        <v>225.6007324076437</v>
      </c>
      <c r="AC69" s="31" t="n">
        <v>167.0041930510412</v>
      </c>
      <c r="AD69" s="31" t="n">
        <v>115.0913677033859</v>
      </c>
      <c r="AE69" s="31" t="n">
        <v>186.4700490369406</v>
      </c>
      <c r="AF69" s="31" t="n">
        <v>190.9459282204583</v>
      </c>
      <c r="AG69" s="31" t="n">
        <v>131.3037079480418</v>
      </c>
      <c r="AH69" s="31" t="n">
        <v>832.2307424506156</v>
      </c>
      <c r="AI69" s="31" t="n">
        <v>503.4404900447419</v>
      </c>
      <c r="AJ69" s="31" t="n">
        <v>252.1653598855714</v>
      </c>
      <c r="AK69" s="31" t="n">
        <v>39.98369608869782</v>
      </c>
      <c r="AL69" s="31" t="n">
        <v>98.29765833845143</v>
      </c>
      <c r="AM69" s="31" t="n">
        <v>96.42257232410863</v>
      </c>
      <c r="AN69" s="31" t="n">
        <v>679.196537668277</v>
      </c>
      <c r="AO69" s="31" t="n">
        <v>198.0524228245869</v>
      </c>
      <c r="AP69" s="31" t="n">
        <v>991.9056066704696</v>
      </c>
      <c r="AQ69" s="31" t="n">
        <v>30.96911832862587</v>
      </c>
      <c r="AR69" s="31" t="n">
        <v>583.8894146746475</v>
      </c>
      <c r="AS69" s="31" t="n">
        <v>149.3292834296005</v>
      </c>
      <c r="AT69" s="31" t="n">
        <v>7.97586541995705</v>
      </c>
      <c r="AU69" s="31" t="n">
        <v>0.01566363211438623</v>
      </c>
      <c r="AV69" s="31" t="n">
        <v>2062.859861267583</v>
      </c>
      <c r="AW69" s="31" t="n">
        <v>1.705546683245673</v>
      </c>
      <c r="AX69" s="31" t="n">
        <v>2.475905645051568</v>
      </c>
      <c r="AY69" s="31" t="n">
        <v>-0.9210352653494682</v>
      </c>
      <c r="AZ69" s="31" t="n">
        <v>-1.367132964579095</v>
      </c>
      <c r="BA69" s="31" t="n">
        <v>-6.484824562339067</v>
      </c>
      <c r="BB69" s="31" t="n">
        <v>172.3116629861502</v>
      </c>
      <c r="BC69" s="31" t="n">
        <v>160.6501936140418</v>
      </c>
      <c r="BD69" s="31" t="n">
        <v>5.736927951389784</v>
      </c>
      <c r="BE69" s="31" t="n">
        <v>-0.1921679770025731</v>
      </c>
      <c r="BF69" s="31" t="n">
        <v>1008.577160240531</v>
      </c>
      <c r="BG69" s="31" t="n">
        <v>-0.6378566351407063</v>
      </c>
      <c r="BH69" s="31" t="n">
        <v>29.23172417499541</v>
      </c>
      <c r="BI69" s="31" t="n">
        <v>10.31722635049435</v>
      </c>
      <c r="BJ69" s="31" t="n">
        <v>-0.007481532341133404</v>
      </c>
      <c r="BK69" s="31" t="n">
        <v>1660.89683969836</v>
      </c>
      <c r="BL69" s="31" t="n">
        <v>479.7877009704097</v>
      </c>
      <c r="BM69" s="31" t="n">
        <v>40.75255464316022</v>
      </c>
      <c r="BN69" s="31" t="n">
        <v>749.0145704599199</v>
      </c>
      <c r="BO69" s="31" t="n">
        <v>0.5364340195304136</v>
      </c>
      <c r="BP69" s="31" t="n">
        <v>0.5462846412276793</v>
      </c>
      <c r="BQ69" s="31" t="n">
        <v>0.6108057410145987</v>
      </c>
      <c r="BR69" s="31" t="n">
        <v>0</v>
      </c>
      <c r="BS69" s="31">
        <f>SUM(C69:BR69)</f>
        <v/>
      </c>
      <c r="BT69" s="31" t="n">
        <v>0</v>
      </c>
      <c r="BU69" s="31" t="n">
        <v>0</v>
      </c>
      <c r="BV69" s="31" t="n">
        <v>0</v>
      </c>
      <c r="BW69" s="31" t="n">
        <v>0</v>
      </c>
      <c r="BX69" s="31">
        <f>SUM(BT69:BW69)</f>
        <v/>
      </c>
      <c r="BY69" s="31">
        <f>BS69+BX69</f>
        <v/>
      </c>
    </row>
    <row r="70">
      <c r="A70" s="28" t="inlineStr">
        <is>
          <t>7380</t>
        </is>
      </c>
      <c r="B70" s="28" t="inlineStr">
        <is>
          <t>Outras atividades profissionais, científicas e técnicas</t>
        </is>
      </c>
      <c r="C70" s="29" t="n">
        <v>2.479662365707459</v>
      </c>
      <c r="D70" s="29" t="n">
        <v>61.07098787599146</v>
      </c>
      <c r="E70" s="29" t="n">
        <v>14.27085047706611</v>
      </c>
      <c r="F70" s="29" t="n">
        <v>6.979797089950546</v>
      </c>
      <c r="G70" s="29" t="n">
        <v>107.3029585435143</v>
      </c>
      <c r="H70" s="29" t="n">
        <v>3.978367819145749</v>
      </c>
      <c r="I70" s="29" t="n">
        <v>0.05959456471500839</v>
      </c>
      <c r="J70" s="29" t="n">
        <v>443.9460835167284</v>
      </c>
      <c r="K70" s="29" t="n">
        <v>59.00703470940043</v>
      </c>
      <c r="L70" s="29" t="n">
        <v>599.9648068269719</v>
      </c>
      <c r="M70" s="29" t="n">
        <v>831.1469500645516</v>
      </c>
      <c r="N70" s="29" t="n">
        <v>46.67576830012058</v>
      </c>
      <c r="O70" s="29" t="n">
        <v>15.3440028914469</v>
      </c>
      <c r="P70" s="29" t="n">
        <v>60.94071553885459</v>
      </c>
      <c r="Q70" s="29" t="n">
        <v>103.0187828863342</v>
      </c>
      <c r="R70" s="29" t="n">
        <v>10.1455143462467</v>
      </c>
      <c r="S70" s="29" t="n">
        <v>108.1944606833898</v>
      </c>
      <c r="T70" s="29" t="n">
        <v>8.478652627650721</v>
      </c>
      <c r="U70" s="29" t="n">
        <v>42.46650633322615</v>
      </c>
      <c r="V70" s="29" t="n">
        <v>37.11346395454242</v>
      </c>
      <c r="W70" s="29" t="n">
        <v>27.25086807471211</v>
      </c>
      <c r="X70" s="29" t="n">
        <v>91.6575113318617</v>
      </c>
      <c r="Y70" s="29" t="n">
        <v>198.5927442977586</v>
      </c>
      <c r="Z70" s="29" t="n">
        <v>326.9395661350395</v>
      </c>
      <c r="AA70" s="29" t="n">
        <v>99.90304325468246</v>
      </c>
      <c r="AB70" s="29" t="n">
        <v>54.58685356705559</v>
      </c>
      <c r="AC70" s="29" t="n">
        <v>43.86131741818603</v>
      </c>
      <c r="AD70" s="29" t="n">
        <v>2.996975203381418</v>
      </c>
      <c r="AE70" s="29" t="n">
        <v>90.5467694314611</v>
      </c>
      <c r="AF70" s="29" t="n">
        <v>202.1216075947272</v>
      </c>
      <c r="AG70" s="29" t="n">
        <v>100.8937191881108</v>
      </c>
      <c r="AH70" s="29" t="n">
        <v>93.71846570287984</v>
      </c>
      <c r="AI70" s="29" t="n">
        <v>506.5920074562667</v>
      </c>
      <c r="AJ70" s="29" t="n">
        <v>24.80541776506133</v>
      </c>
      <c r="AK70" s="29" t="n">
        <v>34.5893175237297</v>
      </c>
      <c r="AL70" s="29" t="n">
        <v>73.41176527185263</v>
      </c>
      <c r="AM70" s="29" t="n">
        <v>23.03921519677995</v>
      </c>
      <c r="AN70" s="29" t="n">
        <v>340.7329160073568</v>
      </c>
      <c r="AO70" s="29" t="n">
        <v>37.31412096288004</v>
      </c>
      <c r="AP70" s="29" t="n">
        <v>234.1042041190269</v>
      </c>
      <c r="AQ70" s="29" t="n">
        <v>414.2458684302439</v>
      </c>
      <c r="AR70" s="29" t="n">
        <v>3348.773837053654</v>
      </c>
      <c r="AS70" s="29" t="n">
        <v>136.1623331034411</v>
      </c>
      <c r="AT70" s="29" t="n">
        <v>11.08093934177829</v>
      </c>
      <c r="AU70" s="29" t="n">
        <v>22.69234210266799</v>
      </c>
      <c r="AV70" s="29" t="n">
        <v>275.5268787475185</v>
      </c>
      <c r="AW70" s="29" t="n">
        <v>47.07796884808469</v>
      </c>
      <c r="AX70" s="29" t="n">
        <v>115.8104877023601</v>
      </c>
      <c r="AY70" s="29" t="n">
        <v>95.0352453210719</v>
      </c>
      <c r="AZ70" s="29" t="n">
        <v>274.1783559580066</v>
      </c>
      <c r="BA70" s="29" t="n">
        <v>387.7365114873517</v>
      </c>
      <c r="BB70" s="29" t="n">
        <v>505.856086235277</v>
      </c>
      <c r="BC70" s="29" t="n">
        <v>1420.533130504297</v>
      </c>
      <c r="BD70" s="29" t="n">
        <v>132.2690064580514</v>
      </c>
      <c r="BE70" s="29" t="n">
        <v>707.8097721000699</v>
      </c>
      <c r="BF70" s="29" t="n">
        <v>84.72413555299528</v>
      </c>
      <c r="BG70" s="29" t="n">
        <v>491.2724899400659</v>
      </c>
      <c r="BH70" s="29" t="n">
        <v>192.8004097427398</v>
      </c>
      <c r="BI70" s="29" t="n">
        <v>292.0195510362512</v>
      </c>
      <c r="BJ70" s="29" t="n">
        <v>34.63228291319157</v>
      </c>
      <c r="BK70" s="29" t="n">
        <v>480.9752611621435</v>
      </c>
      <c r="BL70" s="29" t="n">
        <v>87.2258222278433</v>
      </c>
      <c r="BM70" s="29" t="n">
        <v>443.3278996335516</v>
      </c>
      <c r="BN70" s="29" t="n">
        <v>174.3564901700867</v>
      </c>
      <c r="BO70" s="29" t="n">
        <v>5.258251614902362</v>
      </c>
      <c r="BP70" s="29" t="n">
        <v>228.6278796001534</v>
      </c>
      <c r="BQ70" s="29" t="n">
        <v>271.6168191926612</v>
      </c>
      <c r="BR70" s="29" t="n">
        <v>0</v>
      </c>
      <c r="BS70" s="29">
        <f>SUM(C70:BR70)</f>
        <v/>
      </c>
      <c r="BT70" s="29" t="n">
        <v>0</v>
      </c>
      <c r="BU70" s="29" t="n">
        <v>0</v>
      </c>
      <c r="BV70" s="29" t="n">
        <v>0</v>
      </c>
      <c r="BW70" s="29" t="n">
        <v>0</v>
      </c>
      <c r="BX70" s="29">
        <f>SUM(BT70:BW70)</f>
        <v/>
      </c>
      <c r="BY70" s="29">
        <f>BS70+BX70</f>
        <v/>
      </c>
    </row>
    <row r="71">
      <c r="A71" s="30" t="inlineStr">
        <is>
          <t>7700</t>
        </is>
      </c>
      <c r="B71" s="30" t="inlineStr">
        <is>
          <t>Aluguéis não-imobiliários e gestão de ativos de propriedade intelectual</t>
        </is>
      </c>
      <c r="C71" s="31" t="n">
        <v>471.4448202889546</v>
      </c>
      <c r="D71" s="31" t="n">
        <v>66.10081197307233</v>
      </c>
      <c r="E71" s="31" t="n">
        <v>81.16274109632512</v>
      </c>
      <c r="F71" s="31" t="n">
        <v>167.0310194109829</v>
      </c>
      <c r="G71" s="31" t="n">
        <v>7933.487095140952</v>
      </c>
      <c r="H71" s="31" t="n">
        <v>2612.987374976928</v>
      </c>
      <c r="I71" s="31" t="n">
        <v>185.3175557751131</v>
      </c>
      <c r="J71" s="31" t="n">
        <v>285.7942462976079</v>
      </c>
      <c r="K71" s="31" t="n">
        <v>465.8982894108547</v>
      </c>
      <c r="L71" s="31" t="n">
        <v>936.1114973356061</v>
      </c>
      <c r="M71" s="31" t="n">
        <v>287.6566621669002</v>
      </c>
      <c r="N71" s="31" t="n">
        <v>49.53783375330578</v>
      </c>
      <c r="O71" s="31" t="n">
        <v>51.19879218434149</v>
      </c>
      <c r="P71" s="31" t="n">
        <v>77.26617129376592</v>
      </c>
      <c r="Q71" s="31" t="n">
        <v>47.79641272176279</v>
      </c>
      <c r="R71" s="31" t="n">
        <v>150.2370163775623</v>
      </c>
      <c r="S71" s="31" t="n">
        <v>747.8079447457042</v>
      </c>
      <c r="T71" s="31" t="n">
        <v>88.57366257157798</v>
      </c>
      <c r="U71" s="31" t="n">
        <v>443.0030352124766</v>
      </c>
      <c r="V71" s="31" t="n">
        <v>95.19560196136804</v>
      </c>
      <c r="W71" s="31" t="n">
        <v>551.290414777392</v>
      </c>
      <c r="X71" s="31" t="n">
        <v>424.8579035140738</v>
      </c>
      <c r="Y71" s="31" t="n">
        <v>65.41205061921811</v>
      </c>
      <c r="Z71" s="31" t="n">
        <v>149.7894974423661</v>
      </c>
      <c r="AA71" s="31" t="n">
        <v>618.9075103521312</v>
      </c>
      <c r="AB71" s="31" t="n">
        <v>315.6102496899587</v>
      </c>
      <c r="AC71" s="31" t="n">
        <v>420.8490037833342</v>
      </c>
      <c r="AD71" s="31" t="n">
        <v>191.0288283729144</v>
      </c>
      <c r="AE71" s="31" t="n">
        <v>522.1006976918029</v>
      </c>
      <c r="AF71" s="31" t="n">
        <v>380.6534977370692</v>
      </c>
      <c r="AG71" s="31" t="n">
        <v>166.2082782633846</v>
      </c>
      <c r="AH71" s="31" t="n">
        <v>546.3642959844479</v>
      </c>
      <c r="AI71" s="31" t="n">
        <v>1347.218192101664</v>
      </c>
      <c r="AJ71" s="31" t="n">
        <v>468.396873129714</v>
      </c>
      <c r="AK71" s="31" t="n">
        <v>393.9648790054231</v>
      </c>
      <c r="AL71" s="31" t="n">
        <v>185.4606004370887</v>
      </c>
      <c r="AM71" s="31" t="n">
        <v>221.1792512125754</v>
      </c>
      <c r="AN71" s="31" t="n">
        <v>325.2044147315318</v>
      </c>
      <c r="AO71" s="31" t="n">
        <v>1213.660988368211</v>
      </c>
      <c r="AP71" s="31" t="n">
        <v>1717.187550652925</v>
      </c>
      <c r="AQ71" s="31" t="n">
        <v>490.8626678819943</v>
      </c>
      <c r="AR71" s="31" t="n">
        <v>6888.90383758348</v>
      </c>
      <c r="AS71" s="31" t="n">
        <v>2722.731533820264</v>
      </c>
      <c r="AT71" s="31" t="n">
        <v>1022.095062808597</v>
      </c>
      <c r="AU71" s="31" t="n">
        <v>1348.561776864313</v>
      </c>
      <c r="AV71" s="31" t="n">
        <v>1726.509962417777</v>
      </c>
      <c r="AW71" s="31" t="n">
        <v>80.42479652207695</v>
      </c>
      <c r="AX71" s="31" t="n">
        <v>901.5834254610151</v>
      </c>
      <c r="AY71" s="31" t="n">
        <v>423.0461777356519</v>
      </c>
      <c r="AZ71" s="31" t="n">
        <v>820.8409965300207</v>
      </c>
      <c r="BA71" s="31" t="n">
        <v>2156.671085402175</v>
      </c>
      <c r="BB71" s="31" t="n">
        <v>3185.476656723248</v>
      </c>
      <c r="BC71" s="31" t="n">
        <v>705.4699015622011</v>
      </c>
      <c r="BD71" s="31" t="n">
        <v>201.4950792816176</v>
      </c>
      <c r="BE71" s="31" t="n">
        <v>482.3190706043758</v>
      </c>
      <c r="BF71" s="31" t="n">
        <v>640.9942306953022</v>
      </c>
      <c r="BG71" s="31" t="n">
        <v>276.8170625006327</v>
      </c>
      <c r="BH71" s="31" t="n">
        <v>1207.493104347632</v>
      </c>
      <c r="BI71" s="31" t="n">
        <v>764.6257919942079</v>
      </c>
      <c r="BJ71" s="31" t="n">
        <v>242.1552711264845</v>
      </c>
      <c r="BK71" s="31" t="n">
        <v>2414.777754573707</v>
      </c>
      <c r="BL71" s="31" t="n">
        <v>966.7223781961308</v>
      </c>
      <c r="BM71" s="31" t="n">
        <v>1397.326411759891</v>
      </c>
      <c r="BN71" s="31" t="n">
        <v>1402.146420272099</v>
      </c>
      <c r="BO71" s="31" t="n">
        <v>465.0542508862443</v>
      </c>
      <c r="BP71" s="31" t="n">
        <v>288.3456996296497</v>
      </c>
      <c r="BQ71" s="31" t="n">
        <v>176.4894892727077</v>
      </c>
      <c r="BR71" s="31" t="n">
        <v>0</v>
      </c>
      <c r="BS71" s="31">
        <f>SUM(C71:BR71)</f>
        <v/>
      </c>
      <c r="BT71" s="31" t="n">
        <v>0</v>
      </c>
      <c r="BU71" s="31" t="n">
        <v>0</v>
      </c>
      <c r="BV71" s="31" t="n">
        <v>0</v>
      </c>
      <c r="BW71" s="31" t="n">
        <v>0</v>
      </c>
      <c r="BX71" s="31">
        <f>SUM(BT71:BW71)</f>
        <v/>
      </c>
      <c r="BY71" s="31">
        <f>BS71+BX71</f>
        <v/>
      </c>
    </row>
    <row r="72">
      <c r="A72" s="28" t="inlineStr">
        <is>
          <t>7880</t>
        </is>
      </c>
      <c r="B72" s="28" t="inlineStr">
        <is>
          <t>Outras atividades administrativas e serviços complementares</t>
        </is>
      </c>
      <c r="C72" s="29" t="n">
        <v>2.06849568450198</v>
      </c>
      <c r="D72" s="29" t="n">
        <v>1.012698869455109</v>
      </c>
      <c r="E72" s="29" t="n">
        <v>2.518167944756796</v>
      </c>
      <c r="F72" s="29" t="n">
        <v>90.28020837659867</v>
      </c>
      <c r="G72" s="29" t="n">
        <v>67.80220890466113</v>
      </c>
      <c r="H72" s="29" t="n">
        <v>175.3081217357497</v>
      </c>
      <c r="I72" s="29" t="n">
        <v>32.37724125694522</v>
      </c>
      <c r="J72" s="29" t="n">
        <v>68.25633319908584</v>
      </c>
      <c r="K72" s="29" t="n">
        <v>69.82816471408267</v>
      </c>
      <c r="L72" s="29" t="n">
        <v>127.5340015492499</v>
      </c>
      <c r="M72" s="29" t="n">
        <v>138.2537406905025</v>
      </c>
      <c r="N72" s="29" t="n">
        <v>26.23840417601976</v>
      </c>
      <c r="O72" s="29" t="n">
        <v>16.67071867114975</v>
      </c>
      <c r="P72" s="29" t="n">
        <v>25.51219537736607</v>
      </c>
      <c r="Q72" s="29" t="n">
        <v>27.96952486885675</v>
      </c>
      <c r="R72" s="29" t="n">
        <v>4.562417122058465</v>
      </c>
      <c r="S72" s="29" t="n">
        <v>46.03695023029267</v>
      </c>
      <c r="T72" s="29" t="n">
        <v>1.7145317712427</v>
      </c>
      <c r="U72" s="29" t="n">
        <v>19.18280514296915</v>
      </c>
      <c r="V72" s="29" t="n">
        <v>49.95926515495633</v>
      </c>
      <c r="W72" s="29" t="n">
        <v>48.58959148005993</v>
      </c>
      <c r="X72" s="29" t="n">
        <v>57.3127820622212</v>
      </c>
      <c r="Y72" s="29" t="n">
        <v>31.26432959707288</v>
      </c>
      <c r="Z72" s="29" t="n">
        <v>83.70437352481841</v>
      </c>
      <c r="AA72" s="29" t="n">
        <v>42.33818076786191</v>
      </c>
      <c r="AB72" s="29" t="n">
        <v>125.3607688870429</v>
      </c>
      <c r="AC72" s="29" t="n">
        <v>56.96444536985523</v>
      </c>
      <c r="AD72" s="29" t="n">
        <v>87.64122765517746</v>
      </c>
      <c r="AE72" s="29" t="n">
        <v>98.18970622695281</v>
      </c>
      <c r="AF72" s="29" t="n">
        <v>97.24532607547864</v>
      </c>
      <c r="AG72" s="29" t="n">
        <v>74.14563031876303</v>
      </c>
      <c r="AH72" s="29" t="n">
        <v>270.2362549431823</v>
      </c>
      <c r="AI72" s="29" t="n">
        <v>87.3877400608485</v>
      </c>
      <c r="AJ72" s="29" t="n">
        <v>31.19383860429184</v>
      </c>
      <c r="AK72" s="29" t="n">
        <v>6.711956711181718</v>
      </c>
      <c r="AL72" s="29" t="n">
        <v>23.95117076697458</v>
      </c>
      <c r="AM72" s="29" t="n">
        <v>39.53776075966168</v>
      </c>
      <c r="AN72" s="29" t="n">
        <v>218.539281377753</v>
      </c>
      <c r="AO72" s="29" t="n">
        <v>33.5420397766071</v>
      </c>
      <c r="AP72" s="29" t="n">
        <v>163.8458873990963</v>
      </c>
      <c r="AQ72" s="29" t="n">
        <v>184.7012411530258</v>
      </c>
      <c r="AR72" s="29" t="n">
        <v>3989.810926692505</v>
      </c>
      <c r="AS72" s="29" t="n">
        <v>220.7330650786039</v>
      </c>
      <c r="AT72" s="29" t="n">
        <v>15.72476179291945</v>
      </c>
      <c r="AU72" s="29" t="n">
        <v>82.07198328274659</v>
      </c>
      <c r="AV72" s="29" t="n">
        <v>299.1135147685543</v>
      </c>
      <c r="AW72" s="29" t="n">
        <v>86.17611611112147</v>
      </c>
      <c r="AX72" s="29" t="n">
        <v>159.4727678280865</v>
      </c>
      <c r="AY72" s="29" t="n">
        <v>18.68339219753116</v>
      </c>
      <c r="AZ72" s="29" t="n">
        <v>59.45694075897401</v>
      </c>
      <c r="BA72" s="29" t="n">
        <v>2232.898621474514</v>
      </c>
      <c r="BB72" s="29" t="n">
        <v>1122.190403799121</v>
      </c>
      <c r="BC72" s="29" t="n">
        <v>2093.908089589569</v>
      </c>
      <c r="BD72" s="29" t="n">
        <v>107.1028888885671</v>
      </c>
      <c r="BE72" s="29" t="n">
        <v>444.7566933721458</v>
      </c>
      <c r="BF72" s="29" t="n">
        <v>64.39930421846888</v>
      </c>
      <c r="BG72" s="29" t="n">
        <v>103.7586852218306</v>
      </c>
      <c r="BH72" s="29" t="n">
        <v>80.04698268116942</v>
      </c>
      <c r="BI72" s="29" t="n">
        <v>564.247612832767</v>
      </c>
      <c r="BJ72" s="29" t="n">
        <v>57.41516131466923</v>
      </c>
      <c r="BK72" s="29" t="n">
        <v>2101.389558442419</v>
      </c>
      <c r="BL72" s="29" t="n">
        <v>967.5828307773702</v>
      </c>
      <c r="BM72" s="29" t="n">
        <v>443.8468015642234</v>
      </c>
      <c r="BN72" s="29" t="n">
        <v>1194.630170065892</v>
      </c>
      <c r="BO72" s="29" t="n">
        <v>303.5031086527125</v>
      </c>
      <c r="BP72" s="29" t="n">
        <v>91.06275771228491</v>
      </c>
      <c r="BQ72" s="29" t="n">
        <v>545.0663881290244</v>
      </c>
      <c r="BR72" s="29" t="n">
        <v>0</v>
      </c>
      <c r="BS72" s="29">
        <f>SUM(C72:BR72)</f>
        <v/>
      </c>
      <c r="BT72" s="29" t="n">
        <v>0</v>
      </c>
      <c r="BU72" s="29" t="n">
        <v>0</v>
      </c>
      <c r="BV72" s="29" t="n">
        <v>0</v>
      </c>
      <c r="BW72" s="29" t="n">
        <v>0</v>
      </c>
      <c r="BX72" s="29">
        <f>SUM(BT72:BW72)</f>
        <v/>
      </c>
      <c r="BY72" s="29">
        <f>BS72+BX72</f>
        <v/>
      </c>
    </row>
    <row r="73">
      <c r="A73" s="30" t="inlineStr">
        <is>
          <t>8000</t>
        </is>
      </c>
      <c r="B73" s="30" t="inlineStr">
        <is>
          <t>Atividades de vigilância, segurança e investigação</t>
        </is>
      </c>
      <c r="C73" s="31" t="n">
        <v>0.02592580749248949</v>
      </c>
      <c r="D73" s="31" t="n">
        <v>-0.00431816262017971</v>
      </c>
      <c r="E73" s="31" t="n">
        <v>0.0736556235177816</v>
      </c>
      <c r="F73" s="31" t="n">
        <v>0.2587993817229202</v>
      </c>
      <c r="G73" s="31" t="n">
        <v>5.283063967948121</v>
      </c>
      <c r="H73" s="31" t="n">
        <v>6.735722881503236</v>
      </c>
      <c r="I73" s="31" t="n">
        <v>0.7801043356992402</v>
      </c>
      <c r="J73" s="31" t="n">
        <v>-2.379922836573684</v>
      </c>
      <c r="K73" s="31" t="n">
        <v>7.720687603410989</v>
      </c>
      <c r="L73" s="31" t="n">
        <v>2.417592571570106</v>
      </c>
      <c r="M73" s="31" t="n">
        <v>5.094716183961984</v>
      </c>
      <c r="N73" s="31" t="n">
        <v>6.134282607141061</v>
      </c>
      <c r="O73" s="31" t="n">
        <v>-0.2617825009405608</v>
      </c>
      <c r="P73" s="31" t="n">
        <v>-0.5864232598880117</v>
      </c>
      <c r="Q73" s="31" t="n">
        <v>-0.6206868292955237</v>
      </c>
      <c r="R73" s="31" t="n">
        <v>2.326195956262703</v>
      </c>
      <c r="S73" s="31" t="n">
        <v>21.11919343780538</v>
      </c>
      <c r="T73" s="31" t="n">
        <v>0.4404117931545041</v>
      </c>
      <c r="U73" s="31" t="n">
        <v>4.962430422556704</v>
      </c>
      <c r="V73" s="31" t="n">
        <v>-2.10760700097968</v>
      </c>
      <c r="W73" s="31" t="n">
        <v>13.77014270778799</v>
      </c>
      <c r="X73" s="31" t="n">
        <v>5.172282974163812</v>
      </c>
      <c r="Y73" s="31" t="n">
        <v>1.245873999103139</v>
      </c>
      <c r="Z73" s="31" t="n">
        <v>7.157949923338686</v>
      </c>
      <c r="AA73" s="31" t="n">
        <v>5.406512379369967</v>
      </c>
      <c r="AB73" s="31" t="n">
        <v>17.62002721140212</v>
      </c>
      <c r="AC73" s="31" t="n">
        <v>-0.5261889917454226</v>
      </c>
      <c r="AD73" s="31" t="n">
        <v>2.072020928770224</v>
      </c>
      <c r="AE73" s="31" t="n">
        <v>5.179745394442556</v>
      </c>
      <c r="AF73" s="31" t="n">
        <v>3.2266310757231</v>
      </c>
      <c r="AG73" s="31" t="n">
        <v>1.301378773197666</v>
      </c>
      <c r="AH73" s="31" t="n">
        <v>3.909540400328151</v>
      </c>
      <c r="AI73" s="31" t="n">
        <v>17.93642826974156</v>
      </c>
      <c r="AJ73" s="31" t="n">
        <v>12.21731859633234</v>
      </c>
      <c r="AK73" s="31" t="n">
        <v>2.615831211420367</v>
      </c>
      <c r="AL73" s="31" t="n">
        <v>0.2465669701357469</v>
      </c>
      <c r="AM73" s="31" t="n">
        <v>7.54537486298104</v>
      </c>
      <c r="AN73" s="31" t="n">
        <v>9.904252227311469</v>
      </c>
      <c r="AO73" s="31" t="n">
        <v>24.6257359886549</v>
      </c>
      <c r="AP73" s="31" t="n">
        <v>22.67342006278399</v>
      </c>
      <c r="AQ73" s="31" t="n">
        <v>28.21997540185432</v>
      </c>
      <c r="AR73" s="31" t="n">
        <v>220.5869566407242</v>
      </c>
      <c r="AS73" s="31" t="n">
        <v>72.49947367060241</v>
      </c>
      <c r="AT73" s="31" t="n">
        <v>1.583227658977199</v>
      </c>
      <c r="AU73" s="31" t="n">
        <v>6.476830137436781</v>
      </c>
      <c r="AV73" s="31" t="n">
        <v>148.246985276463</v>
      </c>
      <c r="AW73" s="31" t="n">
        <v>3.57898432461304</v>
      </c>
      <c r="AX73" s="31" t="n">
        <v>23.55589991356232</v>
      </c>
      <c r="AY73" s="31" t="n">
        <v>0.2852419816604429</v>
      </c>
      <c r="AZ73" s="31" t="n">
        <v>8.926005714156</v>
      </c>
      <c r="BA73" s="31" t="n">
        <v>13.26568649414671</v>
      </c>
      <c r="BB73" s="31" t="n">
        <v>32.42035768994015</v>
      </c>
      <c r="BC73" s="31" t="n">
        <v>156.3744574117013</v>
      </c>
      <c r="BD73" s="31" t="n">
        <v>7.41425804257972</v>
      </c>
      <c r="BE73" s="31" t="n">
        <v>33.05371880993316</v>
      </c>
      <c r="BF73" s="31" t="n">
        <v>0.5203902487625979</v>
      </c>
      <c r="BG73" s="31" t="n">
        <v>11.41567070251202</v>
      </c>
      <c r="BH73" s="31" t="n">
        <v>5.713976652742611</v>
      </c>
      <c r="BI73" s="31" t="n">
        <v>31.87839337740993</v>
      </c>
      <c r="BJ73" s="31" t="n">
        <v>2.001239114853775</v>
      </c>
      <c r="BK73" s="31" t="n">
        <v>316.4991213637098</v>
      </c>
      <c r="BL73" s="31" t="n">
        <v>149.68919086966</v>
      </c>
      <c r="BM73" s="31" t="n">
        <v>60.94902064862303</v>
      </c>
      <c r="BN73" s="31" t="n">
        <v>71.20360694007628</v>
      </c>
      <c r="BO73" s="31" t="n">
        <v>0.02553822855505638</v>
      </c>
      <c r="BP73" s="31" t="n">
        <v>6.060271883548408</v>
      </c>
      <c r="BQ73" s="31" t="n">
        <v>0.06733999587352167</v>
      </c>
      <c r="BR73" s="31" t="n">
        <v>0</v>
      </c>
      <c r="BS73" s="31">
        <f>SUM(C73:BR73)</f>
        <v/>
      </c>
      <c r="BT73" s="31" t="n">
        <v>0</v>
      </c>
      <c r="BU73" s="31" t="n">
        <v>0</v>
      </c>
      <c r="BV73" s="31" t="n">
        <v>0</v>
      </c>
      <c r="BW73" s="31" t="n">
        <v>0</v>
      </c>
      <c r="BX73" s="31">
        <f>SUM(BT73:BW73)</f>
        <v/>
      </c>
      <c r="BY73" s="31">
        <f>BS73+BX73</f>
        <v/>
      </c>
    </row>
    <row r="74">
      <c r="A74" s="28" t="inlineStr">
        <is>
          <t>8400</t>
        </is>
      </c>
      <c r="B74" s="28" t="inlineStr">
        <is>
          <t>Administração pública, defesa e seguridade social</t>
        </is>
      </c>
      <c r="C74" s="29" t="n">
        <v>352.44588271248</v>
      </c>
      <c r="D74" s="29" t="n">
        <v>95.62100091382183</v>
      </c>
      <c r="E74" s="29" t="n">
        <v>5.759764514470505</v>
      </c>
      <c r="F74" s="29" t="n">
        <v>8.510345636144983</v>
      </c>
      <c r="G74" s="29" t="n">
        <v>141.710348629502</v>
      </c>
      <c r="H74" s="29" t="n">
        <v>62.06414712216583</v>
      </c>
      <c r="I74" s="29" t="n">
        <v>9.830267231874641</v>
      </c>
      <c r="J74" s="29" t="n">
        <v>24.39846216259612</v>
      </c>
      <c r="K74" s="29" t="n">
        <v>27.54410273003748</v>
      </c>
      <c r="L74" s="29" t="n">
        <v>133.0456768991349</v>
      </c>
      <c r="M74" s="29" t="n">
        <v>72.39437630243941</v>
      </c>
      <c r="N74" s="29" t="n">
        <v>12.5417762452146</v>
      </c>
      <c r="O74" s="29" t="n">
        <v>5.892663832469803</v>
      </c>
      <c r="P74" s="29" t="n">
        <v>2.760050377037641</v>
      </c>
      <c r="Q74" s="29" t="n">
        <v>7.690594518865051</v>
      </c>
      <c r="R74" s="29" t="n">
        <v>9.116678265167412</v>
      </c>
      <c r="S74" s="29" t="n">
        <v>170.1149156550794</v>
      </c>
      <c r="T74" s="29" t="n">
        <v>1.89808346538833</v>
      </c>
      <c r="U74" s="29" t="n">
        <v>23.26145193249508</v>
      </c>
      <c r="V74" s="29" t="n">
        <v>14.36652332769161</v>
      </c>
      <c r="W74" s="29" t="n">
        <v>1479.130283850531</v>
      </c>
      <c r="X74" s="29" t="n">
        <v>160.8361917750832</v>
      </c>
      <c r="Y74" s="29" t="n">
        <v>56.10245266094451</v>
      </c>
      <c r="Z74" s="29" t="n">
        <v>79.28059669963534</v>
      </c>
      <c r="AA74" s="29" t="n">
        <v>38.57416981294118</v>
      </c>
      <c r="AB74" s="29" t="n">
        <v>86.05773009671798</v>
      </c>
      <c r="AC74" s="29" t="n">
        <v>69.75093511193295</v>
      </c>
      <c r="AD74" s="29" t="n">
        <v>48.29900579046914</v>
      </c>
      <c r="AE74" s="29" t="n">
        <v>35.29514774232054</v>
      </c>
      <c r="AF74" s="29" t="n">
        <v>24.49216648124126</v>
      </c>
      <c r="AG74" s="29" t="n">
        <v>23.55104297513955</v>
      </c>
      <c r="AH74" s="29" t="n">
        <v>89.29052211117629</v>
      </c>
      <c r="AI74" s="29" t="n">
        <v>69.553976984919</v>
      </c>
      <c r="AJ74" s="29" t="n">
        <v>21.9925595731542</v>
      </c>
      <c r="AK74" s="29" t="n">
        <v>9.395506214542074</v>
      </c>
      <c r="AL74" s="29" t="n">
        <v>14.85220466252155</v>
      </c>
      <c r="AM74" s="29" t="n">
        <v>40.91345736952103</v>
      </c>
      <c r="AN74" s="29" t="n">
        <v>113.485428891166</v>
      </c>
      <c r="AO74" s="29" t="n">
        <v>57.22078117585256</v>
      </c>
      <c r="AP74" s="29" t="n">
        <v>106.0663072038416</v>
      </c>
      <c r="AQ74" s="29" t="n">
        <v>54.48554600889862</v>
      </c>
      <c r="AR74" s="29" t="n">
        <v>448.1574615009037</v>
      </c>
      <c r="AS74" s="29" t="n">
        <v>51.42132048791546</v>
      </c>
      <c r="AT74" s="29" t="n">
        <v>11.27373056149166</v>
      </c>
      <c r="AU74" s="29" t="n">
        <v>14.86708899852527</v>
      </c>
      <c r="AV74" s="29" t="n">
        <v>123.362892936958</v>
      </c>
      <c r="AW74" s="29" t="n">
        <v>10.12312517331422</v>
      </c>
      <c r="AX74" s="29" t="n">
        <v>23.9775522118481</v>
      </c>
      <c r="AY74" s="29" t="n">
        <v>6.159233520319489</v>
      </c>
      <c r="AZ74" s="29" t="n">
        <v>36.60044142712827</v>
      </c>
      <c r="BA74" s="29" t="n">
        <v>37.22182073878098</v>
      </c>
      <c r="BB74" s="29" t="n">
        <v>92.49977026100458</v>
      </c>
      <c r="BC74" s="29" t="n">
        <v>217.4812929244555</v>
      </c>
      <c r="BD74" s="29" t="n">
        <v>23.88200081249059</v>
      </c>
      <c r="BE74" s="29" t="n">
        <v>113.1452625613499</v>
      </c>
      <c r="BF74" s="29" t="n">
        <v>66.87524750742101</v>
      </c>
      <c r="BG74" s="29" t="n">
        <v>132.2593659694831</v>
      </c>
      <c r="BH74" s="29" t="n">
        <v>19.59456057349037</v>
      </c>
      <c r="BI74" s="29" t="n">
        <v>77.53903972000043</v>
      </c>
      <c r="BJ74" s="29" t="n">
        <v>8.043992869376844</v>
      </c>
      <c r="BK74" s="29" t="n">
        <v>274.3247269626953</v>
      </c>
      <c r="BL74" s="29" t="n">
        <v>114.8606224356804</v>
      </c>
      <c r="BM74" s="29" t="n">
        <v>88.60281810798915</v>
      </c>
      <c r="BN74" s="29" t="n">
        <v>159.7787216272548</v>
      </c>
      <c r="BO74" s="29" t="n">
        <v>123.2203475095914</v>
      </c>
      <c r="BP74" s="29" t="n">
        <v>25.31258659154489</v>
      </c>
      <c r="BQ74" s="29" t="n">
        <v>152.7607551646736</v>
      </c>
      <c r="BR74" s="29" t="n">
        <v>0</v>
      </c>
      <c r="BS74" s="29">
        <f>SUM(C74:BR74)</f>
        <v/>
      </c>
      <c r="BT74" s="29" t="n">
        <v>0</v>
      </c>
      <c r="BU74" s="29" t="n">
        <v>0</v>
      </c>
      <c r="BV74" s="29" t="n">
        <v>0</v>
      </c>
      <c r="BW74" s="29" t="n">
        <v>0</v>
      </c>
      <c r="BX74" s="29">
        <f>SUM(BT74:BW74)</f>
        <v/>
      </c>
      <c r="BY74" s="29">
        <f>BS74+BX74</f>
        <v/>
      </c>
    </row>
    <row r="75">
      <c r="A75" s="30" t="inlineStr">
        <is>
          <t>8591</t>
        </is>
      </c>
      <c r="B75" s="30" t="inlineStr">
        <is>
          <t>Educação pública</t>
        </is>
      </c>
      <c r="C75" s="31" t="n">
        <v>0.9310569333288481</v>
      </c>
      <c r="D75" s="31" t="n">
        <v>0.14751691724256</v>
      </c>
      <c r="E75" s="31" t="n">
        <v>0.011954320220079</v>
      </c>
      <c r="F75" s="31" t="n">
        <v>0.1348974897151707</v>
      </c>
      <c r="G75" s="31" t="n">
        <v>1.010251690267578</v>
      </c>
      <c r="H75" s="31" t="n">
        <v>0.7499240833907637</v>
      </c>
      <c r="I75" s="31" t="n">
        <v>0.1007043886596971</v>
      </c>
      <c r="J75" s="31" t="n">
        <v>0.07497906780732407</v>
      </c>
      <c r="K75" s="31" t="n">
        <v>0.2622023441928109</v>
      </c>
      <c r="L75" s="31" t="n">
        <v>0.4958378685355421</v>
      </c>
      <c r="M75" s="31" t="n">
        <v>0.3725312101346349</v>
      </c>
      <c r="N75" s="31" t="n">
        <v>0.08796631497885417</v>
      </c>
      <c r="O75" s="31" t="n">
        <v>0.01594243514654234</v>
      </c>
      <c r="P75" s="31" t="n">
        <v>0.04204316146944075</v>
      </c>
      <c r="Q75" s="31" t="n">
        <v>0.02547361996526522</v>
      </c>
      <c r="R75" s="31" t="n">
        <v>0.005050521423139584</v>
      </c>
      <c r="S75" s="31" t="n">
        <v>0.4493349232547883</v>
      </c>
      <c r="T75" s="31" t="n">
        <v>0.01537398033306504</v>
      </c>
      <c r="U75" s="31" t="n">
        <v>0.1988099371981454</v>
      </c>
      <c r="V75" s="31" t="n">
        <v>0.1417638177932263</v>
      </c>
      <c r="W75" s="31" t="n">
        <v>3.378486743673514</v>
      </c>
      <c r="X75" s="31" t="n">
        <v>0.5600059507174736</v>
      </c>
      <c r="Y75" s="31" t="n">
        <v>0.2981506391264295</v>
      </c>
      <c r="Z75" s="31" t="n">
        <v>0.5170003181159284</v>
      </c>
      <c r="AA75" s="31" t="n">
        <v>0.3165587840061899</v>
      </c>
      <c r="AB75" s="31" t="n">
        <v>0.4437210113464904</v>
      </c>
      <c r="AC75" s="31" t="n">
        <v>0.2612497688826788</v>
      </c>
      <c r="AD75" s="31" t="n">
        <v>0.2980443038123624</v>
      </c>
      <c r="AE75" s="31" t="n">
        <v>0.2434048773227501</v>
      </c>
      <c r="AF75" s="31" t="n">
        <v>0.3300276403608987</v>
      </c>
      <c r="AG75" s="31" t="n">
        <v>0.2326066025473632</v>
      </c>
      <c r="AH75" s="31" t="n">
        <v>0.8704970937401503</v>
      </c>
      <c r="AI75" s="31" t="n">
        <v>0.7078281363179737</v>
      </c>
      <c r="AJ75" s="31" t="n">
        <v>0.343334450314228</v>
      </c>
      <c r="AK75" s="31" t="n">
        <v>0.06163727897862909</v>
      </c>
      <c r="AL75" s="31" t="n">
        <v>0.1108272925592776</v>
      </c>
      <c r="AM75" s="31" t="n">
        <v>0.1537992475019617</v>
      </c>
      <c r="AN75" s="31" t="n">
        <v>0.9377251511147754</v>
      </c>
      <c r="AO75" s="31" t="n">
        <v>0.3170591780603753</v>
      </c>
      <c r="AP75" s="31" t="n">
        <v>1.360923607078815</v>
      </c>
      <c r="AQ75" s="31" t="n">
        <v>0.5491371354771729</v>
      </c>
      <c r="AR75" s="31" t="n">
        <v>6.70347404343948</v>
      </c>
      <c r="AS75" s="31" t="n">
        <v>0.700502609593371</v>
      </c>
      <c r="AT75" s="31" t="n">
        <v>0.05568236914660984</v>
      </c>
      <c r="AU75" s="31" t="n">
        <v>0.09915501357033621</v>
      </c>
      <c r="AV75" s="31" t="n">
        <v>2.281710237361393</v>
      </c>
      <c r="AW75" s="31" t="n">
        <v>0.1094426181740089</v>
      </c>
      <c r="AX75" s="31" t="n">
        <v>0.229434914876284</v>
      </c>
      <c r="AY75" s="31" t="n">
        <v>0.0229779160202738</v>
      </c>
      <c r="AZ75" s="31" t="n">
        <v>0.1314535464661699</v>
      </c>
      <c r="BA75" s="31" t="n">
        <v>2.347021723174951</v>
      </c>
      <c r="BB75" s="31" t="n">
        <v>1.652473574441718</v>
      </c>
      <c r="BC75" s="31" t="n">
        <v>3.364728520537852</v>
      </c>
      <c r="BD75" s="31" t="n">
        <v>0.1951460767024518</v>
      </c>
      <c r="BE75" s="31" t="n">
        <v>1.531321654122914</v>
      </c>
      <c r="BF75" s="31" t="n">
        <v>1.517433257849161</v>
      </c>
      <c r="BG75" s="31" t="n">
        <v>0.3759848896884487</v>
      </c>
      <c r="BH75" s="31" t="n">
        <v>0.2307613795210726</v>
      </c>
      <c r="BI75" s="31" t="n">
        <v>1.066480695862798</v>
      </c>
      <c r="BJ75" s="31" t="n">
        <v>0.1470181879892467</v>
      </c>
      <c r="BK75" s="31" t="n">
        <v>4.03498714962038</v>
      </c>
      <c r="BL75" s="31" t="n">
        <v>1.340327397722858</v>
      </c>
      <c r="BM75" s="31" t="n">
        <v>0.6719692133153496</v>
      </c>
      <c r="BN75" s="31" t="n">
        <v>2.024190074913685</v>
      </c>
      <c r="BO75" s="31" t="n">
        <v>1.001697897265671</v>
      </c>
      <c r="BP75" s="31" t="n">
        <v>0.2146181340259119</v>
      </c>
      <c r="BQ75" s="31" t="n">
        <v>2.131084257829301</v>
      </c>
      <c r="BR75" s="31" t="n">
        <v>0</v>
      </c>
      <c r="BS75" s="31">
        <f>SUM(C75:BR75)</f>
        <v/>
      </c>
      <c r="BT75" s="31" t="n">
        <v>0</v>
      </c>
      <c r="BU75" s="31" t="n">
        <v>0</v>
      </c>
      <c r="BV75" s="31" t="n">
        <v>0</v>
      </c>
      <c r="BW75" s="31" t="n">
        <v>0</v>
      </c>
      <c r="BX75" s="31">
        <f>SUM(BT75:BW75)</f>
        <v/>
      </c>
      <c r="BY75" s="31">
        <f>BS75+BX75</f>
        <v/>
      </c>
    </row>
    <row r="76">
      <c r="A76" s="28" t="inlineStr">
        <is>
          <t>8592</t>
        </is>
      </c>
      <c r="B76" s="28" t="inlineStr">
        <is>
          <t>Educação privada</t>
        </is>
      </c>
      <c r="C76" s="29" t="n">
        <v>0.08795571462742365</v>
      </c>
      <c r="D76" s="29" t="n">
        <v>0.01475975306646856</v>
      </c>
      <c r="E76" s="29" t="n">
        <v>0.0004020917915151727</v>
      </c>
      <c r="F76" s="29" t="n">
        <v>-0.1330239549961647</v>
      </c>
      <c r="G76" s="29" t="n">
        <v>1.364335091685856</v>
      </c>
      <c r="H76" s="29" t="n">
        <v>11.32825750600925</v>
      </c>
      <c r="I76" s="29" t="n">
        <v>0.8332751318521816</v>
      </c>
      <c r="J76" s="29" t="n">
        <v>-31.46565722279566</v>
      </c>
      <c r="K76" s="29" t="n">
        <v>-1.981188054326718</v>
      </c>
      <c r="L76" s="29" t="n">
        <v>-17.42846612976683</v>
      </c>
      <c r="M76" s="29" t="n">
        <v>-0.7016478348784018</v>
      </c>
      <c r="N76" s="29" t="n">
        <v>-0.8485976234163051</v>
      </c>
      <c r="O76" s="29" t="n">
        <v>-2.320473194930765</v>
      </c>
      <c r="P76" s="29" t="n">
        <v>-2.694126516619362</v>
      </c>
      <c r="Q76" s="29" t="n">
        <v>-2.860605899604443</v>
      </c>
      <c r="R76" s="29" t="n">
        <v>-2.126153801614998</v>
      </c>
      <c r="S76" s="29" t="n">
        <v>-7.398194714789936</v>
      </c>
      <c r="T76" s="29" t="n">
        <v>-0.2081312526602244</v>
      </c>
      <c r="U76" s="29" t="n">
        <v>-1.933595054548981</v>
      </c>
      <c r="V76" s="29" t="n">
        <v>-3.183096660243025</v>
      </c>
      <c r="W76" s="29" t="n">
        <v>-4.56478684449889</v>
      </c>
      <c r="X76" s="29" t="n">
        <v>-3.59308320922035</v>
      </c>
      <c r="Y76" s="29" t="n">
        <v>-0.3114547791350034</v>
      </c>
      <c r="Z76" s="29" t="n">
        <v>-5.12326588208381</v>
      </c>
      <c r="AA76" s="29" t="n">
        <v>-6.517768112266298</v>
      </c>
      <c r="AB76" s="29" t="n">
        <v>-4.903310656694314</v>
      </c>
      <c r="AC76" s="29" t="n">
        <v>1.743719734980439</v>
      </c>
      <c r="AD76" s="29" t="n">
        <v>1.11724567692566</v>
      </c>
      <c r="AE76" s="29" t="n">
        <v>-3.237339796625862</v>
      </c>
      <c r="AF76" s="29" t="n">
        <v>-2.806137174541825</v>
      </c>
      <c r="AG76" s="29" t="n">
        <v>-4.0441885592984</v>
      </c>
      <c r="AH76" s="29" t="n">
        <v>-12.15710735536056</v>
      </c>
      <c r="AI76" s="29" t="n">
        <v>3.252316068946739</v>
      </c>
      <c r="AJ76" s="29" t="n">
        <v>-0.04893295256808369</v>
      </c>
      <c r="AK76" s="29" t="n">
        <v>-0.4625948748674441</v>
      </c>
      <c r="AL76" s="29" t="n">
        <v>-2.875029423730669</v>
      </c>
      <c r="AM76" s="29" t="n">
        <v>0.2008099717555291</v>
      </c>
      <c r="AN76" s="29" t="n">
        <v>2.657365239744731</v>
      </c>
      <c r="AO76" s="29" t="n">
        <v>-0.001625446823336368</v>
      </c>
      <c r="AP76" s="29" t="n">
        <v>0.09813074288437255</v>
      </c>
      <c r="AQ76" s="29" t="n">
        <v>0.9985255922205528</v>
      </c>
      <c r="AR76" s="29" t="n">
        <v>11.650483327386</v>
      </c>
      <c r="AS76" s="29" t="n">
        <v>41.99232375213018</v>
      </c>
      <c r="AT76" s="29" t="n">
        <v>3.859954616913764</v>
      </c>
      <c r="AU76" s="29" t="n">
        <v>0.2317890108468205</v>
      </c>
      <c r="AV76" s="29" t="n">
        <v>10.95230756398571</v>
      </c>
      <c r="AW76" s="29" t="n">
        <v>0.08172544731890423</v>
      </c>
      <c r="AX76" s="29" t="n">
        <v>0.2711707041978331</v>
      </c>
      <c r="AY76" s="29" t="n">
        <v>-1.101952213924694</v>
      </c>
      <c r="AZ76" s="29" t="n">
        <v>-1.672437604280276</v>
      </c>
      <c r="BA76" s="29" t="n">
        <v>-7.431094285230603</v>
      </c>
      <c r="BB76" s="29" t="n">
        <v>-1.853618906230026</v>
      </c>
      <c r="BC76" s="29" t="n">
        <v>64.12972993849942</v>
      </c>
      <c r="BD76" s="29" t="n">
        <v>0.1142744871486125</v>
      </c>
      <c r="BE76" s="29" t="n">
        <v>82.78179678059222</v>
      </c>
      <c r="BF76" s="29" t="n">
        <v>5.927820978065751</v>
      </c>
      <c r="BG76" s="29" t="n">
        <v>29.08615998274751</v>
      </c>
      <c r="BH76" s="29" t="n">
        <v>2.416438603545588</v>
      </c>
      <c r="BI76" s="29" t="n">
        <v>73.17936608013673</v>
      </c>
      <c r="BJ76" s="29" t="n">
        <v>5.120837384697253</v>
      </c>
      <c r="BK76" s="29" t="n">
        <v>8.41457115226558</v>
      </c>
      <c r="BL76" s="29" t="n">
        <v>11.55107349708186</v>
      </c>
      <c r="BM76" s="29" t="n">
        <v>0.2551779991296151</v>
      </c>
      <c r="BN76" s="29" t="n">
        <v>17.33703491135803</v>
      </c>
      <c r="BO76" s="29" t="n">
        <v>0.159131411603894</v>
      </c>
      <c r="BP76" s="29" t="n">
        <v>0.1524110197458344</v>
      </c>
      <c r="BQ76" s="29" t="n">
        <v>14.92592018004247</v>
      </c>
      <c r="BR76" s="29" t="n">
        <v>0</v>
      </c>
      <c r="BS76" s="29">
        <f>SUM(C76:BR76)</f>
        <v/>
      </c>
      <c r="BT76" s="29" t="n">
        <v>0</v>
      </c>
      <c r="BU76" s="29" t="n">
        <v>0</v>
      </c>
      <c r="BV76" s="29" t="n">
        <v>0</v>
      </c>
      <c r="BW76" s="29" t="n">
        <v>0</v>
      </c>
      <c r="BX76" s="29">
        <f>SUM(BT76:BW76)</f>
        <v/>
      </c>
      <c r="BY76" s="29">
        <f>BS76+BX76</f>
        <v/>
      </c>
    </row>
    <row r="77">
      <c r="A77" s="30" t="inlineStr">
        <is>
          <t>8691</t>
        </is>
      </c>
      <c r="B77" s="30" t="inlineStr">
        <is>
          <t>Saúde pública</t>
        </is>
      </c>
      <c r="C77" s="31" t="n">
        <v>0.004359930031389938</v>
      </c>
      <c r="D77" s="31" t="n">
        <v>0.0001418635981379045</v>
      </c>
      <c r="E77" s="31" t="n">
        <v>9.642489005160016e-07</v>
      </c>
      <c r="F77" s="31" t="n">
        <v>0.0003742095945557069</v>
      </c>
      <c r="G77" s="31" t="n">
        <v>0.008708909914571128</v>
      </c>
      <c r="H77" s="31" t="n">
        <v>0.01968689618788198</v>
      </c>
      <c r="I77" s="31" t="n">
        <v>0.000762834247819986</v>
      </c>
      <c r="J77" s="31" t="n">
        <v>0.01199591399502221</v>
      </c>
      <c r="K77" s="31" t="n">
        <v>0.003753610490263027</v>
      </c>
      <c r="L77" s="31" t="n">
        <v>0.007855427509367177</v>
      </c>
      <c r="M77" s="31" t="n">
        <v>0.005428647391206142</v>
      </c>
      <c r="N77" s="31" t="n">
        <v>0.001826553951450674</v>
      </c>
      <c r="O77" s="31" t="n">
        <v>0.0003715384987759876</v>
      </c>
      <c r="P77" s="31" t="n">
        <v>0.001582188219448311</v>
      </c>
      <c r="Q77" s="31" t="n">
        <v>0.001511431780656069</v>
      </c>
      <c r="R77" s="31" t="n">
        <v>0.00140556264677925</v>
      </c>
      <c r="S77" s="31" t="n">
        <v>0.005328879184056016</v>
      </c>
      <c r="T77" s="31" t="n">
        <v>0.0002193591445760266</v>
      </c>
      <c r="U77" s="31" t="n">
        <v>0.001143329744450467</v>
      </c>
      <c r="V77" s="31" t="n">
        <v>0.002450454712641339</v>
      </c>
      <c r="W77" s="31" t="n">
        <v>0.01108859963206929</v>
      </c>
      <c r="X77" s="31" t="n">
        <v>0.004703250088387009</v>
      </c>
      <c r="Y77" s="31" t="n">
        <v>0.004962238830935303</v>
      </c>
      <c r="Z77" s="31" t="n">
        <v>0.01602399773898885</v>
      </c>
      <c r="AA77" s="31" t="n">
        <v>0.00653343323445077</v>
      </c>
      <c r="AB77" s="31" t="n">
        <v>0.004830191715865146</v>
      </c>
      <c r="AC77" s="31" t="n">
        <v>0.003844788661139013</v>
      </c>
      <c r="AD77" s="31" t="n">
        <v>0.007975208211662576</v>
      </c>
      <c r="AE77" s="31" t="n">
        <v>0.002940883002060556</v>
      </c>
      <c r="AF77" s="31" t="n">
        <v>0.004438792217781856</v>
      </c>
      <c r="AG77" s="31" t="n">
        <v>0.008927060564576312</v>
      </c>
      <c r="AH77" s="31" t="n">
        <v>0.01815447405001193</v>
      </c>
      <c r="AI77" s="31" t="n">
        <v>0.01737902871509323</v>
      </c>
      <c r="AJ77" s="31" t="n">
        <v>0.009857998883348661</v>
      </c>
      <c r="AK77" s="31" t="n">
        <v>0.001773329940185518</v>
      </c>
      <c r="AL77" s="31" t="n">
        <v>0.002488740983169663</v>
      </c>
      <c r="AM77" s="31" t="n">
        <v>0.0009968179817711137</v>
      </c>
      <c r="AN77" s="31" t="n">
        <v>0.01171612123517694</v>
      </c>
      <c r="AO77" s="31" t="n">
        <v>0.003066640450788779</v>
      </c>
      <c r="AP77" s="31" t="n">
        <v>0.01353033177544664</v>
      </c>
      <c r="AQ77" s="31" t="n">
        <v>0.0008916333218737085</v>
      </c>
      <c r="AR77" s="31" t="n">
        <v>0.02358459275503688</v>
      </c>
      <c r="AS77" s="31" t="n">
        <v>0.00210682463161966</v>
      </c>
      <c r="AT77" s="31" t="n">
        <v>0.0001112322554383249</v>
      </c>
      <c r="AU77" s="31" t="n">
        <v>1.224596103655324e-05</v>
      </c>
      <c r="AV77" s="31" t="n">
        <v>0.02713571459411494</v>
      </c>
      <c r="AW77" s="31" t="n">
        <v>0.0001645652934053395</v>
      </c>
      <c r="AX77" s="31" t="n">
        <v>0.0006502894585079928</v>
      </c>
      <c r="AY77" s="31" t="n">
        <v>0.0001173099947066794</v>
      </c>
      <c r="AZ77" s="31" t="n">
        <v>6.209762919323052e-05</v>
      </c>
      <c r="BA77" s="31" t="n">
        <v>0.003020083072488083</v>
      </c>
      <c r="BB77" s="31" t="n">
        <v>0.01031824868319555</v>
      </c>
      <c r="BC77" s="31" t="n">
        <v>0.002990474782852455</v>
      </c>
      <c r="BD77" s="31" t="n">
        <v>0.000340037559458642</v>
      </c>
      <c r="BE77" s="31" t="n">
        <v>0.0007444001511983549</v>
      </c>
      <c r="BF77" s="31" t="n">
        <v>0.05470993284526737</v>
      </c>
      <c r="BG77" s="31" t="n">
        <v>0.0002229343457992994</v>
      </c>
      <c r="BH77" s="31" t="n">
        <v>0.002281742650984927</v>
      </c>
      <c r="BI77" s="31" t="n">
        <v>0.0009243429404321165</v>
      </c>
      <c r="BJ77" s="31" t="n">
        <v>4.126985294208501e-05</v>
      </c>
      <c r="BK77" s="31" t="n">
        <v>0.03217043176076863</v>
      </c>
      <c r="BL77" s="31" t="n">
        <v>0.007426477823502721</v>
      </c>
      <c r="BM77" s="31" t="n">
        <v>0.001286785557934107</v>
      </c>
      <c r="BN77" s="31" t="n">
        <v>0.01494006524467091</v>
      </c>
      <c r="BO77" s="31" t="n">
        <v>9.384807971234771</v>
      </c>
      <c r="BP77" s="31" t="n">
        <v>0.0005218515049592603</v>
      </c>
      <c r="BQ77" s="31" t="n">
        <v>0.0004945632610746577</v>
      </c>
      <c r="BR77" s="31" t="n">
        <v>0</v>
      </c>
      <c r="BS77" s="31">
        <f>SUM(C77:BR77)</f>
        <v/>
      </c>
      <c r="BT77" s="31" t="n">
        <v>0</v>
      </c>
      <c r="BU77" s="31" t="n">
        <v>0</v>
      </c>
      <c r="BV77" s="31" t="n">
        <v>0</v>
      </c>
      <c r="BW77" s="31" t="n">
        <v>0</v>
      </c>
      <c r="BX77" s="31">
        <f>SUM(BT77:BW77)</f>
        <v/>
      </c>
      <c r="BY77" s="31">
        <f>BS77+BX77</f>
        <v/>
      </c>
    </row>
    <row r="78">
      <c r="A78" s="28" t="inlineStr">
        <is>
          <t>8692</t>
        </is>
      </c>
      <c r="B78" s="28" t="inlineStr">
        <is>
          <t>Saúde privada</t>
        </is>
      </c>
      <c r="C78" s="29" t="n">
        <v>0.0004709391630120154</v>
      </c>
      <c r="D78" s="29" t="n">
        <v>0.0003853138606461939</v>
      </c>
      <c r="E78" s="29" t="n">
        <v>0.0004281265118291047</v>
      </c>
      <c r="F78" s="29" t="n">
        <v>0.001670982577073083</v>
      </c>
      <c r="G78" s="29" t="n">
        <v>0.02671509433813626</v>
      </c>
      <c r="H78" s="29" t="n">
        <v>0.005639608107741717</v>
      </c>
      <c r="I78" s="29" t="n">
        <v>0.001712506047316419</v>
      </c>
      <c r="J78" s="29" t="n">
        <v>0.05573186362274836</v>
      </c>
      <c r="K78" s="29" t="n">
        <v>0.01580947091495013</v>
      </c>
      <c r="L78" s="29" t="n">
        <v>0.03346568714499342</v>
      </c>
      <c r="M78" s="29" t="n">
        <v>0.004683713241444227</v>
      </c>
      <c r="N78" s="29" t="n">
        <v>0.001728620809061009</v>
      </c>
      <c r="O78" s="29" t="n">
        <v>0.01977944484650471</v>
      </c>
      <c r="P78" s="29" t="n">
        <v>0.0236863541421359</v>
      </c>
      <c r="Q78" s="29" t="n">
        <v>0.00498109311802266</v>
      </c>
      <c r="R78" s="29" t="n">
        <v>0.00356634185757725</v>
      </c>
      <c r="S78" s="29" t="n">
        <v>0.01385620372228079</v>
      </c>
      <c r="T78" s="29" t="n">
        <v>0.003168780778005161</v>
      </c>
      <c r="U78" s="29" t="n">
        <v>0.0148131773092871</v>
      </c>
      <c r="V78" s="29" t="n">
        <v>0.02243382921984518</v>
      </c>
      <c r="W78" s="29" t="n">
        <v>0.01715637572600646</v>
      </c>
      <c r="X78" s="29" t="n">
        <v>0.007340301066371232</v>
      </c>
      <c r="Y78" s="29" t="n">
        <v>0.01078851841791626</v>
      </c>
      <c r="Z78" s="29" t="n">
        <v>0.01762484175725468</v>
      </c>
      <c r="AA78" s="29" t="n">
        <v>0.03050774667055386</v>
      </c>
      <c r="AB78" s="29" t="n">
        <v>0.01483831633760866</v>
      </c>
      <c r="AC78" s="29" t="n">
        <v>0.02181355552807412</v>
      </c>
      <c r="AD78" s="29" t="n">
        <v>0.0009445619180185687</v>
      </c>
      <c r="AE78" s="29" t="n">
        <v>0.0178606106289111</v>
      </c>
      <c r="AF78" s="29" t="n">
        <v>0.01090084160972041</v>
      </c>
      <c r="AG78" s="29" t="n">
        <v>0.008147400764264111</v>
      </c>
      <c r="AH78" s="29" t="n">
        <v>0.0184749185563923</v>
      </c>
      <c r="AI78" s="29" t="n">
        <v>0.006443004712877656</v>
      </c>
      <c r="AJ78" s="29" t="n">
        <v>0.01344778983483784</v>
      </c>
      <c r="AK78" s="29" t="n">
        <v>0.002757413618390435</v>
      </c>
      <c r="AL78" s="29" t="n">
        <v>0.01602804630415319</v>
      </c>
      <c r="AM78" s="29" t="n">
        <v>0.003382844033919729</v>
      </c>
      <c r="AN78" s="29" t="n">
        <v>0.04152477901489715</v>
      </c>
      <c r="AO78" s="29" t="n">
        <v>0.02239746247336009</v>
      </c>
      <c r="AP78" s="29" t="n">
        <v>0.06346188545293903</v>
      </c>
      <c r="AQ78" s="29" t="n">
        <v>0.2293901850380346</v>
      </c>
      <c r="AR78" s="29" t="n">
        <v>2.672929177347765</v>
      </c>
      <c r="AS78" s="29" t="n">
        <v>0.08164372580581056</v>
      </c>
      <c r="AT78" s="29" t="n">
        <v>0.006764398886899892</v>
      </c>
      <c r="AU78" s="29" t="n">
        <v>0.005437206700229639</v>
      </c>
      <c r="AV78" s="29" t="n">
        <v>0.229775498898681</v>
      </c>
      <c r="AW78" s="29" t="n">
        <v>0.06507522979802394</v>
      </c>
      <c r="AX78" s="29" t="n">
        <v>0.2887285195775489</v>
      </c>
      <c r="AY78" s="29" t="n">
        <v>0.01014788751128936</v>
      </c>
      <c r="AZ78" s="29" t="n">
        <v>0.02757134736179435</v>
      </c>
      <c r="BA78" s="29" t="n">
        <v>0.1207262499318727</v>
      </c>
      <c r="BB78" s="29" t="n">
        <v>0.1684016000465963</v>
      </c>
      <c r="BC78" s="29" t="n">
        <v>0.2842370587461615</v>
      </c>
      <c r="BD78" s="29" t="n">
        <v>0.1216735546618321</v>
      </c>
      <c r="BE78" s="29" t="n">
        <v>0.3305136671320696</v>
      </c>
      <c r="BF78" s="29" t="n">
        <v>0.05789337954732675</v>
      </c>
      <c r="BG78" s="29" t="n">
        <v>0.09898284953488895</v>
      </c>
      <c r="BH78" s="29" t="n">
        <v>0.07075034960155015</v>
      </c>
      <c r="BI78" s="29" t="n">
        <v>0.2210034175394728</v>
      </c>
      <c r="BJ78" s="29" t="n">
        <v>0.01832381470628575</v>
      </c>
      <c r="BK78" s="29" t="n">
        <v>1.358684631529222</v>
      </c>
      <c r="BL78" s="29" t="n">
        <v>0.1690651965866879</v>
      </c>
      <c r="BM78" s="29" t="n">
        <v>0.3212667790670301</v>
      </c>
      <c r="BN78" s="29" t="n">
        <v>0.6384134212337483</v>
      </c>
      <c r="BO78" s="29" t="n">
        <v>1097.456715958046</v>
      </c>
      <c r="BP78" s="29" t="n">
        <v>0.2317020682019116</v>
      </c>
      <c r="BQ78" s="29" t="n">
        <v>0.219586087917148</v>
      </c>
      <c r="BR78" s="29" t="n">
        <v>0</v>
      </c>
      <c r="BS78" s="29">
        <f>SUM(C78:BR78)</f>
        <v/>
      </c>
      <c r="BT78" s="29" t="n">
        <v>0</v>
      </c>
      <c r="BU78" s="29" t="n">
        <v>0</v>
      </c>
      <c r="BV78" s="29" t="n">
        <v>0</v>
      </c>
      <c r="BW78" s="29" t="n">
        <v>0</v>
      </c>
      <c r="BX78" s="29">
        <f>SUM(BT78:BW78)</f>
        <v/>
      </c>
      <c r="BY78" s="29">
        <f>BS78+BX78</f>
        <v/>
      </c>
    </row>
    <row r="79">
      <c r="A79" s="30" t="inlineStr">
        <is>
          <t>9080</t>
        </is>
      </c>
      <c r="B79" s="30" t="inlineStr">
        <is>
          <t>Atividades artísticas, criativas e de espetáculos</t>
        </is>
      </c>
      <c r="C79" s="31" t="n">
        <v>0.02555522747217483</v>
      </c>
      <c r="D79" s="31" t="n">
        <v>0.752537111503046</v>
      </c>
      <c r="E79" s="31" t="n">
        <v>0.1764996725458051</v>
      </c>
      <c r="F79" s="31" t="n">
        <v>0.03405071177082467</v>
      </c>
      <c r="G79" s="31" t="n">
        <v>1.23938026206561</v>
      </c>
      <c r="H79" s="31" t="n">
        <v>-0.1791920885078554</v>
      </c>
      <c r="I79" s="31" t="n">
        <v>-0.06624657567535561</v>
      </c>
      <c r="J79" s="31" t="n">
        <v>-5.260548597187515</v>
      </c>
      <c r="K79" s="31" t="n">
        <v>0.05536853627519562</v>
      </c>
      <c r="L79" s="31" t="n">
        <v>1.205560669506517</v>
      </c>
      <c r="M79" s="31" t="n">
        <v>10.02879081575824</v>
      </c>
      <c r="N79" s="31" t="n">
        <v>0.2872980146538412</v>
      </c>
      <c r="O79" s="31" t="n">
        <v>-0.6061137600912297</v>
      </c>
      <c r="P79" s="31" t="n">
        <v>-0.1627915605090799</v>
      </c>
      <c r="Q79" s="31" t="n">
        <v>0.2976645156969782</v>
      </c>
      <c r="R79" s="31" t="n">
        <v>-0.5994033431037463</v>
      </c>
      <c r="S79" s="31" t="n">
        <v>-1.810267261770151</v>
      </c>
      <c r="T79" s="31" t="n">
        <v>0.03419389939523133</v>
      </c>
      <c r="U79" s="31" t="n">
        <v>-0.2733104187785384</v>
      </c>
      <c r="V79" s="31" t="n">
        <v>-0.6239628793879169</v>
      </c>
      <c r="W79" s="31" t="n">
        <v>-1.415326509467439</v>
      </c>
      <c r="X79" s="31" t="n">
        <v>-0.4928066275287395</v>
      </c>
      <c r="Y79" s="31" t="n">
        <v>2.348234482738378</v>
      </c>
      <c r="Z79" s="31" t="n">
        <v>2.29253534313521</v>
      </c>
      <c r="AA79" s="31" t="n">
        <v>-0.9987121680140882</v>
      </c>
      <c r="AB79" s="31" t="n">
        <v>-0.9960622653283455</v>
      </c>
      <c r="AC79" s="31" t="n">
        <v>-1.538324588556431</v>
      </c>
      <c r="AD79" s="31" t="n">
        <v>-0.6158906158267236</v>
      </c>
      <c r="AE79" s="31" t="n">
        <v>-0.81936530503691</v>
      </c>
      <c r="AF79" s="31" t="n">
        <v>1.534224947899276</v>
      </c>
      <c r="AG79" s="31" t="n">
        <v>-0.1327164904718418</v>
      </c>
      <c r="AH79" s="31" t="n">
        <v>-3.281997080121017</v>
      </c>
      <c r="AI79" s="31" t="n">
        <v>6.108905381606048</v>
      </c>
      <c r="AJ79" s="31" t="n">
        <v>0.2765578646547471</v>
      </c>
      <c r="AK79" s="31" t="n">
        <v>0.2697472088335054</v>
      </c>
      <c r="AL79" s="31" t="n">
        <v>-0.07152303128389599</v>
      </c>
      <c r="AM79" s="31" t="n">
        <v>0.2692347344408775</v>
      </c>
      <c r="AN79" s="31" t="n">
        <v>4.228431075511573</v>
      </c>
      <c r="AO79" s="31" t="n">
        <v>0.4564004951852602</v>
      </c>
      <c r="AP79" s="31" t="n">
        <v>2.920113105408769</v>
      </c>
      <c r="AQ79" s="31" t="n">
        <v>5.222561695663102</v>
      </c>
      <c r="AR79" s="31" t="n">
        <v>35.04549108297726</v>
      </c>
      <c r="AS79" s="31" t="n">
        <v>1.719507978542354</v>
      </c>
      <c r="AT79" s="31" t="n">
        <v>0.1399891516602578</v>
      </c>
      <c r="AU79" s="31" t="n">
        <v>0.2828308421206837</v>
      </c>
      <c r="AV79" s="31" t="n">
        <v>3.508986300517723</v>
      </c>
      <c r="AW79" s="31" t="n">
        <v>3.841030095566539</v>
      </c>
      <c r="AX79" s="31" t="n">
        <v>1.562793666279419</v>
      </c>
      <c r="AY79" s="31" t="n">
        <v>0.7996515589013086</v>
      </c>
      <c r="AZ79" s="31" t="n">
        <v>437.9634313435831</v>
      </c>
      <c r="BA79" s="31" t="n">
        <v>63.16469445350811</v>
      </c>
      <c r="BB79" s="31" t="n">
        <v>5.639192860097239</v>
      </c>
      <c r="BC79" s="31" t="n">
        <v>17.60214752826167</v>
      </c>
      <c r="BD79" s="31" t="n">
        <v>1.689717885090149</v>
      </c>
      <c r="BE79" s="31" t="n">
        <v>8.431763707188749</v>
      </c>
      <c r="BF79" s="31" t="n">
        <v>1.017851969662008</v>
      </c>
      <c r="BG79" s="31" t="n">
        <v>31.37752953202423</v>
      </c>
      <c r="BH79" s="31" t="n">
        <v>2.414228571458104</v>
      </c>
      <c r="BI79" s="31" t="n">
        <v>6.341195570700973</v>
      </c>
      <c r="BJ79" s="31" t="n">
        <v>0.3705839573198152</v>
      </c>
      <c r="BK79" s="31" t="n">
        <v>199.1391425269504</v>
      </c>
      <c r="BL79" s="31" t="n">
        <v>24.34647845866094</v>
      </c>
      <c r="BM79" s="31" t="n">
        <v>5.60798359213338</v>
      </c>
      <c r="BN79" s="31" t="n">
        <v>22.62155281343479</v>
      </c>
      <c r="BO79" s="31" t="n">
        <v>0.1423661075694332</v>
      </c>
      <c r="BP79" s="31" t="n">
        <v>168.051485978343</v>
      </c>
      <c r="BQ79" s="31" t="n">
        <v>329.8478707408763</v>
      </c>
      <c r="BR79" s="31" t="n">
        <v>0</v>
      </c>
      <c r="BS79" s="31">
        <f>SUM(C79:BR79)</f>
        <v/>
      </c>
      <c r="BT79" s="31" t="n">
        <v>0</v>
      </c>
      <c r="BU79" s="31" t="n">
        <v>0</v>
      </c>
      <c r="BV79" s="31" t="n">
        <v>0</v>
      </c>
      <c r="BW79" s="31" t="n">
        <v>0</v>
      </c>
      <c r="BX79" s="31">
        <f>SUM(BT79:BW79)</f>
        <v/>
      </c>
      <c r="BY79" s="31">
        <f>BS79+BX79</f>
        <v/>
      </c>
    </row>
    <row r="80">
      <c r="A80" s="28" t="inlineStr">
        <is>
          <t>9480</t>
        </is>
      </c>
      <c r="B80" s="28" t="inlineStr">
        <is>
          <t>Organizações associativas e outros serviços pessoais</t>
        </is>
      </c>
      <c r="C80" s="29" t="n">
        <v>-0.04817129952700819</v>
      </c>
      <c r="D80" s="29" t="n">
        <v>-0.01925014252258892</v>
      </c>
      <c r="E80" s="29" t="n">
        <v>0.2340041671729645</v>
      </c>
      <c r="F80" s="29" t="n">
        <v>-0.5142561729327541</v>
      </c>
      <c r="G80" s="29" t="n">
        <v>2.253788887922199</v>
      </c>
      <c r="H80" s="29" t="n">
        <v>-2.162724877111282</v>
      </c>
      <c r="I80" s="29" t="n">
        <v>-0.5657378657384823</v>
      </c>
      <c r="J80" s="29" t="n">
        <v>-104.715439620714</v>
      </c>
      <c r="K80" s="29" t="n">
        <v>-6.613038273438365</v>
      </c>
      <c r="L80" s="29" t="n">
        <v>-60.32931532190724</v>
      </c>
      <c r="M80" s="29" t="n">
        <v>-2.336323925804979</v>
      </c>
      <c r="N80" s="29" t="n">
        <v>-2.815918418057209</v>
      </c>
      <c r="O80" s="29" t="n">
        <v>-7.289360765389477</v>
      </c>
      <c r="P80" s="29" t="n">
        <v>-8.998110691356869</v>
      </c>
      <c r="Q80" s="29" t="n">
        <v>-9.507332788973747</v>
      </c>
      <c r="R80" s="29" t="n">
        <v>-7.064305135517859</v>
      </c>
      <c r="S80" s="29" t="n">
        <v>-30.63968145554096</v>
      </c>
      <c r="T80" s="29" t="n">
        <v>-0.2314781382891135</v>
      </c>
      <c r="U80" s="29" t="n">
        <v>-7.816427453744258</v>
      </c>
      <c r="V80" s="29" t="n">
        <v>-10.62224943167437</v>
      </c>
      <c r="W80" s="29" t="n">
        <v>-17.03738373476782</v>
      </c>
      <c r="X80" s="29" t="n">
        <v>-15.80380814662926</v>
      </c>
      <c r="Y80" s="29" t="n">
        <v>-1.062702524383634</v>
      </c>
      <c r="Z80" s="29" t="n">
        <v>-17.00140593359101</v>
      </c>
      <c r="AA80" s="29" t="n">
        <v>-21.82530121620967</v>
      </c>
      <c r="AB80" s="29" t="n">
        <v>-16.24128768961905</v>
      </c>
      <c r="AC80" s="29" t="n">
        <v>-19.42263264572119</v>
      </c>
      <c r="AD80" s="29" t="n">
        <v>-6.265409697178772</v>
      </c>
      <c r="AE80" s="29" t="n">
        <v>-17.5379529072105</v>
      </c>
      <c r="AF80" s="29" t="n">
        <v>-1.938029779589723</v>
      </c>
      <c r="AG80" s="29" t="n">
        <v>-11.41660363048889</v>
      </c>
      <c r="AH80" s="29" t="n">
        <v>-42.13752047930554</v>
      </c>
      <c r="AI80" s="29" t="n">
        <v>-1.344453548828697</v>
      </c>
      <c r="AJ80" s="29" t="n">
        <v>-0.3226723240731559</v>
      </c>
      <c r="AK80" s="29" t="n">
        <v>-1.536564528947556</v>
      </c>
      <c r="AL80" s="29" t="n">
        <v>-9.445514127144639</v>
      </c>
      <c r="AM80" s="29" t="n">
        <v>-0.03000381122282193</v>
      </c>
      <c r="AN80" s="29" t="n">
        <v>18.1024376370088</v>
      </c>
      <c r="AO80" s="29" t="n">
        <v>-0.06608116343956814</v>
      </c>
      <c r="AP80" s="29" t="n">
        <v>5.54623113692073</v>
      </c>
      <c r="AQ80" s="29" t="n">
        <v>2.731321148692814</v>
      </c>
      <c r="AR80" s="29" t="n">
        <v>72.24068530917503</v>
      </c>
      <c r="AS80" s="29" t="n">
        <v>19.53200007593572</v>
      </c>
      <c r="AT80" s="29" t="n">
        <v>0.09139141024942282</v>
      </c>
      <c r="AU80" s="29" t="n">
        <v>0.09253285364541695</v>
      </c>
      <c r="AV80" s="29" t="n">
        <v>8.148119891983425</v>
      </c>
      <c r="AW80" s="29" t="n">
        <v>3.318341802246851</v>
      </c>
      <c r="AX80" s="29" t="n">
        <v>5.379766086997734</v>
      </c>
      <c r="AY80" s="29" t="n">
        <v>-2.457470135227868</v>
      </c>
      <c r="AZ80" s="29" t="n">
        <v>0.9001893385462519</v>
      </c>
      <c r="BA80" s="29" t="n">
        <v>83.81993865604679</v>
      </c>
      <c r="BB80" s="29" t="n">
        <v>80.42729505251185</v>
      </c>
      <c r="BC80" s="29" t="n">
        <v>60.38142493685531</v>
      </c>
      <c r="BD80" s="29" t="n">
        <v>4.143940114492039</v>
      </c>
      <c r="BE80" s="29" t="n">
        <v>13.42229220077622</v>
      </c>
      <c r="BF80" s="29" t="n">
        <v>1.428187715546972</v>
      </c>
      <c r="BG80" s="29" t="n">
        <v>15.70294947136214</v>
      </c>
      <c r="BH80" s="29" t="n">
        <v>6.295792486631166</v>
      </c>
      <c r="BI80" s="29" t="n">
        <v>63.04556074483416</v>
      </c>
      <c r="BJ80" s="29" t="n">
        <v>0.1345782803739008</v>
      </c>
      <c r="BK80" s="29" t="n">
        <v>31.49191032205116</v>
      </c>
      <c r="BL80" s="29" t="n">
        <v>4.550214753024241</v>
      </c>
      <c r="BM80" s="29" t="n">
        <v>23.88789761347476</v>
      </c>
      <c r="BN80" s="29" t="n">
        <v>38.56896703962358</v>
      </c>
      <c r="BO80" s="29" t="n">
        <v>52.71680712649832</v>
      </c>
      <c r="BP80" s="29" t="n">
        <v>0.6047463262624088</v>
      </c>
      <c r="BQ80" s="29" t="n">
        <v>13.65491195479602</v>
      </c>
      <c r="BR80" s="29" t="n">
        <v>0</v>
      </c>
      <c r="BS80" s="29">
        <f>SUM(C80:BR80)</f>
        <v/>
      </c>
      <c r="BT80" s="29" t="n">
        <v>0</v>
      </c>
      <c r="BU80" s="29" t="n">
        <v>0</v>
      </c>
      <c r="BV80" s="29" t="n">
        <v>0</v>
      </c>
      <c r="BW80" s="29" t="n">
        <v>0</v>
      </c>
      <c r="BX80" s="29">
        <f>SUM(BT80:BW80)</f>
        <v/>
      </c>
      <c r="BY80" s="29">
        <f>BS80+BX80</f>
        <v/>
      </c>
    </row>
    <row r="81">
      <c r="A81" s="30" t="inlineStr">
        <is>
          <t>9700</t>
        </is>
      </c>
      <c r="B81" s="30" t="inlineStr">
        <is>
          <t>Serviços domésticos</t>
        </is>
      </c>
      <c r="C81" s="31" t="n">
        <v>0</v>
      </c>
      <c r="D81" s="31" t="n">
        <v>0</v>
      </c>
      <c r="E81" s="31" t="n">
        <v>0</v>
      </c>
      <c r="F81" s="31" t="n">
        <v>0</v>
      </c>
      <c r="G81" s="31" t="n">
        <v>0</v>
      </c>
      <c r="H81" s="31" t="n">
        <v>0</v>
      </c>
      <c r="I81" s="31" t="n">
        <v>0</v>
      </c>
      <c r="J81" s="31" t="n">
        <v>0</v>
      </c>
      <c r="K81" s="31" t="n">
        <v>0</v>
      </c>
      <c r="L81" s="31" t="n">
        <v>0</v>
      </c>
      <c r="M81" s="31" t="n">
        <v>0</v>
      </c>
      <c r="N81" s="31" t="n">
        <v>0</v>
      </c>
      <c r="O81" s="31" t="n">
        <v>0</v>
      </c>
      <c r="P81" s="31" t="n">
        <v>0</v>
      </c>
      <c r="Q81" s="31" t="n">
        <v>0</v>
      </c>
      <c r="R81" s="31" t="n">
        <v>0</v>
      </c>
      <c r="S81" s="31" t="n">
        <v>0</v>
      </c>
      <c r="T81" s="31" t="n">
        <v>0</v>
      </c>
      <c r="U81" s="31" t="n">
        <v>0</v>
      </c>
      <c r="V81" s="31" t="n">
        <v>0</v>
      </c>
      <c r="W81" s="31" t="n">
        <v>0</v>
      </c>
      <c r="X81" s="31" t="n">
        <v>0</v>
      </c>
      <c r="Y81" s="31" t="n">
        <v>0</v>
      </c>
      <c r="Z81" s="31" t="n">
        <v>0</v>
      </c>
      <c r="AA81" s="31" t="n">
        <v>0</v>
      </c>
      <c r="AB81" s="31" t="n">
        <v>0</v>
      </c>
      <c r="AC81" s="31" t="n">
        <v>0</v>
      </c>
      <c r="AD81" s="31" t="n">
        <v>0</v>
      </c>
      <c r="AE81" s="31" t="n">
        <v>0</v>
      </c>
      <c r="AF81" s="31" t="n">
        <v>0</v>
      </c>
      <c r="AG81" s="31" t="n">
        <v>0</v>
      </c>
      <c r="AH81" s="31" t="n">
        <v>0</v>
      </c>
      <c r="AI81" s="31" t="n">
        <v>0</v>
      </c>
      <c r="AJ81" s="31" t="n">
        <v>0</v>
      </c>
      <c r="AK81" s="31" t="n">
        <v>0</v>
      </c>
      <c r="AL81" s="31" t="n">
        <v>0</v>
      </c>
      <c r="AM81" s="31" t="n">
        <v>0</v>
      </c>
      <c r="AN81" s="31" t="n">
        <v>0</v>
      </c>
      <c r="AO81" s="31" t="n">
        <v>0</v>
      </c>
      <c r="AP81" s="31" t="n">
        <v>0</v>
      </c>
      <c r="AQ81" s="31" t="n">
        <v>0</v>
      </c>
      <c r="AR81" s="31" t="n">
        <v>0</v>
      </c>
      <c r="AS81" s="31" t="n">
        <v>0</v>
      </c>
      <c r="AT81" s="31" t="n">
        <v>0</v>
      </c>
      <c r="AU81" s="31" t="n">
        <v>0</v>
      </c>
      <c r="AV81" s="31" t="n">
        <v>0</v>
      </c>
      <c r="AW81" s="31" t="n">
        <v>0</v>
      </c>
      <c r="AX81" s="31" t="n">
        <v>0</v>
      </c>
      <c r="AY81" s="31" t="n">
        <v>0</v>
      </c>
      <c r="AZ81" s="31" t="n">
        <v>0</v>
      </c>
      <c r="BA81" s="31" t="n">
        <v>0</v>
      </c>
      <c r="BB81" s="31" t="n">
        <v>0</v>
      </c>
      <c r="BC81" s="31" t="n">
        <v>0</v>
      </c>
      <c r="BD81" s="31" t="n">
        <v>0</v>
      </c>
      <c r="BE81" s="31" t="n">
        <v>0</v>
      </c>
      <c r="BF81" s="31" t="n">
        <v>0</v>
      </c>
      <c r="BG81" s="31" t="n">
        <v>0</v>
      </c>
      <c r="BH81" s="31" t="n">
        <v>0</v>
      </c>
      <c r="BI81" s="31" t="n">
        <v>0</v>
      </c>
      <c r="BJ81" s="31" t="n">
        <v>0</v>
      </c>
      <c r="BK81" s="31" t="n">
        <v>0</v>
      </c>
      <c r="BL81" s="31" t="n">
        <v>0</v>
      </c>
      <c r="BM81" s="31" t="n">
        <v>0</v>
      </c>
      <c r="BN81" s="31" t="n">
        <v>0</v>
      </c>
      <c r="BO81" s="31" t="n">
        <v>0</v>
      </c>
      <c r="BP81" s="31" t="n">
        <v>0</v>
      </c>
      <c r="BQ81" s="31" t="n">
        <v>0</v>
      </c>
      <c r="BR81" s="31" t="n">
        <v>0</v>
      </c>
      <c r="BS81" s="31">
        <f>SUM(C81:BR81)</f>
        <v/>
      </c>
      <c r="BT81" s="31" t="n">
        <v>0</v>
      </c>
      <c r="BU81" s="31" t="n">
        <v>0</v>
      </c>
      <c r="BV81" s="31" t="n">
        <v>0</v>
      </c>
      <c r="BW81" s="31" t="n">
        <v>0</v>
      </c>
      <c r="BX81" s="31">
        <f>SUM(BT81:BW81)</f>
        <v/>
      </c>
      <c r="BY81" s="31">
        <f>BS81+BX81</f>
        <v/>
      </c>
    </row>
    <row r="82">
      <c r="B82" s="32" t="inlineStr">
        <is>
          <t>Total consumo intermedio</t>
        </is>
      </c>
      <c r="C82" s="33">
        <f>SUM(C14:C81)</f>
        <v/>
      </c>
      <c r="D82" s="33">
        <f>SUM(D14:D81)</f>
        <v/>
      </c>
      <c r="E82" s="33">
        <f>SUM(E14:E81)</f>
        <v/>
      </c>
      <c r="F82" s="33">
        <f>SUM(F14:F81)</f>
        <v/>
      </c>
      <c r="G82" s="33">
        <f>SUM(G14:G81)</f>
        <v/>
      </c>
      <c r="H82" s="33">
        <f>SUM(H14:H81)</f>
        <v/>
      </c>
      <c r="I82" s="33">
        <f>SUM(I14:I81)</f>
        <v/>
      </c>
      <c r="J82" s="33">
        <f>SUM(J14:J81)</f>
        <v/>
      </c>
      <c r="K82" s="33">
        <f>SUM(K14:K81)</f>
        <v/>
      </c>
      <c r="L82" s="33">
        <f>SUM(L14:L81)</f>
        <v/>
      </c>
      <c r="M82" s="33">
        <f>SUM(M14:M81)</f>
        <v/>
      </c>
      <c r="N82" s="33">
        <f>SUM(N14:N81)</f>
        <v/>
      </c>
      <c r="O82" s="33">
        <f>SUM(O14:O81)</f>
        <v/>
      </c>
      <c r="P82" s="33">
        <f>SUM(P14:P81)</f>
        <v/>
      </c>
      <c r="Q82" s="33">
        <f>SUM(Q14:Q81)</f>
        <v/>
      </c>
      <c r="R82" s="33">
        <f>SUM(R14:R81)</f>
        <v/>
      </c>
      <c r="S82" s="33">
        <f>SUM(S14:S81)</f>
        <v/>
      </c>
      <c r="T82" s="33">
        <f>SUM(T14:T81)</f>
        <v/>
      </c>
      <c r="U82" s="33">
        <f>SUM(U14:U81)</f>
        <v/>
      </c>
      <c r="V82" s="33">
        <f>SUM(V14:V81)</f>
        <v/>
      </c>
      <c r="W82" s="33">
        <f>SUM(W14:W81)</f>
        <v/>
      </c>
      <c r="X82" s="33">
        <f>SUM(X14:X81)</f>
        <v/>
      </c>
      <c r="Y82" s="33">
        <f>SUM(Y14:Y81)</f>
        <v/>
      </c>
      <c r="Z82" s="33">
        <f>SUM(Z14:Z81)</f>
        <v/>
      </c>
      <c r="AA82" s="33">
        <f>SUM(AA14:AA81)</f>
        <v/>
      </c>
      <c r="AB82" s="33">
        <f>SUM(AB14:AB81)</f>
        <v/>
      </c>
      <c r="AC82" s="33">
        <f>SUM(AC14:AC81)</f>
        <v/>
      </c>
      <c r="AD82" s="33">
        <f>SUM(AD14:AD81)</f>
        <v/>
      </c>
      <c r="AE82" s="33">
        <f>SUM(AE14:AE81)</f>
        <v/>
      </c>
      <c r="AF82" s="33">
        <f>SUM(AF14:AF81)</f>
        <v/>
      </c>
      <c r="AG82" s="33">
        <f>SUM(AG14:AG81)</f>
        <v/>
      </c>
      <c r="AH82" s="33">
        <f>SUM(AH14:AH81)</f>
        <v/>
      </c>
      <c r="AI82" s="33">
        <f>SUM(AI14:AI81)</f>
        <v/>
      </c>
      <c r="AJ82" s="33">
        <f>SUM(AJ14:AJ81)</f>
        <v/>
      </c>
      <c r="AK82" s="33">
        <f>SUM(AK14:AK81)</f>
        <v/>
      </c>
      <c r="AL82" s="33">
        <f>SUM(AL14:AL81)</f>
        <v/>
      </c>
      <c r="AM82" s="33">
        <f>SUM(AM14:AM81)</f>
        <v/>
      </c>
      <c r="AN82" s="33">
        <f>SUM(AN14:AN81)</f>
        <v/>
      </c>
      <c r="AO82" s="33">
        <f>SUM(AO14:AO81)</f>
        <v/>
      </c>
      <c r="AP82" s="33">
        <f>SUM(AP14:AP81)</f>
        <v/>
      </c>
      <c r="AQ82" s="33">
        <f>SUM(AQ14:AQ81)</f>
        <v/>
      </c>
      <c r="AR82" s="33">
        <f>SUM(AR14:AR81)</f>
        <v/>
      </c>
      <c r="AS82" s="33">
        <f>SUM(AS14:AS81)</f>
        <v/>
      </c>
      <c r="AT82" s="33">
        <f>SUM(AT14:AT81)</f>
        <v/>
      </c>
      <c r="AU82" s="33">
        <f>SUM(AU14:AU81)</f>
        <v/>
      </c>
      <c r="AV82" s="33">
        <f>SUM(AV14:AV81)</f>
        <v/>
      </c>
      <c r="AW82" s="33">
        <f>SUM(AW14:AW81)</f>
        <v/>
      </c>
      <c r="AX82" s="33">
        <f>SUM(AX14:AX81)</f>
        <v/>
      </c>
      <c r="AY82" s="33">
        <f>SUM(AY14:AY81)</f>
        <v/>
      </c>
      <c r="AZ82" s="33">
        <f>SUM(AZ14:AZ81)</f>
        <v/>
      </c>
      <c r="BA82" s="33">
        <f>SUM(BA14:BA81)</f>
        <v/>
      </c>
      <c r="BB82" s="33">
        <f>SUM(BB14:BB81)</f>
        <v/>
      </c>
      <c r="BC82" s="33">
        <f>SUM(BC14:BC81)</f>
        <v/>
      </c>
      <c r="BD82" s="33">
        <f>SUM(BD14:BD81)</f>
        <v/>
      </c>
      <c r="BE82" s="33">
        <f>SUM(BE14:BE81)</f>
        <v/>
      </c>
      <c r="BF82" s="33">
        <f>SUM(BF14:BF81)</f>
        <v/>
      </c>
      <c r="BG82" s="33">
        <f>SUM(BG14:BG81)</f>
        <v/>
      </c>
      <c r="BH82" s="33">
        <f>SUM(BH14:BH81)</f>
        <v/>
      </c>
      <c r="BI82" s="33">
        <f>SUM(BI14:BI81)</f>
        <v/>
      </c>
      <c r="BJ82" s="33">
        <f>SUM(BJ14:BJ81)</f>
        <v/>
      </c>
      <c r="BK82" s="33">
        <f>SUM(BK14:BK81)</f>
        <v/>
      </c>
      <c r="BL82" s="33">
        <f>SUM(BL14:BL81)</f>
        <v/>
      </c>
      <c r="BM82" s="33">
        <f>SUM(BM14:BM81)</f>
        <v/>
      </c>
      <c r="BN82" s="33">
        <f>SUM(BN14:BN81)</f>
        <v/>
      </c>
      <c r="BO82" s="33">
        <f>SUM(BO14:BO81)</f>
        <v/>
      </c>
      <c r="BP82" s="33">
        <f>SUM(BP14:BP81)</f>
        <v/>
      </c>
      <c r="BQ82" s="33">
        <f>SUM(BQ14:BQ81)</f>
        <v/>
      </c>
      <c r="BR82" s="33">
        <f>SUM(BR14:BR81)</f>
        <v/>
      </c>
      <c r="BS82" s="33">
        <f>SUM(BS14:BS81)</f>
        <v/>
      </c>
      <c r="BT82" s="33">
        <f>SUM(BT14:BT81)</f>
        <v/>
      </c>
      <c r="BU82" s="33">
        <f>SUM(BU14:BU81)</f>
        <v/>
      </c>
      <c r="BV82" s="33">
        <f>SUM(BV14:BV81)</f>
        <v/>
      </c>
      <c r="BW82" s="33">
        <f>SUM(BW14:BW81)</f>
        <v/>
      </c>
      <c r="BX82" s="33">
        <f>SUM(BX14:BX81)</f>
        <v/>
      </c>
      <c r="BY82" s="33">
        <f>SUM(BY14:BY81)</f>
        <v/>
      </c>
    </row>
    <row r="83"/>
    <row r="84">
      <c r="B84" s="32" t="inlineStr">
        <is>
          <t>Ajuste intermedio no asignado a matriz</t>
        </is>
      </c>
      <c r="C84" s="33" t="n">
        <v>1.455191522836685e-11</v>
      </c>
      <c r="D84" s="33" t="n">
        <v>2.182787284255028e-11</v>
      </c>
      <c r="E84" s="33" t="n">
        <v>-1.364242052659392e-12</v>
      </c>
      <c r="F84" s="33" t="n">
        <v>-1.364242052659392e-12</v>
      </c>
      <c r="G84" s="33" t="n">
        <v>7.275957614183426e-12</v>
      </c>
      <c r="H84" s="33" t="n">
        <v>7.275957614183426e-12</v>
      </c>
      <c r="I84" s="33" t="n">
        <v>-9.094947017729282e-13</v>
      </c>
      <c r="J84" s="33" t="n">
        <v>1.455191522836685e-10</v>
      </c>
      <c r="K84" s="33" t="n">
        <v>4.547473508864641e-12</v>
      </c>
      <c r="L84" s="33" t="n">
        <v>7.275957614183426e-12</v>
      </c>
      <c r="M84" s="33" t="n">
        <v>1.2732925824821e-11</v>
      </c>
      <c r="N84" s="33" t="n">
        <v>1.13686837721616e-13</v>
      </c>
      <c r="O84" s="33" t="n">
        <v>3.637978807091713e-12</v>
      </c>
      <c r="P84" s="33" t="n">
        <v>6.139089236967266e-12</v>
      </c>
      <c r="Q84" s="33" t="n">
        <v>6.366462912410498e-12</v>
      </c>
      <c r="R84" s="33" t="n">
        <v>6.366462912410498e-12</v>
      </c>
      <c r="S84" s="33" t="n">
        <v>3.637978807091713e-12</v>
      </c>
      <c r="T84" s="33" t="n">
        <v>-4.547473508864641e-13</v>
      </c>
      <c r="U84" s="33" t="n">
        <v>-5.820766091346741e-11</v>
      </c>
      <c r="V84" s="33" t="n">
        <v>5.456968210637569e-12</v>
      </c>
      <c r="W84" s="33" t="n">
        <v>2.91038304567337e-11</v>
      </c>
      <c r="X84" s="33" t="n">
        <v>0</v>
      </c>
      <c r="Y84" s="33" t="n">
        <v>0</v>
      </c>
      <c r="Z84" s="33" t="n">
        <v>-3.637978807091713e-12</v>
      </c>
      <c r="AA84" s="33" t="n">
        <v>7.275957614183426e-12</v>
      </c>
      <c r="AB84" s="33" t="n">
        <v>0</v>
      </c>
      <c r="AC84" s="33" t="n">
        <v>-9.094947017729282e-12</v>
      </c>
      <c r="AD84" s="33" t="n">
        <v>0</v>
      </c>
      <c r="AE84" s="33" t="n">
        <v>9.549694368615746e-12</v>
      </c>
      <c r="AF84" s="33" t="n">
        <v>7.275957614183426e-12</v>
      </c>
      <c r="AG84" s="33" t="n">
        <v>0</v>
      </c>
      <c r="AH84" s="33" t="n">
        <v>2.546585164964199e-11</v>
      </c>
      <c r="AI84" s="33" t="n">
        <v>0</v>
      </c>
      <c r="AJ84" s="33" t="n">
        <v>7.275957614183426e-12</v>
      </c>
      <c r="AK84" s="33" t="n">
        <v>0</v>
      </c>
      <c r="AL84" s="33" t="n">
        <v>-3.637978807091713e-12</v>
      </c>
      <c r="AM84" s="33" t="n">
        <v>7.275957614183426e-12</v>
      </c>
      <c r="AN84" s="33" t="n">
        <v>1.455191522836685e-11</v>
      </c>
      <c r="AO84" s="33" t="n">
        <v>9.094947017729282e-13</v>
      </c>
      <c r="AP84" s="33" t="n">
        <v>2.91038304567337e-11</v>
      </c>
      <c r="AQ84" s="33" t="n">
        <v>-3.637978807091713e-12</v>
      </c>
      <c r="AR84" s="33" t="n">
        <v>-4.365574568510056e-11</v>
      </c>
      <c r="AS84" s="33" t="n">
        <v>0</v>
      </c>
      <c r="AT84" s="33" t="n">
        <v>0</v>
      </c>
      <c r="AU84" s="33" t="n">
        <v>0</v>
      </c>
      <c r="AV84" s="33" t="n">
        <v>-1.818989403545856e-12</v>
      </c>
      <c r="AW84" s="33" t="n">
        <v>0</v>
      </c>
      <c r="AX84" s="33" t="n">
        <v>1.455191522836685e-11</v>
      </c>
      <c r="AY84" s="33" t="n">
        <v>-3.637978807091713e-12</v>
      </c>
      <c r="AZ84" s="33" t="n">
        <v>1.182343112304807e-11</v>
      </c>
      <c r="BA84" s="33" t="n">
        <v>0</v>
      </c>
      <c r="BB84" s="33" t="n">
        <v>1.818989403545856e-12</v>
      </c>
      <c r="BC84" s="33" t="n">
        <v>-2.91038304567337e-11</v>
      </c>
      <c r="BD84" s="33" t="n">
        <v>3.637978807091713e-12</v>
      </c>
      <c r="BE84" s="33" t="n">
        <v>-1.364242052659392e-12</v>
      </c>
      <c r="BF84" s="33" t="n">
        <v>-2.728484105318785e-12</v>
      </c>
      <c r="BG84" s="33" t="n">
        <v>1.818989403545856e-12</v>
      </c>
      <c r="BH84" s="33" t="n">
        <v>1.818989403545856e-12</v>
      </c>
      <c r="BI84" s="33" t="n">
        <v>9.094947017729282e-12</v>
      </c>
      <c r="BJ84" s="33" t="n">
        <v>-2.273736754432321e-13</v>
      </c>
      <c r="BK84" s="33" t="n">
        <v>-1.455191522836685e-11</v>
      </c>
      <c r="BL84" s="33" t="n">
        <v>0</v>
      </c>
      <c r="BM84" s="33" t="n">
        <v>-1.818989403545856e-12</v>
      </c>
      <c r="BN84" s="33" t="n">
        <v>-2.91038304567337e-11</v>
      </c>
      <c r="BO84" s="33" t="n">
        <v>1.455191522836685e-11</v>
      </c>
      <c r="BP84" s="33" t="n">
        <v>0</v>
      </c>
      <c r="BQ84" s="33" t="n">
        <v>3.637978807091713e-12</v>
      </c>
      <c r="BR84" s="33" t="n">
        <v>0</v>
      </c>
      <c r="BY84" s="33">
        <f>SUM(C84:BR84)</f>
        <v/>
      </c>
    </row>
    <row r="85"/>
    <row r="86">
      <c r="B86" s="32" t="inlineStr">
        <is>
          <t>Sin valor agregado</t>
        </is>
      </c>
      <c r="C86" s="33" t="n">
        <v>0</v>
      </c>
      <c r="D86" s="33" t="n">
        <v>0</v>
      </c>
      <c r="E86" s="33" t="n">
        <v>0</v>
      </c>
      <c r="F86" s="33" t="n">
        <v>0</v>
      </c>
      <c r="G86" s="33" t="n">
        <v>0</v>
      </c>
      <c r="H86" s="33" t="n">
        <v>0</v>
      </c>
      <c r="I86" s="33" t="n">
        <v>0</v>
      </c>
      <c r="J86" s="33" t="n">
        <v>0</v>
      </c>
      <c r="K86" s="33" t="n">
        <v>0</v>
      </c>
      <c r="L86" s="33" t="n">
        <v>0</v>
      </c>
      <c r="M86" s="33" t="n">
        <v>0</v>
      </c>
      <c r="N86" s="33" t="n">
        <v>0</v>
      </c>
      <c r="O86" s="33" t="n">
        <v>0</v>
      </c>
      <c r="P86" s="33" t="n">
        <v>0</v>
      </c>
      <c r="Q86" s="33" t="n">
        <v>0</v>
      </c>
      <c r="R86" s="33" t="n">
        <v>0</v>
      </c>
      <c r="S86" s="33" t="n">
        <v>0</v>
      </c>
      <c r="T86" s="33" t="n">
        <v>0</v>
      </c>
      <c r="U86" s="33" t="n">
        <v>0</v>
      </c>
      <c r="V86" s="33" t="n">
        <v>0</v>
      </c>
      <c r="W86" s="33" t="n">
        <v>0</v>
      </c>
      <c r="X86" s="33" t="n">
        <v>0</v>
      </c>
      <c r="Y86" s="33" t="n">
        <v>0</v>
      </c>
      <c r="Z86" s="33" t="n">
        <v>0</v>
      </c>
      <c r="AA86" s="33" t="n">
        <v>0</v>
      </c>
      <c r="AB86" s="33" t="n">
        <v>0</v>
      </c>
      <c r="AC86" s="33" t="n">
        <v>0</v>
      </c>
      <c r="AD86" s="33" t="n">
        <v>0</v>
      </c>
      <c r="AE86" s="33" t="n">
        <v>0</v>
      </c>
      <c r="AF86" s="33" t="n">
        <v>0</v>
      </c>
      <c r="AG86" s="33" t="n">
        <v>0</v>
      </c>
      <c r="AH86" s="33" t="n">
        <v>0</v>
      </c>
      <c r="AI86" s="33" t="n">
        <v>0</v>
      </c>
      <c r="AJ86" s="33" t="n">
        <v>0</v>
      </c>
      <c r="AK86" s="33" t="n">
        <v>0</v>
      </c>
      <c r="AL86" s="33" t="n">
        <v>0</v>
      </c>
      <c r="AM86" s="33" t="n">
        <v>0</v>
      </c>
      <c r="AN86" s="33" t="n">
        <v>0</v>
      </c>
      <c r="AO86" s="33" t="n">
        <v>0</v>
      </c>
      <c r="AP86" s="33" t="n">
        <v>0</v>
      </c>
      <c r="AQ86" s="33" t="n">
        <v>0</v>
      </c>
      <c r="AR86" s="33" t="n">
        <v>0</v>
      </c>
      <c r="AS86" s="33" t="n">
        <v>0</v>
      </c>
      <c r="AT86" s="33" t="n">
        <v>0</v>
      </c>
      <c r="AU86" s="33" t="n">
        <v>0</v>
      </c>
      <c r="AV86" s="33" t="n">
        <v>0</v>
      </c>
      <c r="AW86" s="33" t="n">
        <v>0</v>
      </c>
      <c r="AX86" s="33" t="n">
        <v>0</v>
      </c>
      <c r="AY86" s="33" t="n">
        <v>0</v>
      </c>
      <c r="AZ86" s="33" t="n">
        <v>0</v>
      </c>
      <c r="BA86" s="33" t="n">
        <v>0</v>
      </c>
      <c r="BB86" s="33" t="n">
        <v>0</v>
      </c>
      <c r="BC86" s="33" t="n">
        <v>0</v>
      </c>
      <c r="BD86" s="33" t="n">
        <v>0</v>
      </c>
      <c r="BE86" s="33" t="n">
        <v>0</v>
      </c>
      <c r="BF86" s="33" t="n">
        <v>0</v>
      </c>
      <c r="BG86" s="33" t="n">
        <v>0</v>
      </c>
      <c r="BH86" s="33" t="n">
        <v>0</v>
      </c>
      <c r="BI86" s="33" t="n">
        <v>0</v>
      </c>
      <c r="BJ86" s="33" t="n">
        <v>0</v>
      </c>
      <c r="BK86" s="33" t="n">
        <v>0</v>
      </c>
      <c r="BL86" s="33" t="n">
        <v>0</v>
      </c>
      <c r="BM86" s="33" t="n">
        <v>0</v>
      </c>
      <c r="BN86" s="33" t="n">
        <v>0</v>
      </c>
      <c r="BO86" s="33" t="n">
        <v>0</v>
      </c>
      <c r="BP86" s="33" t="n">
        <v>0</v>
      </c>
      <c r="BQ86" s="33" t="n">
        <v>0</v>
      </c>
      <c r="BR86" s="33" t="n">
        <v>0</v>
      </c>
      <c r="BY86" s="33">
        <f>SUM(C86:BR86)</f>
        <v/>
      </c>
    </row>
    <row r="87"/>
    <row r="88">
      <c r="B88" s="32" t="inlineStr">
        <is>
          <t>Produccion total</t>
        </is>
      </c>
      <c r="C88" s="33">
        <f>C82+C84+C86</f>
        <v/>
      </c>
      <c r="D88" s="33">
        <f>D82+D84+D86</f>
        <v/>
      </c>
      <c r="E88" s="33">
        <f>E82+E84+E86</f>
        <v/>
      </c>
      <c r="F88" s="33">
        <f>F82+F84+F86</f>
        <v/>
      </c>
      <c r="G88" s="33">
        <f>G82+G84+G86</f>
        <v/>
      </c>
      <c r="H88" s="33">
        <f>H82+H84+H86</f>
        <v/>
      </c>
      <c r="I88" s="33">
        <f>I82+I84+I86</f>
        <v/>
      </c>
      <c r="J88" s="33">
        <f>J82+J84+J86</f>
        <v/>
      </c>
      <c r="K88" s="33">
        <f>K82+K84+K86</f>
        <v/>
      </c>
      <c r="L88" s="33">
        <f>L82+L84+L86</f>
        <v/>
      </c>
      <c r="M88" s="33">
        <f>M82+M84+M86</f>
        <v/>
      </c>
      <c r="N88" s="33">
        <f>N82+N84+N86</f>
        <v/>
      </c>
      <c r="O88" s="33">
        <f>O82+O84+O86</f>
        <v/>
      </c>
      <c r="P88" s="33">
        <f>P82+P84+P86</f>
        <v/>
      </c>
      <c r="Q88" s="33">
        <f>Q82+Q84+Q86</f>
        <v/>
      </c>
      <c r="R88" s="33">
        <f>R82+R84+R86</f>
        <v/>
      </c>
      <c r="S88" s="33">
        <f>S82+S84+S86</f>
        <v/>
      </c>
      <c r="T88" s="33">
        <f>T82+T84+T86</f>
        <v/>
      </c>
      <c r="U88" s="33">
        <f>U82+U84+U86</f>
        <v/>
      </c>
      <c r="V88" s="33">
        <f>V82+V84+V86</f>
        <v/>
      </c>
      <c r="W88" s="33">
        <f>W82+W84+W86</f>
        <v/>
      </c>
      <c r="X88" s="33">
        <f>X82+X84+X86</f>
        <v/>
      </c>
      <c r="Y88" s="33">
        <f>Y82+Y84+Y86</f>
        <v/>
      </c>
      <c r="Z88" s="33">
        <f>Z82+Z84+Z86</f>
        <v/>
      </c>
      <c r="AA88" s="33">
        <f>AA82+AA84+AA86</f>
        <v/>
      </c>
      <c r="AB88" s="33">
        <f>AB82+AB84+AB86</f>
        <v/>
      </c>
      <c r="AC88" s="33">
        <f>AC82+AC84+AC86</f>
        <v/>
      </c>
      <c r="AD88" s="33">
        <f>AD82+AD84+AD86</f>
        <v/>
      </c>
      <c r="AE88" s="33">
        <f>AE82+AE84+AE86</f>
        <v/>
      </c>
      <c r="AF88" s="33">
        <f>AF82+AF84+AF86</f>
        <v/>
      </c>
      <c r="AG88" s="33">
        <f>AG82+AG84+AG86</f>
        <v/>
      </c>
      <c r="AH88" s="33">
        <f>AH82+AH84+AH86</f>
        <v/>
      </c>
      <c r="AI88" s="33">
        <f>AI82+AI84+AI86</f>
        <v/>
      </c>
      <c r="AJ88" s="33">
        <f>AJ82+AJ84+AJ86</f>
        <v/>
      </c>
      <c r="AK88" s="33">
        <f>AK82+AK84+AK86</f>
        <v/>
      </c>
      <c r="AL88" s="33">
        <f>AL82+AL84+AL86</f>
        <v/>
      </c>
      <c r="AM88" s="33">
        <f>AM82+AM84+AM86</f>
        <v/>
      </c>
      <c r="AN88" s="33">
        <f>AN82+AN84+AN86</f>
        <v/>
      </c>
      <c r="AO88" s="33">
        <f>AO82+AO84+AO86</f>
        <v/>
      </c>
      <c r="AP88" s="33">
        <f>AP82+AP84+AP86</f>
        <v/>
      </c>
      <c r="AQ88" s="33">
        <f>AQ82+AQ84+AQ86</f>
        <v/>
      </c>
      <c r="AR88" s="33">
        <f>AR82+AR84+AR86</f>
        <v/>
      </c>
      <c r="AS88" s="33">
        <f>AS82+AS84+AS86</f>
        <v/>
      </c>
      <c r="AT88" s="33">
        <f>AT82+AT84+AT86</f>
        <v/>
      </c>
      <c r="AU88" s="33">
        <f>AU82+AU84+AU86</f>
        <v/>
      </c>
      <c r="AV88" s="33">
        <f>AV82+AV84+AV86</f>
        <v/>
      </c>
      <c r="AW88" s="33">
        <f>AW82+AW84+AW86</f>
        <v/>
      </c>
      <c r="AX88" s="33">
        <f>AX82+AX84+AX86</f>
        <v/>
      </c>
      <c r="AY88" s="33">
        <f>AY82+AY84+AY86</f>
        <v/>
      </c>
      <c r="AZ88" s="33">
        <f>AZ82+AZ84+AZ86</f>
        <v/>
      </c>
      <c r="BA88" s="33">
        <f>BA82+BA84+BA86</f>
        <v/>
      </c>
      <c r="BB88" s="33">
        <f>BB82+BB84+BB86</f>
        <v/>
      </c>
      <c r="BC88" s="33">
        <f>BC82+BC84+BC86</f>
        <v/>
      </c>
      <c r="BD88" s="33">
        <f>BD82+BD84+BD86</f>
        <v/>
      </c>
      <c r="BE88" s="33">
        <f>BE82+BE84+BE86</f>
        <v/>
      </c>
      <c r="BF88" s="33">
        <f>BF82+BF84+BF86</f>
        <v/>
      </c>
      <c r="BG88" s="33">
        <f>BG82+BG84+BG86</f>
        <v/>
      </c>
      <c r="BH88" s="33">
        <f>BH82+BH84+BH86</f>
        <v/>
      </c>
      <c r="BI88" s="33">
        <f>BI82+BI84+BI86</f>
        <v/>
      </c>
      <c r="BJ88" s="33">
        <f>BJ82+BJ84+BJ86</f>
        <v/>
      </c>
      <c r="BK88" s="33">
        <f>BK82+BK84+BK86</f>
        <v/>
      </c>
      <c r="BL88" s="33">
        <f>BL82+BL84+BL86</f>
        <v/>
      </c>
      <c r="BM88" s="33">
        <f>BM82+BM84+BM86</f>
        <v/>
      </c>
      <c r="BN88" s="33">
        <f>BN82+BN84+BN86</f>
        <v/>
      </c>
      <c r="BO88" s="33">
        <f>BO82+BO84+BO86</f>
        <v/>
      </c>
      <c r="BP88" s="33">
        <f>BP82+BP84+BP86</f>
        <v/>
      </c>
      <c r="BQ88" s="33">
        <f>BQ82+BQ84+BQ86</f>
        <v/>
      </c>
      <c r="BR88" s="33">
        <f>BR82+BR84+BR86</f>
        <v/>
      </c>
      <c r="BY88" s="33">
        <f>SUM(C88:BR88)</f>
        <v/>
      </c>
    </row>
    <row r="89">
      <c r="B89" s="32" t="inlineStr">
        <is>
          <t>Produccion fuente</t>
        </is>
      </c>
      <c r="C89" s="33" t="n">
        <v>56219.12991135347</v>
      </c>
      <c r="D89" s="33" t="n">
        <v>24341.06050459498</v>
      </c>
      <c r="E89" s="33" t="n">
        <v>7347.134289230345</v>
      </c>
      <c r="F89" s="33" t="n">
        <v>30935.17724916345</v>
      </c>
      <c r="G89" s="33" t="n">
        <v>33648.81337723273</v>
      </c>
      <c r="H89" s="33" t="n">
        <v>8253.519636022756</v>
      </c>
      <c r="I89" s="33" t="n">
        <v>6228.367439217431</v>
      </c>
      <c r="J89" s="33" t="n">
        <v>29066.92805706271</v>
      </c>
      <c r="K89" s="33" t="n">
        <v>8977.170596883259</v>
      </c>
      <c r="L89" s="33" t="n">
        <v>56174.98870045832</v>
      </c>
      <c r="M89" s="33" t="n">
        <v>26394.51821077764</v>
      </c>
      <c r="N89" s="33" t="n">
        <v>1131.436431830647</v>
      </c>
      <c r="O89" s="33" t="n">
        <v>32488.85892801479</v>
      </c>
      <c r="P89" s="33" t="n">
        <v>9095.227363506849</v>
      </c>
      <c r="Q89" s="33" t="n">
        <v>6193.11952983344</v>
      </c>
      <c r="R89" s="33" t="n">
        <v>9047.040281141462</v>
      </c>
      <c r="S89" s="33" t="n">
        <v>40816.38248868591</v>
      </c>
      <c r="T89" s="33" t="n">
        <v>17495.89315985099</v>
      </c>
      <c r="U89" s="33" t="n">
        <v>212832.7701537994</v>
      </c>
      <c r="V89" s="33" t="n">
        <v>16013.54764747943</v>
      </c>
      <c r="W89" s="33" t="n">
        <v>277015.7323018668</v>
      </c>
      <c r="X89" s="33" t="n">
        <v>81127.45888790667</v>
      </c>
      <c r="Y89" s="33" t="n">
        <v>19938.38319988131</v>
      </c>
      <c r="Z89" s="33" t="n">
        <v>50180.31931032238</v>
      </c>
      <c r="AA89" s="33" t="n">
        <v>66280.28061576445</v>
      </c>
      <c r="AB89" s="33" t="n">
        <v>48031.85801412637</v>
      </c>
      <c r="AC89" s="33" t="n">
        <v>70735.63047785196</v>
      </c>
      <c r="AD89" s="33" t="n">
        <v>47983.09858294047</v>
      </c>
      <c r="AE89" s="33" t="n">
        <v>60268.47942571633</v>
      </c>
      <c r="AF89" s="33" t="n">
        <v>112940.4845786861</v>
      </c>
      <c r="AG89" s="33" t="n">
        <v>56561.22463711229</v>
      </c>
      <c r="AH89" s="33" t="n">
        <v>72551.65816418904</v>
      </c>
      <c r="AI89" s="33" t="n">
        <v>7881.320717183158</v>
      </c>
      <c r="AJ89" s="33" t="n">
        <v>94797.5847797513</v>
      </c>
      <c r="AK89" s="33" t="n">
        <v>21718.69488236439</v>
      </c>
      <c r="AL89" s="33" t="n">
        <v>43052.93073317369</v>
      </c>
      <c r="AM89" s="33" t="n">
        <v>12014.16589714609</v>
      </c>
      <c r="AN89" s="33" t="n">
        <v>71197.54961438813</v>
      </c>
      <c r="AO89" s="33" t="n">
        <v>3808.738271418829</v>
      </c>
      <c r="AP89" s="33" t="n">
        <v>7421.193572379331</v>
      </c>
      <c r="AQ89" s="33" t="n">
        <v>-38212.13548633193</v>
      </c>
      <c r="AR89" s="33" t="n">
        <v>-1123179.134414538</v>
      </c>
      <c r="AS89" s="33" t="n">
        <v>-87943.68875703523</v>
      </c>
      <c r="AT89" s="33" t="n">
        <v>6179.381044317505</v>
      </c>
      <c r="AU89" s="33" t="n">
        <v>3892.705831823763</v>
      </c>
      <c r="AV89" s="33" t="n">
        <v>12329.99491919318</v>
      </c>
      <c r="AW89" s="33" t="n">
        <v>8546.352886009401</v>
      </c>
      <c r="AX89" s="33" t="n">
        <v>6814.498186203671</v>
      </c>
      <c r="AY89" s="33" t="n">
        <v>8282.908871284966</v>
      </c>
      <c r="AZ89" s="33" t="n">
        <v>1936.057131657384</v>
      </c>
      <c r="BA89" s="33" t="n">
        <v>18124.41069995348</v>
      </c>
      <c r="BB89" s="33" t="n">
        <v>20534.41300713187</v>
      </c>
      <c r="BC89" s="33" t="n">
        <v>82318.78806878584</v>
      </c>
      <c r="BD89" s="33" t="n">
        <v>3254.207620591274</v>
      </c>
      <c r="BE89" s="33" t="n">
        <v>22849.83544572866</v>
      </c>
      <c r="BF89" s="33" t="n">
        <v>16810.96125777229</v>
      </c>
      <c r="BG89" s="33" t="n">
        <v>15851.86942309883</v>
      </c>
      <c r="BH89" s="33" t="n">
        <v>58868.89345901589</v>
      </c>
      <c r="BI89" s="33" t="n">
        <v>20304.53925620622</v>
      </c>
      <c r="BJ89" s="33" t="n">
        <v>1633.224706143371</v>
      </c>
      <c r="BK89" s="33" t="n">
        <v>6312.938904822313</v>
      </c>
      <c r="BL89" s="33" t="n">
        <v>51.74671758934461</v>
      </c>
      <c r="BM89" s="33" t="n">
        <v>270.299911153358</v>
      </c>
      <c r="BN89" s="33" t="n">
        <v>9.806218552172094</v>
      </c>
      <c r="BO89" s="33" t="n">
        <v>1106.105971626715</v>
      </c>
      <c r="BP89" s="33" t="n">
        <v>1392.788782878501</v>
      </c>
      <c r="BQ89" s="33" t="n">
        <v>167.6663047398385</v>
      </c>
      <c r="BR89" s="33" t="n">
        <v>0</v>
      </c>
      <c r="BY89" s="33">
        <f>SUM(C89:BR89)</f>
        <v/>
      </c>
    </row>
    <row r="90">
      <c r="B90" s="35" t="inlineStr">
        <is>
          <t>Check produccion total - fuente</t>
        </is>
      </c>
      <c r="C90" s="36">
        <f>C88-C89</f>
        <v/>
      </c>
      <c r="D90" s="36">
        <f>D88-D89</f>
        <v/>
      </c>
      <c r="E90" s="36">
        <f>E88-E89</f>
        <v/>
      </c>
      <c r="F90" s="36">
        <f>F88-F89</f>
        <v/>
      </c>
      <c r="G90" s="36">
        <f>G88-G89</f>
        <v/>
      </c>
      <c r="H90" s="36">
        <f>H88-H89</f>
        <v/>
      </c>
      <c r="I90" s="36">
        <f>I88-I89</f>
        <v/>
      </c>
      <c r="J90" s="36">
        <f>J88-J89</f>
        <v/>
      </c>
      <c r="K90" s="36">
        <f>K88-K89</f>
        <v/>
      </c>
      <c r="L90" s="36">
        <f>L88-L89</f>
        <v/>
      </c>
      <c r="M90" s="36">
        <f>M88-M89</f>
        <v/>
      </c>
      <c r="N90" s="36">
        <f>N88-N89</f>
        <v/>
      </c>
      <c r="O90" s="36">
        <f>O88-O89</f>
        <v/>
      </c>
      <c r="P90" s="36">
        <f>P88-P89</f>
        <v/>
      </c>
      <c r="Q90" s="36">
        <f>Q88-Q89</f>
        <v/>
      </c>
      <c r="R90" s="36">
        <f>R88-R89</f>
        <v/>
      </c>
      <c r="S90" s="36">
        <f>S88-S89</f>
        <v/>
      </c>
      <c r="T90" s="36">
        <f>T88-T89</f>
        <v/>
      </c>
      <c r="U90" s="36">
        <f>U88-U89</f>
        <v/>
      </c>
      <c r="V90" s="36">
        <f>V88-V89</f>
        <v/>
      </c>
      <c r="W90" s="36">
        <f>W88-W89</f>
        <v/>
      </c>
      <c r="X90" s="36">
        <f>X88-X89</f>
        <v/>
      </c>
      <c r="Y90" s="36">
        <f>Y88-Y89</f>
        <v/>
      </c>
      <c r="Z90" s="36">
        <f>Z88-Z89</f>
        <v/>
      </c>
      <c r="AA90" s="36">
        <f>AA88-AA89</f>
        <v/>
      </c>
      <c r="AB90" s="36">
        <f>AB88-AB89</f>
        <v/>
      </c>
      <c r="AC90" s="36">
        <f>AC88-AC89</f>
        <v/>
      </c>
      <c r="AD90" s="36">
        <f>AD88-AD89</f>
        <v/>
      </c>
      <c r="AE90" s="36">
        <f>AE88-AE89</f>
        <v/>
      </c>
      <c r="AF90" s="36">
        <f>AF88-AF89</f>
        <v/>
      </c>
      <c r="AG90" s="36">
        <f>AG88-AG89</f>
        <v/>
      </c>
      <c r="AH90" s="36">
        <f>AH88-AH89</f>
        <v/>
      </c>
      <c r="AI90" s="36">
        <f>AI88-AI89</f>
        <v/>
      </c>
      <c r="AJ90" s="36">
        <f>AJ88-AJ89</f>
        <v/>
      </c>
      <c r="AK90" s="36">
        <f>AK88-AK89</f>
        <v/>
      </c>
      <c r="AL90" s="36">
        <f>AL88-AL89</f>
        <v/>
      </c>
      <c r="AM90" s="36">
        <f>AM88-AM89</f>
        <v/>
      </c>
      <c r="AN90" s="36">
        <f>AN88-AN89</f>
        <v/>
      </c>
      <c r="AO90" s="36">
        <f>AO88-AO89</f>
        <v/>
      </c>
      <c r="AP90" s="36">
        <f>AP88-AP89</f>
        <v/>
      </c>
      <c r="AQ90" s="36">
        <f>AQ88-AQ89</f>
        <v/>
      </c>
      <c r="AR90" s="36">
        <f>AR88-AR89</f>
        <v/>
      </c>
      <c r="AS90" s="36">
        <f>AS88-AS89</f>
        <v/>
      </c>
      <c r="AT90" s="36">
        <f>AT88-AT89</f>
        <v/>
      </c>
      <c r="AU90" s="36">
        <f>AU88-AU89</f>
        <v/>
      </c>
      <c r="AV90" s="36">
        <f>AV88-AV89</f>
        <v/>
      </c>
      <c r="AW90" s="36">
        <f>AW88-AW89</f>
        <v/>
      </c>
      <c r="AX90" s="36">
        <f>AX88-AX89</f>
        <v/>
      </c>
      <c r="AY90" s="36">
        <f>AY88-AY89</f>
        <v/>
      </c>
      <c r="AZ90" s="36">
        <f>AZ88-AZ89</f>
        <v/>
      </c>
      <c r="BA90" s="36">
        <f>BA88-BA89</f>
        <v/>
      </c>
      <c r="BB90" s="36">
        <f>BB88-BB89</f>
        <v/>
      </c>
      <c r="BC90" s="36">
        <f>BC88-BC89</f>
        <v/>
      </c>
      <c r="BD90" s="36">
        <f>BD88-BD89</f>
        <v/>
      </c>
      <c r="BE90" s="36">
        <f>BE88-BE89</f>
        <v/>
      </c>
      <c r="BF90" s="36">
        <f>BF88-BF89</f>
        <v/>
      </c>
      <c r="BG90" s="36">
        <f>BG88-BG89</f>
        <v/>
      </c>
      <c r="BH90" s="36">
        <f>BH88-BH89</f>
        <v/>
      </c>
      <c r="BI90" s="36">
        <f>BI88-BI89</f>
        <v/>
      </c>
      <c r="BJ90" s="36">
        <f>BJ88-BJ89</f>
        <v/>
      </c>
      <c r="BK90" s="36">
        <f>BK88-BK89</f>
        <v/>
      </c>
      <c r="BL90" s="36">
        <f>BL88-BL89</f>
        <v/>
      </c>
      <c r="BM90" s="36">
        <f>BM88-BM89</f>
        <v/>
      </c>
      <c r="BN90" s="36">
        <f>BN88-BN89</f>
        <v/>
      </c>
      <c r="BO90" s="36">
        <f>BO88-BO89</f>
        <v/>
      </c>
      <c r="BP90" s="36">
        <f>BP88-BP89</f>
        <v/>
      </c>
      <c r="BQ90" s="36">
        <f>BQ88-BQ89</f>
        <v/>
      </c>
      <c r="BR90" s="36">
        <f>BR88-BR89</f>
        <v/>
      </c>
      <c r="BY90" s="36">
        <f>SUM(C90:BR90)</f>
        <v/>
      </c>
    </row>
    <row r="91"/>
    <row r="92">
      <c r="B92" s="28" t="inlineStr">
        <is>
          <t>Nota</t>
        </is>
      </c>
      <c r="C92" s="28" t="inlineStr">
        <is>
          <t>U_importada/ajuste transformado a industrias con D = V * diag(q)^-1.</t>
        </is>
      </c>
    </row>
  </sheetData>
  <mergeCells count="9">
    <mergeCell ref="BY10:BY12"/>
    <mergeCell ref="BX10:BX12"/>
    <mergeCell ref="A3:H4"/>
    <mergeCell ref="B10:B12"/>
    <mergeCell ref="A10:A12"/>
    <mergeCell ref="A1:H1"/>
    <mergeCell ref="C10:BR10"/>
    <mergeCell ref="BS10:BS12"/>
    <mergeCell ref="BT10:BW10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Y92"/>
  <sheetViews>
    <sheetView showGridLines="0" zoomScale="70" workbookViewId="0">
      <pane xSplit="2" ySplit="13" topLeftCell="C1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.7" customWidth="1" min="1" max="1"/>
    <col width="77.7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</cols>
  <sheetData>
    <row r="1" ht="44" customHeight="1"/>
    <row r="2"/>
    <row r="3" ht="16" customHeight="1">
      <c r="A3" s="20" t="inlineStr">
        <is>
          <t>Matriz insumo producto, actividad por actividad - Total auditable</t>
        </is>
      </c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20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20" t="n"/>
      <c r="AE3" s="20" t="n"/>
      <c r="AF3" s="20" t="n"/>
      <c r="AG3" s="20" t="n"/>
      <c r="AH3" s="20" t="n"/>
      <c r="AI3" s="20" t="n"/>
      <c r="AJ3" s="20" t="n"/>
      <c r="AK3" s="20" t="n"/>
      <c r="AL3" s="20" t="n"/>
      <c r="AM3" s="20" t="n"/>
      <c r="AN3" s="20" t="n"/>
      <c r="AO3" s="20" t="n"/>
      <c r="AP3" s="20" t="n"/>
      <c r="AQ3" s="20" t="n"/>
      <c r="AR3" s="20" t="n"/>
      <c r="AS3" s="20" t="n"/>
      <c r="AT3" s="20" t="n"/>
      <c r="AU3" s="20" t="n"/>
      <c r="AV3" s="20" t="n"/>
      <c r="AW3" s="20" t="n"/>
      <c r="AX3" s="20" t="n"/>
      <c r="AY3" s="20" t="n"/>
      <c r="AZ3" s="20" t="n"/>
      <c r="BA3" s="20" t="n"/>
      <c r="BB3" s="20" t="n"/>
      <c r="BC3" s="20" t="n"/>
      <c r="BD3" s="20" t="n"/>
      <c r="BE3" s="20" t="n"/>
      <c r="BF3" s="20" t="n"/>
      <c r="BG3" s="20" t="n"/>
      <c r="BH3" s="20" t="n"/>
      <c r="BI3" s="20" t="n"/>
      <c r="BJ3" s="20" t="n"/>
      <c r="BK3" s="20" t="n"/>
      <c r="BL3" s="20" t="n"/>
      <c r="BM3" s="20" t="n"/>
      <c r="BN3" s="20" t="n"/>
      <c r="BO3" s="20" t="n"/>
      <c r="BP3" s="20" t="n"/>
      <c r="BQ3" s="20" t="n"/>
      <c r="BR3" s="20" t="n"/>
      <c r="BS3" s="20" t="n"/>
      <c r="BT3" s="20" t="n"/>
      <c r="BU3" s="20" t="n"/>
      <c r="BV3" s="20" t="n"/>
      <c r="BW3" s="20" t="n"/>
      <c r="BX3" s="20" t="n"/>
      <c r="BY3" s="20" t="n"/>
    </row>
    <row r="4" ht="16" customHeight="1"/>
    <row r="5">
      <c r="A5" s="21" t="inlineStr">
        <is>
          <t>Valores a precios corrientes</t>
        </is>
      </c>
    </row>
    <row r="6" ht="16.5" customHeight="1">
      <c r="A6" s="21" t="inlineStr">
        <is>
          <t>Ano 2021</t>
        </is>
      </c>
      <c r="J6" s="22" t="inlineStr">
        <is>
          <t>Indice</t>
        </is>
      </c>
    </row>
    <row r="7">
      <c r="A7" s="21" t="inlineStr">
        <is>
          <t>Base / fuente original</t>
        </is>
      </c>
    </row>
    <row r="8">
      <c r="A8" s="21" t="inlineStr">
        <is>
          <t>Unidades monetarias de la fuente</t>
        </is>
      </c>
    </row>
    <row r="9"/>
    <row r="10" ht="16" customHeight="1">
      <c r="A10" s="23" t="inlineStr">
        <is>
          <t>Codigo</t>
        </is>
      </c>
      <c r="B10" s="23" t="inlineStr">
        <is>
          <t>Actividad economica</t>
        </is>
      </c>
      <c r="C10" s="23" t="inlineStr">
        <is>
          <t>Consumo intermedio por actividades economicas</t>
        </is>
      </c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  <c r="Q10" s="24" t="n"/>
      <c r="R10" s="24" t="n"/>
      <c r="S10" s="24" t="n"/>
      <c r="T10" s="24" t="n"/>
      <c r="U10" s="24" t="n"/>
      <c r="V10" s="24" t="n"/>
      <c r="W10" s="24" t="n"/>
      <c r="X10" s="24" t="n"/>
      <c r="Y10" s="24" t="n"/>
      <c r="Z10" s="24" t="n"/>
      <c r="AA10" s="24" t="n"/>
      <c r="AB10" s="24" t="n"/>
      <c r="AC10" s="24" t="n"/>
      <c r="AD10" s="24" t="n"/>
      <c r="AE10" s="24" t="n"/>
      <c r="AF10" s="24" t="n"/>
      <c r="AG10" s="24" t="n"/>
      <c r="AH10" s="24" t="n"/>
      <c r="AI10" s="24" t="n"/>
      <c r="AJ10" s="24" t="n"/>
      <c r="AK10" s="24" t="n"/>
      <c r="AL10" s="24" t="n"/>
      <c r="AM10" s="24" t="n"/>
      <c r="AN10" s="24" t="n"/>
      <c r="AO10" s="24" t="n"/>
      <c r="AP10" s="24" t="n"/>
      <c r="AQ10" s="24" t="n"/>
      <c r="AR10" s="24" t="n"/>
      <c r="AS10" s="24" t="n"/>
      <c r="AT10" s="24" t="n"/>
      <c r="AU10" s="24" t="n"/>
      <c r="AV10" s="24" t="n"/>
      <c r="AW10" s="24" t="n"/>
      <c r="AX10" s="24" t="n"/>
      <c r="AY10" s="24" t="n"/>
      <c r="AZ10" s="24" t="n"/>
      <c r="BA10" s="24" t="n"/>
      <c r="BB10" s="24" t="n"/>
      <c r="BC10" s="24" t="n"/>
      <c r="BD10" s="24" t="n"/>
      <c r="BE10" s="24" t="n"/>
      <c r="BF10" s="24" t="n"/>
      <c r="BG10" s="24" t="n"/>
      <c r="BH10" s="24" t="n"/>
      <c r="BI10" s="24" t="n"/>
      <c r="BJ10" s="24" t="n"/>
      <c r="BK10" s="24" t="n"/>
      <c r="BL10" s="24" t="n"/>
      <c r="BM10" s="24" t="n"/>
      <c r="BN10" s="24" t="n"/>
      <c r="BO10" s="24" t="n"/>
      <c r="BP10" s="24" t="n"/>
      <c r="BQ10" s="24" t="n"/>
      <c r="BR10" s="24" t="n"/>
      <c r="BS10" s="23" t="inlineStr">
        <is>
          <t>Total consumo intermedio</t>
        </is>
      </c>
      <c r="BT10" s="23" t="inlineStr">
        <is>
          <t>Demanda final</t>
        </is>
      </c>
      <c r="BU10" s="24" t="n"/>
      <c r="BV10" s="24" t="n"/>
      <c r="BW10" s="24" t="n"/>
      <c r="BX10" s="23" t="inlineStr">
        <is>
          <t>Total demanda final</t>
        </is>
      </c>
      <c r="BY10" s="23" t="inlineStr">
        <is>
          <t>Total</t>
        </is>
      </c>
    </row>
    <row r="11" ht="15" customHeight="1">
      <c r="C11" s="25" t="inlineStr">
        <is>
          <t>0191</t>
        </is>
      </c>
      <c r="D11" s="25" t="inlineStr">
        <is>
          <t>0192</t>
        </is>
      </c>
      <c r="E11" s="25" t="inlineStr">
        <is>
          <t>0280</t>
        </is>
      </c>
      <c r="F11" s="25" t="inlineStr">
        <is>
          <t>0580</t>
        </is>
      </c>
      <c r="G11" s="25" t="inlineStr">
        <is>
          <t>0680</t>
        </is>
      </c>
      <c r="H11" s="25" t="inlineStr">
        <is>
          <t>0791</t>
        </is>
      </c>
      <c r="I11" s="25" t="inlineStr">
        <is>
          <t>0792</t>
        </is>
      </c>
      <c r="J11" s="25" t="inlineStr">
        <is>
          <t>1091</t>
        </is>
      </c>
      <c r="K11" s="25" t="inlineStr">
        <is>
          <t>1092</t>
        </is>
      </c>
      <c r="L11" s="25" t="inlineStr">
        <is>
          <t>1093</t>
        </is>
      </c>
      <c r="M11" s="25" t="inlineStr">
        <is>
          <t>1100</t>
        </is>
      </c>
      <c r="N11" s="25" t="inlineStr">
        <is>
          <t>1200</t>
        </is>
      </c>
      <c r="O11" s="25" t="inlineStr">
        <is>
          <t>1300</t>
        </is>
      </c>
      <c r="P11" s="25" t="inlineStr">
        <is>
          <t>1400</t>
        </is>
      </c>
      <c r="Q11" s="25" t="inlineStr">
        <is>
          <t>1500</t>
        </is>
      </c>
      <c r="R11" s="25" t="inlineStr">
        <is>
          <t>1600</t>
        </is>
      </c>
      <c r="S11" s="25" t="inlineStr">
        <is>
          <t>1700</t>
        </is>
      </c>
      <c r="T11" s="25" t="inlineStr">
        <is>
          <t>1800</t>
        </is>
      </c>
      <c r="U11" s="25" t="inlineStr">
        <is>
          <t>1991</t>
        </is>
      </c>
      <c r="V11" s="25" t="inlineStr">
        <is>
          <t>1992</t>
        </is>
      </c>
      <c r="W11" s="25" t="inlineStr">
        <is>
          <t>2091</t>
        </is>
      </c>
      <c r="X11" s="25" t="inlineStr">
        <is>
          <t>2092</t>
        </is>
      </c>
      <c r="Y11" s="25" t="inlineStr">
        <is>
          <t>2093</t>
        </is>
      </c>
      <c r="Z11" s="25" t="inlineStr">
        <is>
          <t>2100</t>
        </is>
      </c>
      <c r="AA11" s="25" t="inlineStr">
        <is>
          <t>2200</t>
        </is>
      </c>
      <c r="AB11" s="25" t="inlineStr">
        <is>
          <t>2300</t>
        </is>
      </c>
      <c r="AC11" s="25" t="inlineStr">
        <is>
          <t>2491</t>
        </is>
      </c>
      <c r="AD11" s="25" t="inlineStr">
        <is>
          <t>2492</t>
        </is>
      </c>
      <c r="AE11" s="25" t="inlineStr">
        <is>
          <t>2500</t>
        </is>
      </c>
      <c r="AF11" s="25" t="inlineStr">
        <is>
          <t>2600</t>
        </is>
      </c>
      <c r="AG11" s="25" t="inlineStr">
        <is>
          <t>2700</t>
        </is>
      </c>
      <c r="AH11" s="25" t="inlineStr">
        <is>
          <t>2800</t>
        </is>
      </c>
      <c r="AI11" s="25" t="inlineStr">
        <is>
          <t>2991</t>
        </is>
      </c>
      <c r="AJ11" s="25" t="inlineStr">
        <is>
          <t>2992</t>
        </is>
      </c>
      <c r="AK11" s="25" t="inlineStr">
        <is>
          <t>3000</t>
        </is>
      </c>
      <c r="AL11" s="25" t="inlineStr">
        <is>
          <t>3180</t>
        </is>
      </c>
      <c r="AM11" s="25" t="inlineStr">
        <is>
          <t>3300</t>
        </is>
      </c>
      <c r="AN11" s="25" t="inlineStr">
        <is>
          <t>3500</t>
        </is>
      </c>
      <c r="AO11" s="25" t="inlineStr">
        <is>
          <t>3680</t>
        </is>
      </c>
      <c r="AP11" s="25" t="inlineStr">
        <is>
          <t>4180</t>
        </is>
      </c>
      <c r="AQ11" s="25" t="inlineStr">
        <is>
          <t>4500</t>
        </is>
      </c>
      <c r="AR11" s="25" t="inlineStr">
        <is>
          <t>4680</t>
        </is>
      </c>
      <c r="AS11" s="25" t="inlineStr">
        <is>
          <t>4900</t>
        </is>
      </c>
      <c r="AT11" s="25" t="inlineStr">
        <is>
          <t>5000</t>
        </is>
      </c>
      <c r="AU11" s="25" t="inlineStr">
        <is>
          <t>5100</t>
        </is>
      </c>
      <c r="AV11" s="25" t="inlineStr">
        <is>
          <t>5280</t>
        </is>
      </c>
      <c r="AW11" s="25" t="inlineStr">
        <is>
          <t>5500</t>
        </is>
      </c>
      <c r="AX11" s="25" t="inlineStr">
        <is>
          <t>5600</t>
        </is>
      </c>
      <c r="AY11" s="25" t="inlineStr">
        <is>
          <t>5800</t>
        </is>
      </c>
      <c r="AZ11" s="25" t="inlineStr">
        <is>
          <t>5980</t>
        </is>
      </c>
      <c r="BA11" s="25" t="inlineStr">
        <is>
          <t>6100</t>
        </is>
      </c>
      <c r="BB11" s="25" t="inlineStr">
        <is>
          <t>6280</t>
        </is>
      </c>
      <c r="BC11" s="25" t="inlineStr">
        <is>
          <t>6480</t>
        </is>
      </c>
      <c r="BD11" s="25" t="inlineStr">
        <is>
          <t>6800</t>
        </is>
      </c>
      <c r="BE11" s="25" t="inlineStr">
        <is>
          <t>6980</t>
        </is>
      </c>
      <c r="BF11" s="25" t="inlineStr">
        <is>
          <t>7180</t>
        </is>
      </c>
      <c r="BG11" s="25" t="inlineStr">
        <is>
          <t>7380</t>
        </is>
      </c>
      <c r="BH11" s="25" t="inlineStr">
        <is>
          <t>7700</t>
        </is>
      </c>
      <c r="BI11" s="25" t="inlineStr">
        <is>
          <t>7880</t>
        </is>
      </c>
      <c r="BJ11" s="25" t="inlineStr">
        <is>
          <t>8000</t>
        </is>
      </c>
      <c r="BK11" s="25" t="inlineStr">
        <is>
          <t>8400</t>
        </is>
      </c>
      <c r="BL11" s="25" t="inlineStr">
        <is>
          <t>8591</t>
        </is>
      </c>
      <c r="BM11" s="25" t="inlineStr">
        <is>
          <t>8592</t>
        </is>
      </c>
      <c r="BN11" s="25" t="inlineStr">
        <is>
          <t>8691</t>
        </is>
      </c>
      <c r="BO11" s="25" t="inlineStr">
        <is>
          <t>8692</t>
        </is>
      </c>
      <c r="BP11" s="25" t="inlineStr">
        <is>
          <t>9080</t>
        </is>
      </c>
      <c r="BQ11" s="25" t="inlineStr">
        <is>
          <t>9480</t>
        </is>
      </c>
      <c r="BR11" s="25" t="inlineStr">
        <is>
          <t>9700</t>
        </is>
      </c>
      <c r="BT11" s="25" t="inlineStr"/>
      <c r="BU11" s="25" t="inlineStr"/>
      <c r="BV11" s="25" t="inlineStr"/>
      <c r="BW11" s="25" t="inlineStr"/>
    </row>
    <row r="12" ht="90" customHeight="1">
      <c r="A12" s="26" t="n"/>
      <c r="B12" s="26" t="n"/>
      <c r="C12" s="27" t="inlineStr">
        <is>
          <t>Agricultura, inclusive o apoio à agricultura e a pós-colheita</t>
        </is>
      </c>
      <c r="D12" s="27" t="inlineStr">
        <is>
          <t>Pecuária, inclusive o apoio à pecuária</t>
        </is>
      </c>
      <c r="E12" s="27" t="inlineStr">
        <is>
          <t>Produção florestal; pesca e aquicultura</t>
        </is>
      </c>
      <c r="F12" s="27" t="inlineStr">
        <is>
          <t>Extração de carvão mineral e de minerais não-metálicos</t>
        </is>
      </c>
      <c r="G12" s="27" t="inlineStr">
        <is>
          <t>Extração de petróleo e gás, inclusive as atividades de apoio</t>
        </is>
      </c>
      <c r="H12" s="27" t="inlineStr">
        <is>
          <t>Extração de minério de ferro, inclusive beneficiamentos e a aglomeração</t>
        </is>
      </c>
      <c r="I12" s="27" t="inlineStr">
        <is>
          <t>Extração de minerais metálicos não-ferrosos, inclusive beneficiamentos</t>
        </is>
      </c>
      <c r="J12" s="27" t="inlineStr">
        <is>
          <t>Abate e produtos de carne, inclusive os produtos do laticínio e da pesca</t>
        </is>
      </c>
      <c r="K12" s="27" t="inlineStr">
        <is>
          <t>Fabricação e refino de açúcar</t>
        </is>
      </c>
      <c r="L12" s="27" t="inlineStr">
        <is>
          <t>Outros produtos alimentares</t>
        </is>
      </c>
      <c r="M12" s="27" t="inlineStr">
        <is>
          <t>Fabricação de bebidas</t>
        </is>
      </c>
      <c r="N12" s="27" t="inlineStr">
        <is>
          <t>Fabricação de produtos do fumo</t>
        </is>
      </c>
      <c r="O12" s="27" t="inlineStr">
        <is>
          <t>Fabricação de produtos têxteis</t>
        </is>
      </c>
      <c r="P12" s="27" t="inlineStr">
        <is>
          <t>Confecção de artefatos do vestuário e acessórios</t>
        </is>
      </c>
      <c r="Q12" s="27" t="inlineStr">
        <is>
          <t>Fabricação de calçados e de artefatos de couro</t>
        </is>
      </c>
      <c r="R12" s="27" t="inlineStr">
        <is>
          <t>Fabricação de produtos da madeira</t>
        </is>
      </c>
      <c r="S12" s="27" t="inlineStr">
        <is>
          <t>Fabricação de celulose, papel e produtos de papel</t>
        </is>
      </c>
      <c r="T12" s="27" t="inlineStr">
        <is>
          <t>Impressão e reprodução de gravações</t>
        </is>
      </c>
      <c r="U12" s="27" t="inlineStr">
        <is>
          <t>Refino de petróleo e coquerias</t>
        </is>
      </c>
      <c r="V12" s="27" t="inlineStr">
        <is>
          <t>Fabricação de biocombustíveis</t>
        </is>
      </c>
      <c r="W12" s="27" t="inlineStr">
        <is>
          <t>Fabricação de químicos orgânicos e inorgânicos, resinas e elastômeros</t>
        </is>
      </c>
      <c r="X12" s="27" t="inlineStr">
        <is>
          <t>Fabricação de defensivos, desinfestantes, tintas e químicos diversos</t>
        </is>
      </c>
      <c r="Y12" s="27" t="inlineStr">
        <is>
          <t>Fabricação de produtos de limpeza, cosméticos/perfumaria e higiene pessoal</t>
        </is>
      </c>
      <c r="Z12" s="27" t="inlineStr">
        <is>
          <t>Fabricação de produtos farmoquímicos e farmacêuticos</t>
        </is>
      </c>
      <c r="AA12" s="27" t="inlineStr">
        <is>
          <t>Fabricação de produtos de borracha e de material plástico</t>
        </is>
      </c>
      <c r="AB12" s="27" t="inlineStr">
        <is>
          <t>Fabricação de produtos de minerais não-metálicos</t>
        </is>
      </c>
      <c r="AC12" s="27" t="inlineStr">
        <is>
          <t>Produção de ferro-gusa/ferroligas, siderurgia e tubos de aço sem costura</t>
        </is>
      </c>
      <c r="AD12" s="27" t="inlineStr">
        <is>
          <t>Metalurgia de metais não-ferrosos e a fundição de metais</t>
        </is>
      </c>
      <c r="AE12" s="27" t="inlineStr">
        <is>
          <t>Fabricação de produtos de metal, exceto máquinas e equipamentos</t>
        </is>
      </c>
      <c r="AF12" s="27" t="inlineStr">
        <is>
          <t>Fabricação de equipamentos de informática, produtos eletrônicos e ópticos</t>
        </is>
      </c>
      <c r="AG12" s="27" t="inlineStr">
        <is>
          <t>Fabricação de máquinas e equipamentos elétricos</t>
        </is>
      </c>
      <c r="AH12" s="27" t="inlineStr">
        <is>
          <t>Fabricação de máquinas e equipamentos mecânicos</t>
        </is>
      </c>
      <c r="AI12" s="27" t="inlineStr">
        <is>
          <t>Fabricação de automóveis, caminhões e ônibus, exceto peças</t>
        </is>
      </c>
      <c r="AJ12" s="27" t="inlineStr">
        <is>
          <t>Fabricação de peças e acessórios para veículos automotores</t>
        </is>
      </c>
      <c r="AK12" s="27" t="inlineStr">
        <is>
          <t>Fabricação de outros equipamentos de transporte, exceto veículos automotores</t>
        </is>
      </c>
      <c r="AL12" s="27" t="inlineStr">
        <is>
          <t>Fabricação de móveis e de produtos de indústrias diversas</t>
        </is>
      </c>
      <c r="AM12" s="27" t="inlineStr">
        <is>
          <t>Manutenção, reparação e instalação de máquinas e equipamentos</t>
        </is>
      </c>
      <c r="AN12" s="27" t="inlineStr">
        <is>
          <t>Energia elétrica, gás natural e outras utilidades</t>
        </is>
      </c>
      <c r="AO12" s="27" t="inlineStr">
        <is>
          <t>Água, esgoto e gestão de resíduos</t>
        </is>
      </c>
      <c r="AP12" s="27" t="inlineStr">
        <is>
          <t>Construção</t>
        </is>
      </c>
      <c r="AQ12" s="27" t="inlineStr">
        <is>
          <t>Comércio e reparação de veículos automotores e motocicletas</t>
        </is>
      </c>
      <c r="AR12" s="27" t="inlineStr">
        <is>
          <t>Comércio por atacado e a varejo, exceto veículos automotores</t>
        </is>
      </c>
      <c r="AS12" s="27" t="inlineStr">
        <is>
          <t>Transporte terrestre</t>
        </is>
      </c>
      <c r="AT12" s="27" t="inlineStr">
        <is>
          <t>Transporte aquaviário</t>
        </is>
      </c>
      <c r="AU12" s="27" t="inlineStr">
        <is>
          <t>Transporte aéreo</t>
        </is>
      </c>
      <c r="AV12" s="27" t="inlineStr">
        <is>
          <t>Armazenamento, atividades auxiliares dos transportes e correio</t>
        </is>
      </c>
      <c r="AW12" s="27" t="inlineStr">
        <is>
          <t>Alojamento</t>
        </is>
      </c>
      <c r="AX12" s="27" t="inlineStr">
        <is>
          <t>Alimentação</t>
        </is>
      </c>
      <c r="AY12" s="27" t="inlineStr">
        <is>
          <t>Edição e edição integrada à impressão</t>
        </is>
      </c>
      <c r="AZ12" s="27" t="inlineStr">
        <is>
          <t>Atividades de televisão, rádio, cinema e  gravação/edição de som e imagem</t>
        </is>
      </c>
      <c r="BA12" s="27" t="inlineStr">
        <is>
          <t>Telecomunicações</t>
        </is>
      </c>
      <c r="BB12" s="27" t="inlineStr">
        <is>
          <t>Desenvolvimento de sistemas e outros serviços de informação</t>
        </is>
      </c>
      <c r="BC12" s="27" t="inlineStr">
        <is>
          <t>Intermediação financeira, seguros e previdência complementar</t>
        </is>
      </c>
      <c r="BD12" s="27" t="inlineStr">
        <is>
          <t>Atividades imobiliárias</t>
        </is>
      </c>
      <c r="BE12" s="27" t="inlineStr">
        <is>
          <t>Atividades jurídicas, contábeis, consultoria e sedes de empresas</t>
        </is>
      </c>
      <c r="BF12" s="27" t="inlineStr">
        <is>
          <t>Serviços de arquitetura, engenharia, testes/análises técnicas e P &amp; D</t>
        </is>
      </c>
      <c r="BG12" s="27" t="inlineStr">
        <is>
          <t>Outras atividades profissionais, científicas e técnicas</t>
        </is>
      </c>
      <c r="BH12" s="27" t="inlineStr">
        <is>
          <t>Aluguéis não-imobiliários e gestão de ativos de propriedade intelectual</t>
        </is>
      </c>
      <c r="BI12" s="27" t="inlineStr">
        <is>
          <t>Outras atividades administrativas e serviços complementares</t>
        </is>
      </c>
      <c r="BJ12" s="27" t="inlineStr">
        <is>
          <t>Atividades de vigilância, segurança e investigação</t>
        </is>
      </c>
      <c r="BK12" s="27" t="inlineStr">
        <is>
          <t>Administração pública, defesa e seguridade social</t>
        </is>
      </c>
      <c r="BL12" s="27" t="inlineStr">
        <is>
          <t>Educação pública</t>
        </is>
      </c>
      <c r="BM12" s="27" t="inlineStr">
        <is>
          <t>Educação privada</t>
        </is>
      </c>
      <c r="BN12" s="27" t="inlineStr">
        <is>
          <t>Saúde pública</t>
        </is>
      </c>
      <c r="BO12" s="27" t="inlineStr">
        <is>
          <t>Saúde privada</t>
        </is>
      </c>
      <c r="BP12" s="27" t="inlineStr">
        <is>
          <t>Atividades artísticas, criativas e de espetáculos</t>
        </is>
      </c>
      <c r="BQ12" s="27" t="inlineStr">
        <is>
          <t>Organizações associativas e outros serviços pessoais</t>
        </is>
      </c>
      <c r="BR12" s="27" t="inlineStr">
        <is>
          <t>Serviços domésticos</t>
        </is>
      </c>
      <c r="BS12" s="26" t="n"/>
      <c r="BT12" s="27" t="inlineStr">
        <is>
          <t>Gasto de consumo final</t>
        </is>
      </c>
      <c r="BU12" s="27" t="inlineStr">
        <is>
          <t>Formacion bruta de capital</t>
        </is>
      </c>
      <c r="BV12" s="27" t="inlineStr">
        <is>
          <t>Exportaciones netas</t>
        </is>
      </c>
      <c r="BW12" s="27" t="inlineStr">
        <is>
          <t>Sin desglose fuente</t>
        </is>
      </c>
      <c r="BX12" s="26" t="n"/>
      <c r="BY12" s="26" t="n"/>
    </row>
    <row r="13"/>
    <row r="14">
      <c r="A14" s="28" t="inlineStr">
        <is>
          <t>0191</t>
        </is>
      </c>
      <c r="B14" s="28" t="inlineStr">
        <is>
          <t>Agricultura, inclusive o apoio à agricultura e a pós-colheita</t>
        </is>
      </c>
      <c r="C14" s="29" t="n">
        <v>21763.3140856282</v>
      </c>
      <c r="D14" s="29" t="n">
        <v>17112.89898571938</v>
      </c>
      <c r="E14" s="29" t="n">
        <v>326.4066166999794</v>
      </c>
      <c r="F14" s="29" t="n">
        <v>3.162034748898408</v>
      </c>
      <c r="G14" s="29" t="n">
        <v>11.24714549028811</v>
      </c>
      <c r="H14" s="29" t="n">
        <v>19.10911492509987</v>
      </c>
      <c r="I14" s="29" t="n">
        <v>2.682392984852655</v>
      </c>
      <c r="J14" s="29" t="n">
        <v>15863.44696389752</v>
      </c>
      <c r="K14" s="29" t="n">
        <v>42790.23126321431</v>
      </c>
      <c r="L14" s="29" t="n">
        <v>193303.6779519815</v>
      </c>
      <c r="M14" s="29" t="n">
        <v>4429.664441901896</v>
      </c>
      <c r="N14" s="29" t="n">
        <v>7692.60952728827</v>
      </c>
      <c r="O14" s="29" t="n">
        <v>14497.27001886158</v>
      </c>
      <c r="P14" s="29" t="n">
        <v>1296.672917679231</v>
      </c>
      <c r="Q14" s="29" t="n">
        <v>11.63864856057663</v>
      </c>
      <c r="R14" s="29" t="n">
        <v>163.4878941948046</v>
      </c>
      <c r="S14" s="29" t="n">
        <v>313.1402435477798</v>
      </c>
      <c r="T14" s="29" t="n">
        <v>0.3096266347662575</v>
      </c>
      <c r="U14" s="29" t="n">
        <v>19.68826414023123</v>
      </c>
      <c r="V14" s="29" t="n">
        <v>39735.05264623696</v>
      </c>
      <c r="W14" s="29" t="n">
        <v>34.00736386958392</v>
      </c>
      <c r="X14" s="29" t="n">
        <v>30.31962151415317</v>
      </c>
      <c r="Y14" s="29" t="n">
        <v>5.572095599458066</v>
      </c>
      <c r="Z14" s="29" t="n">
        <v>40.86560986346952</v>
      </c>
      <c r="AA14" s="29" t="n">
        <v>60.1606679979569</v>
      </c>
      <c r="AB14" s="29" t="n">
        <v>31.53455385533534</v>
      </c>
      <c r="AC14" s="29" t="n">
        <v>67.25387931592589</v>
      </c>
      <c r="AD14" s="29" t="n">
        <v>41.28878035107094</v>
      </c>
      <c r="AE14" s="29" t="n">
        <v>7.940426481723927</v>
      </c>
      <c r="AF14" s="29" t="n">
        <v>0.5134057788189955</v>
      </c>
      <c r="AG14" s="29" t="n">
        <v>0.6443122022282721</v>
      </c>
      <c r="AH14" s="29" t="n">
        <v>1.751073724775881</v>
      </c>
      <c r="AI14" s="29" t="n">
        <v>0.8689538635663895</v>
      </c>
      <c r="AJ14" s="29" t="n">
        <v>0.717550761970264</v>
      </c>
      <c r="AK14" s="29" t="n">
        <v>0.7042074376230912</v>
      </c>
      <c r="AL14" s="29" t="n">
        <v>24.76520734884823</v>
      </c>
      <c r="AM14" s="29" t="n">
        <v>0.1654595806865148</v>
      </c>
      <c r="AN14" s="29" t="n">
        <v>1.131060014816458</v>
      </c>
      <c r="AO14" s="29" t="n">
        <v>88.14856174760953</v>
      </c>
      <c r="AP14" s="29" t="n">
        <v>489.7052359632474</v>
      </c>
      <c r="AQ14" s="29" t="n">
        <v>6.156747923364033</v>
      </c>
      <c r="AR14" s="29" t="n">
        <v>24329.31459793738</v>
      </c>
      <c r="AS14" s="29" t="n">
        <v>2.476585909198181</v>
      </c>
      <c r="AT14" s="29" t="n">
        <v>0.1177157672683438</v>
      </c>
      <c r="AU14" s="29" t="n">
        <v>0.4407339442648602</v>
      </c>
      <c r="AV14" s="29" t="n">
        <v>20.61799660072321</v>
      </c>
      <c r="AW14" s="29" t="n">
        <v>559.2055179254965</v>
      </c>
      <c r="AX14" s="29" t="n">
        <v>7788.830888575011</v>
      </c>
      <c r="AY14" s="29" t="n">
        <v>0.2522444972412288</v>
      </c>
      <c r="AZ14" s="29" t="n">
        <v>1.102258050166003</v>
      </c>
      <c r="BA14" s="29" t="n">
        <v>47.08922446553844</v>
      </c>
      <c r="BB14" s="29" t="n">
        <v>6.237766953638035</v>
      </c>
      <c r="BC14" s="29" t="n">
        <v>17.58758705675237</v>
      </c>
      <c r="BD14" s="29" t="n">
        <v>20.80282116752593</v>
      </c>
      <c r="BE14" s="29" t="n">
        <v>15.62776133741374</v>
      </c>
      <c r="BF14" s="29" t="n">
        <v>17.62315477584385</v>
      </c>
      <c r="BG14" s="29" t="n">
        <v>2.53347464868781</v>
      </c>
      <c r="BH14" s="29" t="n">
        <v>1.876279214837116</v>
      </c>
      <c r="BI14" s="29" t="n">
        <v>257.1969004684816</v>
      </c>
      <c r="BJ14" s="29" t="n">
        <v>0.5408856822417614</v>
      </c>
      <c r="BK14" s="29" t="n">
        <v>1826.33578366194</v>
      </c>
      <c r="BL14" s="29" t="n">
        <v>643.7185923754687</v>
      </c>
      <c r="BM14" s="29" t="n">
        <v>114.5975512338519</v>
      </c>
      <c r="BN14" s="29" t="n">
        <v>832.1359149965097</v>
      </c>
      <c r="BO14" s="29" t="n">
        <v>349.2237314762556</v>
      </c>
      <c r="BP14" s="29" t="n">
        <v>5.896949908302629</v>
      </c>
      <c r="BQ14" s="29" t="n">
        <v>610.5941571921524</v>
      </c>
      <c r="BR14" s="29" t="n">
        <v>0</v>
      </c>
      <c r="BS14" s="29">
        <f>SUM(C14:BR14)</f>
        <v/>
      </c>
      <c r="BT14" s="29" t="n">
        <v>0</v>
      </c>
      <c r="BU14" s="29" t="n">
        <v>0</v>
      </c>
      <c r="BV14" s="29" t="n">
        <v>427617.2272759989</v>
      </c>
      <c r="BW14" s="29" t="n">
        <v>0</v>
      </c>
      <c r="BX14" s="29">
        <f>SUM(BT14:BW14)</f>
        <v/>
      </c>
      <c r="BY14" s="29">
        <f>BS14+BX14</f>
        <v/>
      </c>
    </row>
    <row r="15">
      <c r="A15" s="30" t="inlineStr">
        <is>
          <t>0192</t>
        </is>
      </c>
      <c r="B15" s="30" t="inlineStr">
        <is>
          <t>Pecuária, inclusive o apoio à pecuária</t>
        </is>
      </c>
      <c r="C15" s="31" t="n">
        <v>2360.70923171101</v>
      </c>
      <c r="D15" s="31" t="n">
        <v>13282.04292386386</v>
      </c>
      <c r="E15" s="31" t="n">
        <v>438.8001133443109</v>
      </c>
      <c r="F15" s="31" t="n">
        <v>7.884324570517951</v>
      </c>
      <c r="G15" s="31" t="n">
        <v>29.24995020201692</v>
      </c>
      <c r="H15" s="31" t="n">
        <v>34.47930292301013</v>
      </c>
      <c r="I15" s="31" t="n">
        <v>4.919331181260196</v>
      </c>
      <c r="J15" s="31" t="n">
        <v>176538.7562313141</v>
      </c>
      <c r="K15" s="31" t="n">
        <v>242.2526906986706</v>
      </c>
      <c r="L15" s="31" t="n">
        <v>10363.85587733154</v>
      </c>
      <c r="M15" s="31" t="n">
        <v>131.9123306834904</v>
      </c>
      <c r="N15" s="31" t="n">
        <v>362.1240154585784</v>
      </c>
      <c r="O15" s="31" t="n">
        <v>726.0068582050426</v>
      </c>
      <c r="P15" s="31" t="n">
        <v>605.0334597343119</v>
      </c>
      <c r="Q15" s="31" t="n">
        <v>11.34602351484019</v>
      </c>
      <c r="R15" s="31" t="n">
        <v>327.1412535793946</v>
      </c>
      <c r="S15" s="31" t="n">
        <v>545.8943768202016</v>
      </c>
      <c r="T15" s="31" t="n">
        <v>0.5355486001952899</v>
      </c>
      <c r="U15" s="31" t="n">
        <v>1.389318447318307</v>
      </c>
      <c r="V15" s="31" t="n">
        <v>474.3230841523099</v>
      </c>
      <c r="W15" s="31" t="n">
        <v>119.1156231482442</v>
      </c>
      <c r="X15" s="31" t="n">
        <v>14.73736201653339</v>
      </c>
      <c r="Y15" s="31" t="n">
        <v>15.02563327874791</v>
      </c>
      <c r="Z15" s="31" t="n">
        <v>20.13707015348851</v>
      </c>
      <c r="AA15" s="31" t="n">
        <v>95.45787662738896</v>
      </c>
      <c r="AB15" s="31" t="n">
        <v>148.0323596586109</v>
      </c>
      <c r="AC15" s="31" t="n">
        <v>144.7325476945685</v>
      </c>
      <c r="AD15" s="31" t="n">
        <v>80.79290091608975</v>
      </c>
      <c r="AE15" s="31" t="n">
        <v>6.529793585007313</v>
      </c>
      <c r="AF15" s="31" t="n">
        <v>1.135270428936134</v>
      </c>
      <c r="AG15" s="31" t="n">
        <v>2.07745615899442</v>
      </c>
      <c r="AH15" s="31" t="n">
        <v>3.627109575759848</v>
      </c>
      <c r="AI15" s="31" t="n">
        <v>1.680393745081757</v>
      </c>
      <c r="AJ15" s="31" t="n">
        <v>1.682695279960147</v>
      </c>
      <c r="AK15" s="31" t="n">
        <v>1.096017251120649</v>
      </c>
      <c r="AL15" s="31" t="n">
        <v>14.65016011497408</v>
      </c>
      <c r="AM15" s="31" t="n">
        <v>0.4269974141445867</v>
      </c>
      <c r="AN15" s="31" t="n">
        <v>1.668550625961815</v>
      </c>
      <c r="AO15" s="31" t="n">
        <v>15.04929799299347</v>
      </c>
      <c r="AP15" s="31" t="n">
        <v>986.2823555336709</v>
      </c>
      <c r="AQ15" s="31" t="n">
        <v>6.688759948451995</v>
      </c>
      <c r="AR15" s="31" t="n">
        <v>873.1460392081716</v>
      </c>
      <c r="AS15" s="31" t="n">
        <v>2.541043227777584</v>
      </c>
      <c r="AT15" s="31" t="n">
        <v>0.1046471447524479</v>
      </c>
      <c r="AU15" s="31" t="n">
        <v>0.4908439581807502</v>
      </c>
      <c r="AV15" s="31" t="n">
        <v>34.4631983435722</v>
      </c>
      <c r="AW15" s="31" t="n">
        <v>578.0552896765893</v>
      </c>
      <c r="AX15" s="31" t="n">
        <v>3181.628292904843</v>
      </c>
      <c r="AY15" s="31" t="n">
        <v>0.4447533338380344</v>
      </c>
      <c r="AZ15" s="31" t="n">
        <v>1.8170500473178</v>
      </c>
      <c r="BA15" s="31" t="n">
        <v>84.10843645111922</v>
      </c>
      <c r="BB15" s="31" t="n">
        <v>10.85456528188741</v>
      </c>
      <c r="BC15" s="31" t="n">
        <v>27.87087973819118</v>
      </c>
      <c r="BD15" s="31" t="n">
        <v>38.83934039794278</v>
      </c>
      <c r="BE15" s="31" t="n">
        <v>11.80310857065573</v>
      </c>
      <c r="BF15" s="31" t="n">
        <v>22.81453625906203</v>
      </c>
      <c r="BG15" s="31" t="n">
        <v>12.72687771633804</v>
      </c>
      <c r="BH15" s="31" t="n">
        <v>2.53151868915967</v>
      </c>
      <c r="BI15" s="31" t="n">
        <v>44.24210976958469</v>
      </c>
      <c r="BJ15" s="31" t="n">
        <v>0.6882061873567411</v>
      </c>
      <c r="BK15" s="31" t="n">
        <v>507.4461568087031</v>
      </c>
      <c r="BL15" s="31" t="n">
        <v>179.1148032120761</v>
      </c>
      <c r="BM15" s="31" t="n">
        <v>36.0687440933617</v>
      </c>
      <c r="BN15" s="31" t="n">
        <v>210.6623291627534</v>
      </c>
      <c r="BO15" s="31" t="n">
        <v>158.8155168620027</v>
      </c>
      <c r="BP15" s="31" t="n">
        <v>5.562836810270239</v>
      </c>
      <c r="BQ15" s="31" t="n">
        <v>83.77941063082172</v>
      </c>
      <c r="BR15" s="31" t="n">
        <v>0</v>
      </c>
      <c r="BS15" s="31">
        <f>SUM(C15:BR15)</f>
        <v/>
      </c>
      <c r="BT15" s="31" t="n">
        <v>0</v>
      </c>
      <c r="BU15" s="31" t="n">
        <v>0</v>
      </c>
      <c r="BV15" s="31" t="n">
        <v>82302.15749262384</v>
      </c>
      <c r="BW15" s="31" t="n">
        <v>0</v>
      </c>
      <c r="BX15" s="31">
        <f>SUM(BT15:BW15)</f>
        <v/>
      </c>
      <c r="BY15" s="31">
        <f>BS15+BX15</f>
        <v/>
      </c>
    </row>
    <row r="16">
      <c r="A16" s="28" t="inlineStr">
        <is>
          <t>0280</t>
        </is>
      </c>
      <c r="B16" s="28" t="inlineStr">
        <is>
          <t>Produção florestal; pesca e aquicultura</t>
        </is>
      </c>
      <c r="C16" s="29" t="n">
        <v>2777.926674139381</v>
      </c>
      <c r="D16" s="29" t="n">
        <v>2784.045239954378</v>
      </c>
      <c r="E16" s="29" t="n">
        <v>4512.275215173392</v>
      </c>
      <c r="F16" s="29" t="n">
        <v>2.615412084710264</v>
      </c>
      <c r="G16" s="29" t="n">
        <v>2.31581556228674</v>
      </c>
      <c r="H16" s="29" t="n">
        <v>2.635145118406459</v>
      </c>
      <c r="I16" s="29" t="n">
        <v>0.3646699154676435</v>
      </c>
      <c r="J16" s="29" t="n">
        <v>4549.405983169248</v>
      </c>
      <c r="K16" s="29" t="n">
        <v>1.4484283114812</v>
      </c>
      <c r="L16" s="29" t="n">
        <v>473.7899272713585</v>
      </c>
      <c r="M16" s="29" t="n">
        <v>22.98498688885984</v>
      </c>
      <c r="N16" s="29" t="n">
        <v>20.525818446339</v>
      </c>
      <c r="O16" s="29" t="n">
        <v>43.08987142262345</v>
      </c>
      <c r="P16" s="29" t="n">
        <v>10.59684121406037</v>
      </c>
      <c r="Q16" s="29" t="n">
        <v>7.170003483091485</v>
      </c>
      <c r="R16" s="29" t="n">
        <v>3847.935759720308</v>
      </c>
      <c r="S16" s="29" t="n">
        <v>6246.31064785579</v>
      </c>
      <c r="T16" s="29" t="n">
        <v>0.04272650205239113</v>
      </c>
      <c r="U16" s="29" t="n">
        <v>0.1182383676241171</v>
      </c>
      <c r="V16" s="29" t="n">
        <v>14.19661556588697</v>
      </c>
      <c r="W16" s="29" t="n">
        <v>430.7630661864382</v>
      </c>
      <c r="X16" s="29" t="n">
        <v>4.814564186973344</v>
      </c>
      <c r="Y16" s="29" t="n">
        <v>0.1882228332946332</v>
      </c>
      <c r="Z16" s="29" t="n">
        <v>0.2999592487707708</v>
      </c>
      <c r="AA16" s="29" t="n">
        <v>1028.583536632375</v>
      </c>
      <c r="AB16" s="29" t="n">
        <v>124.9875785544663</v>
      </c>
      <c r="AC16" s="29" t="n">
        <v>1558.8023596062</v>
      </c>
      <c r="AD16" s="29" t="n">
        <v>5.973238346437023</v>
      </c>
      <c r="AE16" s="29" t="n">
        <v>10.02264293175841</v>
      </c>
      <c r="AF16" s="29" t="n">
        <v>0.1235931226504449</v>
      </c>
      <c r="AG16" s="29" t="n">
        <v>0.1996617270999551</v>
      </c>
      <c r="AH16" s="29" t="n">
        <v>0.4164805459231629</v>
      </c>
      <c r="AI16" s="29" t="n">
        <v>0.1832275073554086</v>
      </c>
      <c r="AJ16" s="29" t="n">
        <v>0.1663092632905002</v>
      </c>
      <c r="AK16" s="29" t="n">
        <v>0.09786477515096795</v>
      </c>
      <c r="AL16" s="29" t="n">
        <v>3.204245814218099</v>
      </c>
      <c r="AM16" s="29" t="n">
        <v>0.05084150236344692</v>
      </c>
      <c r="AN16" s="29" t="n">
        <v>0.2263063130320965</v>
      </c>
      <c r="AO16" s="29" t="n">
        <v>1.047928252320633</v>
      </c>
      <c r="AP16" s="29" t="n">
        <v>1168.660203991741</v>
      </c>
      <c r="AQ16" s="29" t="n">
        <v>0.6616081349378116</v>
      </c>
      <c r="AR16" s="29" t="n">
        <v>288.8392383584396</v>
      </c>
      <c r="AS16" s="29" t="n">
        <v>0.2853958306203038</v>
      </c>
      <c r="AT16" s="29" t="n">
        <v>0.01209068796537742</v>
      </c>
      <c r="AU16" s="29" t="n">
        <v>0.04523697945800918</v>
      </c>
      <c r="AV16" s="29" t="n">
        <v>2.695114919332369</v>
      </c>
      <c r="AW16" s="29" t="n">
        <v>70.61253921141159</v>
      </c>
      <c r="AX16" s="29" t="n">
        <v>889.0112924078526</v>
      </c>
      <c r="AY16" s="29" t="n">
        <v>0.05263397106257246</v>
      </c>
      <c r="AZ16" s="29" t="n">
        <v>0.1958646830216728</v>
      </c>
      <c r="BA16" s="29" t="n">
        <v>6.223464710655993</v>
      </c>
      <c r="BB16" s="29" t="n">
        <v>1.074526913263553</v>
      </c>
      <c r="BC16" s="29" t="n">
        <v>2.349940080921746</v>
      </c>
      <c r="BD16" s="29" t="n">
        <v>2.976222133155099</v>
      </c>
      <c r="BE16" s="29" t="n">
        <v>1.086740092288294</v>
      </c>
      <c r="BF16" s="29" t="n">
        <v>5.297774342852493</v>
      </c>
      <c r="BG16" s="29" t="n">
        <v>0.3188340803883975</v>
      </c>
      <c r="BH16" s="29" t="n">
        <v>0.2655634131531265</v>
      </c>
      <c r="BI16" s="29" t="n">
        <v>3.059228139714937</v>
      </c>
      <c r="BJ16" s="29" t="n">
        <v>0.07180063071927818</v>
      </c>
      <c r="BK16" s="29" t="n">
        <v>192.9706756706572</v>
      </c>
      <c r="BL16" s="29" t="n">
        <v>124.0714482618381</v>
      </c>
      <c r="BM16" s="29" t="n">
        <v>17.89908880086804</v>
      </c>
      <c r="BN16" s="29" t="n">
        <v>154.9675689750852</v>
      </c>
      <c r="BO16" s="29" t="n">
        <v>31.54910578734261</v>
      </c>
      <c r="BP16" s="29" t="n">
        <v>0.5327304734096566</v>
      </c>
      <c r="BQ16" s="29" t="n">
        <v>6.201665713089282</v>
      </c>
      <c r="BR16" s="29" t="n">
        <v>0</v>
      </c>
      <c r="BS16" s="29">
        <f>SUM(C16:BR16)</f>
        <v/>
      </c>
      <c r="BT16" s="29" t="n">
        <v>0</v>
      </c>
      <c r="BU16" s="29" t="n">
        <v>0</v>
      </c>
      <c r="BV16" s="29" t="n">
        <v>30628.20104431824</v>
      </c>
      <c r="BW16" s="29" t="n">
        <v>0</v>
      </c>
      <c r="BX16" s="29">
        <f>SUM(BT16:BW16)</f>
        <v/>
      </c>
      <c r="BY16" s="29">
        <f>BS16+BX16</f>
        <v/>
      </c>
    </row>
    <row r="17">
      <c r="A17" s="30" t="inlineStr">
        <is>
          <t>0580</t>
        </is>
      </c>
      <c r="B17" s="30" t="inlineStr">
        <is>
          <t>Extração de carvão mineral e de minerais não-metálicos</t>
        </is>
      </c>
      <c r="C17" s="31" t="n">
        <v>249.7941741449108</v>
      </c>
      <c r="D17" s="31" t="n">
        <v>1137.405722075168</v>
      </c>
      <c r="E17" s="31" t="n">
        <v>35.2139345039093</v>
      </c>
      <c r="F17" s="31" t="n">
        <v>529.8113119663925</v>
      </c>
      <c r="G17" s="31" t="n">
        <v>1072.395102771298</v>
      </c>
      <c r="H17" s="31" t="n">
        <v>2.622087495354001</v>
      </c>
      <c r="I17" s="31" t="n">
        <v>22.08446423830012</v>
      </c>
      <c r="J17" s="31" t="n">
        <v>158.2200164889554</v>
      </c>
      <c r="K17" s="31" t="n">
        <v>28.81963419317745</v>
      </c>
      <c r="L17" s="31" t="n">
        <v>477.0693888761062</v>
      </c>
      <c r="M17" s="31" t="n">
        <v>40.66176362632797</v>
      </c>
      <c r="N17" s="31" t="n">
        <v>0.01815448804494532</v>
      </c>
      <c r="O17" s="31" t="n">
        <v>0.7278750860571932</v>
      </c>
      <c r="P17" s="31" t="n">
        <v>0.1417202534061228</v>
      </c>
      <c r="Q17" s="31" t="n">
        <v>0.5796494006412188</v>
      </c>
      <c r="R17" s="31" t="n">
        <v>0.1810981461881889</v>
      </c>
      <c r="S17" s="31" t="n">
        <v>29.94460900244522</v>
      </c>
      <c r="T17" s="31" t="n">
        <v>2.396503185781031</v>
      </c>
      <c r="U17" s="31" t="n">
        <v>101.4419836676081</v>
      </c>
      <c r="V17" s="31" t="n">
        <v>807.6757720392769</v>
      </c>
      <c r="W17" s="31" t="n">
        <v>6556.602771390453</v>
      </c>
      <c r="X17" s="31" t="n">
        <v>186.058400734818</v>
      </c>
      <c r="Y17" s="31" t="n">
        <v>10.19875292028304</v>
      </c>
      <c r="Z17" s="31" t="n">
        <v>2.1954542417233</v>
      </c>
      <c r="AA17" s="31" t="n">
        <v>12.19531174104962</v>
      </c>
      <c r="AB17" s="31" t="n">
        <v>10491.04581963082</v>
      </c>
      <c r="AC17" s="31" t="n">
        <v>15847.34039502323</v>
      </c>
      <c r="AD17" s="31" t="n">
        <v>1919.740771904877</v>
      </c>
      <c r="AE17" s="31" t="n">
        <v>29.94530466732412</v>
      </c>
      <c r="AF17" s="31" t="n">
        <v>1.531577781686145</v>
      </c>
      <c r="AG17" s="31" t="n">
        <v>144.1199568758421</v>
      </c>
      <c r="AH17" s="31" t="n">
        <v>20.30217348974969</v>
      </c>
      <c r="AI17" s="31" t="n">
        <v>38.34868393654528</v>
      </c>
      <c r="AJ17" s="31" t="n">
        <v>186.9951016648505</v>
      </c>
      <c r="AK17" s="31" t="n">
        <v>8.335706066550157</v>
      </c>
      <c r="AL17" s="31" t="n">
        <v>75.80806818169111</v>
      </c>
      <c r="AM17" s="31" t="n">
        <v>9.64266362005857</v>
      </c>
      <c r="AN17" s="31" t="n">
        <v>4151.160149451689</v>
      </c>
      <c r="AO17" s="31" t="n">
        <v>817.4730439061922</v>
      </c>
      <c r="AP17" s="31" t="n">
        <v>11159.32621218701</v>
      </c>
      <c r="AQ17" s="31" t="n">
        <v>4.751212961489153</v>
      </c>
      <c r="AR17" s="31" t="n">
        <v>169.9462649547575</v>
      </c>
      <c r="AS17" s="31" t="n">
        <v>0.5341372471943064</v>
      </c>
      <c r="AT17" s="31" t="n">
        <v>0.1876309285011418</v>
      </c>
      <c r="AU17" s="31" t="n">
        <v>0.04523448099770693</v>
      </c>
      <c r="AV17" s="31" t="n">
        <v>9.765063339172583</v>
      </c>
      <c r="AW17" s="31" t="n">
        <v>3.930408584612782</v>
      </c>
      <c r="AX17" s="31" t="n">
        <v>19.60547824982831</v>
      </c>
      <c r="AY17" s="31" t="n">
        <v>0.09778152167767519</v>
      </c>
      <c r="AZ17" s="31" t="n">
        <v>0.1356094814953782</v>
      </c>
      <c r="BA17" s="31" t="n">
        <v>0.6240838655859272</v>
      </c>
      <c r="BB17" s="31" t="n">
        <v>0.9570802009993407</v>
      </c>
      <c r="BC17" s="31" t="n">
        <v>1.198765906312493</v>
      </c>
      <c r="BD17" s="31" t="n">
        <v>392.963143730796</v>
      </c>
      <c r="BE17" s="31" t="n">
        <v>1.484538325107315</v>
      </c>
      <c r="BF17" s="31" t="n">
        <v>12.52259712624731</v>
      </c>
      <c r="BG17" s="31" t="n">
        <v>0.5077592358309779</v>
      </c>
      <c r="BH17" s="31" t="n">
        <v>0.4501809464105221</v>
      </c>
      <c r="BI17" s="31" t="n">
        <v>2.856753207581299</v>
      </c>
      <c r="BJ17" s="31" t="n">
        <v>0.1071465836314958</v>
      </c>
      <c r="BK17" s="31" t="n">
        <v>130.7319931013082</v>
      </c>
      <c r="BL17" s="31" t="n">
        <v>28.16030803413062</v>
      </c>
      <c r="BM17" s="31" t="n">
        <v>1.533388242099144</v>
      </c>
      <c r="BN17" s="31" t="n">
        <v>19.03025188624398</v>
      </c>
      <c r="BO17" s="31" t="n">
        <v>6.084462757386811</v>
      </c>
      <c r="BP17" s="31" t="n">
        <v>1.026639739906319</v>
      </c>
      <c r="BQ17" s="31" t="n">
        <v>4.416727324286012</v>
      </c>
      <c r="BR17" s="31" t="n">
        <v>0</v>
      </c>
      <c r="BS17" s="31">
        <f>SUM(C17:BR17)</f>
        <v/>
      </c>
      <c r="BT17" s="31" t="n">
        <v>0</v>
      </c>
      <c r="BU17" s="31" t="n">
        <v>0</v>
      </c>
      <c r="BV17" s="31" t="n">
        <v>3836.947592453116</v>
      </c>
      <c r="BW17" s="31" t="n">
        <v>0</v>
      </c>
      <c r="BX17" s="31">
        <f>SUM(BT17:BW17)</f>
        <v/>
      </c>
      <c r="BY17" s="31">
        <f>BS17+BX17</f>
        <v/>
      </c>
    </row>
    <row r="18">
      <c r="A18" s="28" t="inlineStr">
        <is>
          <t>0680</t>
        </is>
      </c>
      <c r="B18" s="28" t="inlineStr">
        <is>
          <t>Extração de petróleo e gás, inclusive as atividades de apoio</t>
        </is>
      </c>
      <c r="C18" s="29" t="n">
        <v>67.62645203181745</v>
      </c>
      <c r="D18" s="29" t="n">
        <v>45.67610906355924</v>
      </c>
      <c r="E18" s="29" t="n">
        <v>2.857084025691578</v>
      </c>
      <c r="F18" s="29" t="n">
        <v>5.033236975963675</v>
      </c>
      <c r="G18" s="29" t="n">
        <v>9940.189024627422</v>
      </c>
      <c r="H18" s="29" t="n">
        <v>1516.902397773619</v>
      </c>
      <c r="I18" s="29" t="n">
        <v>79.62916158082632</v>
      </c>
      <c r="J18" s="29" t="n">
        <v>98.44333013800006</v>
      </c>
      <c r="K18" s="29" t="n">
        <v>1.354648906709981</v>
      </c>
      <c r="L18" s="29" t="n">
        <v>903.4882807266894</v>
      </c>
      <c r="M18" s="29" t="n">
        <v>188.1280044452177</v>
      </c>
      <c r="N18" s="29" t="n">
        <v>0.2851368684641762</v>
      </c>
      <c r="O18" s="29" t="n">
        <v>155.5882986607714</v>
      </c>
      <c r="P18" s="29" t="n">
        <v>1.240270544506184</v>
      </c>
      <c r="Q18" s="29" t="n">
        <v>2.943595650656861</v>
      </c>
      <c r="R18" s="29" t="n">
        <v>83.6651408098334</v>
      </c>
      <c r="S18" s="29" t="n">
        <v>1032.648630681538</v>
      </c>
      <c r="T18" s="29" t="n">
        <v>0.6952697166203023</v>
      </c>
      <c r="U18" s="29" t="n">
        <v>193934.6726230108</v>
      </c>
      <c r="V18" s="29" t="n">
        <v>2.040134306496798</v>
      </c>
      <c r="W18" s="29" t="n">
        <v>2704.848298217593</v>
      </c>
      <c r="X18" s="29" t="n">
        <v>129.2825315200799</v>
      </c>
      <c r="Y18" s="29" t="n">
        <v>36.58887073565191</v>
      </c>
      <c r="Z18" s="29" t="n">
        <v>45.72236421310514</v>
      </c>
      <c r="AA18" s="29" t="n">
        <v>158.7482373684384</v>
      </c>
      <c r="AB18" s="29" t="n">
        <v>923.6066530550987</v>
      </c>
      <c r="AC18" s="29" t="n">
        <v>575.1869713938812</v>
      </c>
      <c r="AD18" s="29" t="n">
        <v>420.8978921906545</v>
      </c>
      <c r="AE18" s="29" t="n">
        <v>511.7504830127998</v>
      </c>
      <c r="AF18" s="29" t="n">
        <v>1.265312795083768</v>
      </c>
      <c r="AG18" s="29" t="n">
        <v>51.39900857430538</v>
      </c>
      <c r="AH18" s="29" t="n">
        <v>187.7115153392981</v>
      </c>
      <c r="AI18" s="29" t="n">
        <v>75.41266767568109</v>
      </c>
      <c r="AJ18" s="29" t="n">
        <v>185.0608846985392</v>
      </c>
      <c r="AK18" s="29" t="n">
        <v>3.644863993556808</v>
      </c>
      <c r="AL18" s="29" t="n">
        <v>3.950115849759062</v>
      </c>
      <c r="AM18" s="29" t="n">
        <v>72.06455812444021</v>
      </c>
      <c r="AN18" s="29" t="n">
        <v>30352.29321551652</v>
      </c>
      <c r="AO18" s="29" t="n">
        <v>1628.626294602517</v>
      </c>
      <c r="AP18" s="29" t="n">
        <v>1898.858084072092</v>
      </c>
      <c r="AQ18" s="29" t="n">
        <v>13.19056648750903</v>
      </c>
      <c r="AR18" s="29" t="n">
        <v>275.9660829941533</v>
      </c>
      <c r="AS18" s="29" t="n">
        <v>207.4184097074202</v>
      </c>
      <c r="AT18" s="29" t="n">
        <v>4.9631532716122</v>
      </c>
      <c r="AU18" s="29" t="n">
        <v>0.3344526467679499</v>
      </c>
      <c r="AV18" s="29" t="n">
        <v>153.5905764330332</v>
      </c>
      <c r="AW18" s="29" t="n">
        <v>3.453066109296227</v>
      </c>
      <c r="AX18" s="29" t="n">
        <v>78.45489436839183</v>
      </c>
      <c r="AY18" s="29" t="n">
        <v>0.6575467274611237</v>
      </c>
      <c r="AZ18" s="29" t="n">
        <v>1.439463236767676</v>
      </c>
      <c r="BA18" s="29" t="n">
        <v>202.412017980188</v>
      </c>
      <c r="BB18" s="29" t="n">
        <v>8.744758422824905</v>
      </c>
      <c r="BC18" s="29" t="n">
        <v>13.17895888648649</v>
      </c>
      <c r="BD18" s="29" t="n">
        <v>6.050615539742524</v>
      </c>
      <c r="BE18" s="29" t="n">
        <v>15.53958653911645</v>
      </c>
      <c r="BF18" s="29" t="n">
        <v>84.98950946384241</v>
      </c>
      <c r="BG18" s="29" t="n">
        <v>5.912202947437315</v>
      </c>
      <c r="BH18" s="29" t="n">
        <v>11.40374017947409</v>
      </c>
      <c r="BI18" s="29" t="n">
        <v>21.78021034167755</v>
      </c>
      <c r="BJ18" s="29" t="n">
        <v>0.9876137929326959</v>
      </c>
      <c r="BK18" s="29" t="n">
        <v>3414.523207758531</v>
      </c>
      <c r="BL18" s="29" t="n">
        <v>39.70505666641187</v>
      </c>
      <c r="BM18" s="29" t="n">
        <v>14.66745197232929</v>
      </c>
      <c r="BN18" s="29" t="n">
        <v>4.33010472575505</v>
      </c>
      <c r="BO18" s="29" t="n">
        <v>9.24263295793763</v>
      </c>
      <c r="BP18" s="29" t="n">
        <v>10.93186413513324</v>
      </c>
      <c r="BQ18" s="29" t="n">
        <v>42.84615570228131</v>
      </c>
      <c r="BR18" s="29" t="n">
        <v>0</v>
      </c>
      <c r="BS18" s="29">
        <f>SUM(C18:BR18)</f>
        <v/>
      </c>
      <c r="BT18" s="29" t="n">
        <v>0</v>
      </c>
      <c r="BU18" s="29" t="n">
        <v>0</v>
      </c>
      <c r="BV18" s="29" t="n">
        <v>187673.0738237438</v>
      </c>
      <c r="BW18" s="29" t="n">
        <v>0</v>
      </c>
      <c r="BX18" s="29">
        <f>SUM(BT18:BW18)</f>
        <v/>
      </c>
      <c r="BY18" s="29">
        <f>BS18+BX18</f>
        <v/>
      </c>
    </row>
    <row r="19">
      <c r="A19" s="30" t="inlineStr">
        <is>
          <t>0791</t>
        </is>
      </c>
      <c r="B19" s="30" t="inlineStr">
        <is>
          <t>Extração de minério de ferro, inclusive beneficiamentos e a aglomeração</t>
        </is>
      </c>
      <c r="C19" s="31" t="n">
        <v>0.5946829833242264</v>
      </c>
      <c r="D19" s="31" t="n">
        <v>1.208774156255665</v>
      </c>
      <c r="E19" s="31" t="n">
        <v>0.08263106579724236</v>
      </c>
      <c r="F19" s="31" t="n">
        <v>0.1797757488812313</v>
      </c>
      <c r="G19" s="31" t="n">
        <v>26.68191310044067</v>
      </c>
      <c r="H19" s="31" t="n">
        <v>9060.172769637133</v>
      </c>
      <c r="I19" s="31" t="n">
        <v>134.0235976468099</v>
      </c>
      <c r="J19" s="31" t="n">
        <v>1.925513047353294</v>
      </c>
      <c r="K19" s="31" t="n">
        <v>0.1042418388823588</v>
      </c>
      <c r="L19" s="31" t="n">
        <v>2.654972911533197</v>
      </c>
      <c r="M19" s="31" t="n">
        <v>0.3742829340831558</v>
      </c>
      <c r="N19" s="31" t="n">
        <v>0.1009924188673313</v>
      </c>
      <c r="O19" s="31" t="n">
        <v>0.2137518831809816</v>
      </c>
      <c r="P19" s="31" t="n">
        <v>0.08683123565145005</v>
      </c>
      <c r="Q19" s="31" t="n">
        <v>0.0956478792055596</v>
      </c>
      <c r="R19" s="31" t="n">
        <v>0.4411507424151143</v>
      </c>
      <c r="S19" s="31" t="n">
        <v>1.590146664264314</v>
      </c>
      <c r="T19" s="31" t="n">
        <v>1.324099248515667</v>
      </c>
      <c r="U19" s="31" t="n">
        <v>0.2954590024253693</v>
      </c>
      <c r="V19" s="31" t="n">
        <v>0.01809423505240077</v>
      </c>
      <c r="W19" s="31" t="n">
        <v>0.6062414527936105</v>
      </c>
      <c r="X19" s="31" t="n">
        <v>1.008067375088888</v>
      </c>
      <c r="Y19" s="31" t="n">
        <v>0.2716407907269667</v>
      </c>
      <c r="Z19" s="31" t="n">
        <v>1.026249754836032</v>
      </c>
      <c r="AA19" s="31" t="n">
        <v>0.8620823818460268</v>
      </c>
      <c r="AB19" s="31" t="n">
        <v>463.9970903671041</v>
      </c>
      <c r="AC19" s="31" t="n">
        <v>68268.36649708553</v>
      </c>
      <c r="AD19" s="31" t="n">
        <v>193.7594211886512</v>
      </c>
      <c r="AE19" s="31" t="n">
        <v>12.83502799859081</v>
      </c>
      <c r="AF19" s="31" t="n">
        <v>1.100726224708492</v>
      </c>
      <c r="AG19" s="31" t="n">
        <v>34.7271084740407</v>
      </c>
      <c r="AH19" s="31" t="n">
        <v>68.18764526840548</v>
      </c>
      <c r="AI19" s="31" t="n">
        <v>7.29494666930267</v>
      </c>
      <c r="AJ19" s="31" t="n">
        <v>13.2863427332219</v>
      </c>
      <c r="AK19" s="31" t="n">
        <v>4.383837729644281</v>
      </c>
      <c r="AL19" s="31" t="n">
        <v>11.56451674218102</v>
      </c>
      <c r="AM19" s="31" t="n">
        <v>27.94238700421372</v>
      </c>
      <c r="AN19" s="31" t="n">
        <v>0.3847681678422712</v>
      </c>
      <c r="AO19" s="31" t="n">
        <v>21.77274510570863</v>
      </c>
      <c r="AP19" s="31" t="n">
        <v>216.6134783047241</v>
      </c>
      <c r="AQ19" s="31" t="n">
        <v>1.174734219951435</v>
      </c>
      <c r="AR19" s="31" t="n">
        <v>4.690068758344683</v>
      </c>
      <c r="AS19" s="31" t="n">
        <v>1.540542780998469</v>
      </c>
      <c r="AT19" s="31" t="n">
        <v>0.6852692934317151</v>
      </c>
      <c r="AU19" s="31" t="n">
        <v>0.004385434831402477</v>
      </c>
      <c r="AV19" s="31" t="n">
        <v>10.67237635481482</v>
      </c>
      <c r="AW19" s="31" t="n">
        <v>0.3643697830033867</v>
      </c>
      <c r="AX19" s="31" t="n">
        <v>3.410840625232002</v>
      </c>
      <c r="AY19" s="31" t="n">
        <v>0.01615273731711799</v>
      </c>
      <c r="AZ19" s="31" t="n">
        <v>0.02223795300333224</v>
      </c>
      <c r="BA19" s="31" t="n">
        <v>25.40012894215917</v>
      </c>
      <c r="BB19" s="31" t="n">
        <v>0.7852061845442394</v>
      </c>
      <c r="BC19" s="31" t="n">
        <v>5.259044840365743</v>
      </c>
      <c r="BD19" s="31" t="n">
        <v>8.600265953619482</v>
      </c>
      <c r="BE19" s="31" t="n">
        <v>2.013799881627335</v>
      </c>
      <c r="BF19" s="31" t="n">
        <v>15.72943454497212</v>
      </c>
      <c r="BG19" s="31" t="n">
        <v>0.1318289532606957</v>
      </c>
      <c r="BH19" s="31" t="n">
        <v>0.2176563007970071</v>
      </c>
      <c r="BI19" s="31" t="n">
        <v>11.23939241523561</v>
      </c>
      <c r="BJ19" s="31" t="n">
        <v>0.08071211704828739</v>
      </c>
      <c r="BK19" s="31" t="n">
        <v>60.04915205108851</v>
      </c>
      <c r="BL19" s="31" t="n">
        <v>2.817764041569994</v>
      </c>
      <c r="BM19" s="31" t="n">
        <v>0.263104943046929</v>
      </c>
      <c r="BN19" s="31" t="n">
        <v>18.9339159357716</v>
      </c>
      <c r="BO19" s="31" t="n">
        <v>0.1723610001383952</v>
      </c>
      <c r="BP19" s="31" t="n">
        <v>0.9323380563290141</v>
      </c>
      <c r="BQ19" s="31" t="n">
        <v>0.5797053293603666</v>
      </c>
      <c r="BR19" s="31" t="n">
        <v>0</v>
      </c>
      <c r="BS19" s="31">
        <f>SUM(C19:BR19)</f>
        <v/>
      </c>
      <c r="BT19" s="31" t="n">
        <v>0</v>
      </c>
      <c r="BU19" s="31" t="n">
        <v>0</v>
      </c>
      <c r="BV19" s="31" t="n">
        <v>208594.5726973916</v>
      </c>
      <c r="BW19" s="31" t="n">
        <v>0</v>
      </c>
      <c r="BX19" s="31">
        <f>SUM(BT19:BW19)</f>
        <v/>
      </c>
      <c r="BY19" s="31">
        <f>BS19+BX19</f>
        <v/>
      </c>
    </row>
    <row r="20">
      <c r="A20" s="28" t="inlineStr">
        <is>
          <t>0792</t>
        </is>
      </c>
      <c r="B20" s="28" t="inlineStr">
        <is>
          <t>Extração de minerais metálicos não-ferrosos, inclusive beneficiamentos</t>
        </is>
      </c>
      <c r="C20" s="29" t="n">
        <v>5.650220237221423</v>
      </c>
      <c r="D20" s="29" t="n">
        <v>1.981646805325466</v>
      </c>
      <c r="E20" s="29" t="n">
        <v>0.06950001058128742</v>
      </c>
      <c r="F20" s="29" t="n">
        <v>0.06362620841144233</v>
      </c>
      <c r="G20" s="29" t="n">
        <v>120.5689967445546</v>
      </c>
      <c r="H20" s="29" t="n">
        <v>60.76941469890733</v>
      </c>
      <c r="I20" s="29" t="n">
        <v>2605.339396423043</v>
      </c>
      <c r="J20" s="29" t="n">
        <v>12.58457151007722</v>
      </c>
      <c r="K20" s="29" t="n">
        <v>0.230191119141114</v>
      </c>
      <c r="L20" s="29" t="n">
        <v>23.09075942826109</v>
      </c>
      <c r="M20" s="29" t="n">
        <v>1.555463465704562</v>
      </c>
      <c r="N20" s="29" t="n">
        <v>0.006520157529903273</v>
      </c>
      <c r="O20" s="29" t="n">
        <v>0.05937215069027488</v>
      </c>
      <c r="P20" s="29" t="n">
        <v>0.007517208543030632</v>
      </c>
      <c r="Q20" s="29" t="n">
        <v>0.05668009691439793</v>
      </c>
      <c r="R20" s="29" t="n">
        <v>0.009519734004955913</v>
      </c>
      <c r="S20" s="29" t="n">
        <v>13.01681205234703</v>
      </c>
      <c r="T20" s="29" t="n">
        <v>10.55111921416681</v>
      </c>
      <c r="U20" s="29" t="n">
        <v>0.003402830169671356</v>
      </c>
      <c r="V20" s="29" t="n">
        <v>0.01083949856894247</v>
      </c>
      <c r="W20" s="29" t="n">
        <v>16.81454335217207</v>
      </c>
      <c r="X20" s="29" t="n">
        <v>9.235504136119101</v>
      </c>
      <c r="Y20" s="29" t="n">
        <v>0.5925255907496724</v>
      </c>
      <c r="Z20" s="29" t="n">
        <v>0.5300872006771433</v>
      </c>
      <c r="AA20" s="29" t="n">
        <v>4.574506625873763</v>
      </c>
      <c r="AB20" s="29" t="n">
        <v>112.1832448987175</v>
      </c>
      <c r="AC20" s="29" t="n">
        <v>4277.716501741867</v>
      </c>
      <c r="AD20" s="29" t="n">
        <v>14785.43263770838</v>
      </c>
      <c r="AE20" s="29" t="n">
        <v>109.9652347841869</v>
      </c>
      <c r="AF20" s="29" t="n">
        <v>6.885919299421992</v>
      </c>
      <c r="AG20" s="29" t="n">
        <v>289.7204158170827</v>
      </c>
      <c r="AH20" s="29" t="n">
        <v>48.34988324379975</v>
      </c>
      <c r="AI20" s="29" t="n">
        <v>26.10468357276103</v>
      </c>
      <c r="AJ20" s="29" t="n">
        <v>127.7013354262166</v>
      </c>
      <c r="AK20" s="29" t="n">
        <v>28.6013262166905</v>
      </c>
      <c r="AL20" s="29" t="n">
        <v>101.5830433376708</v>
      </c>
      <c r="AM20" s="29" t="n">
        <v>15.94937171206611</v>
      </c>
      <c r="AN20" s="29" t="n">
        <v>0.5455490355043419</v>
      </c>
      <c r="AO20" s="29" t="n">
        <v>4.167581208534644</v>
      </c>
      <c r="AP20" s="29" t="n">
        <v>106.9736472691428</v>
      </c>
      <c r="AQ20" s="29" t="n">
        <v>0.1447288827311409</v>
      </c>
      <c r="AR20" s="29" t="n">
        <v>1.146491612986032</v>
      </c>
      <c r="AS20" s="29" t="n">
        <v>0.5805040360006872</v>
      </c>
      <c r="AT20" s="29" t="n">
        <v>0.004196379000800341</v>
      </c>
      <c r="AU20" s="29" t="n">
        <v>0</v>
      </c>
      <c r="AV20" s="29" t="n">
        <v>0.004333374191548117</v>
      </c>
      <c r="AW20" s="29" t="n">
        <v>0.1263456560928308</v>
      </c>
      <c r="AX20" s="29" t="n">
        <v>0.4344640499921282</v>
      </c>
      <c r="AY20" s="29" t="n">
        <v>0.002026379922685895</v>
      </c>
      <c r="AZ20" s="29" t="n">
        <v>0.00244914224053977</v>
      </c>
      <c r="BA20" s="29" t="n">
        <v>0.02588856288226965</v>
      </c>
      <c r="BB20" s="29" t="n">
        <v>0.03741846490891957</v>
      </c>
      <c r="BC20" s="29" t="n">
        <v>0.001647726154331783</v>
      </c>
      <c r="BD20" s="29" t="n">
        <v>1.809650406133971</v>
      </c>
      <c r="BE20" s="29" t="n">
        <v>0.001961104755679025</v>
      </c>
      <c r="BF20" s="29" t="n">
        <v>1.186859229159883</v>
      </c>
      <c r="BG20" s="29" t="n">
        <v>0.002590361616514113</v>
      </c>
      <c r="BH20" s="29" t="n">
        <v>0.007834154604250076</v>
      </c>
      <c r="BI20" s="29" t="n">
        <v>0.0861560259991915</v>
      </c>
      <c r="BJ20" s="29" t="n">
        <v>0.0002775993033152981</v>
      </c>
      <c r="BK20" s="29" t="n">
        <v>0.5424389226674651</v>
      </c>
      <c r="BL20" s="29" t="n">
        <v>0.1565847840098162</v>
      </c>
      <c r="BM20" s="29" t="n">
        <v>0.0002788950299928046</v>
      </c>
      <c r="BN20" s="29" t="n">
        <v>0.243563690502405</v>
      </c>
      <c r="BO20" s="29" t="n">
        <v>0.250153996163188</v>
      </c>
      <c r="BP20" s="29" t="n">
        <v>0.0004400496138369694</v>
      </c>
      <c r="BQ20" s="29" t="n">
        <v>0.1727751470634475</v>
      </c>
      <c r="BR20" s="29" t="n">
        <v>0</v>
      </c>
      <c r="BS20" s="29">
        <f>SUM(C20:BR20)</f>
        <v/>
      </c>
      <c r="BT20" s="29" t="n">
        <v>0</v>
      </c>
      <c r="BU20" s="29" t="n">
        <v>0</v>
      </c>
      <c r="BV20" s="29" t="n">
        <v>14004.14095245392</v>
      </c>
      <c r="BW20" s="29" t="n">
        <v>0</v>
      </c>
      <c r="BX20" s="29">
        <f>SUM(BT20:BW20)</f>
        <v/>
      </c>
      <c r="BY20" s="29">
        <f>BS20+BX20</f>
        <v/>
      </c>
    </row>
    <row r="21">
      <c r="A21" s="30" t="inlineStr">
        <is>
          <t>1091</t>
        </is>
      </c>
      <c r="B21" s="30" t="inlineStr">
        <is>
          <t>Abate e produtos de carne, inclusive os produtos do laticínio e da pesca</t>
        </is>
      </c>
      <c r="C21" s="31" t="n">
        <v>99.56754968558022</v>
      </c>
      <c r="D21" s="31" t="n">
        <v>5271.403986650792</v>
      </c>
      <c r="E21" s="31" t="n">
        <v>54.12501760743741</v>
      </c>
      <c r="F21" s="31" t="n">
        <v>20.90618544710383</v>
      </c>
      <c r="G21" s="31" t="n">
        <v>20.95226868667155</v>
      </c>
      <c r="H21" s="31" t="n">
        <v>15.47888329617436</v>
      </c>
      <c r="I21" s="31" t="n">
        <v>2.784618230566431</v>
      </c>
      <c r="J21" s="31" t="n">
        <v>58618.68310010771</v>
      </c>
      <c r="K21" s="31" t="n">
        <v>2.445779630040214</v>
      </c>
      <c r="L21" s="31" t="n">
        <v>6880.126052954725</v>
      </c>
      <c r="M21" s="31" t="n">
        <v>103.5601572212752</v>
      </c>
      <c r="N21" s="31" t="n">
        <v>0.8334442196997536</v>
      </c>
      <c r="O21" s="31" t="n">
        <v>10.64005009405238</v>
      </c>
      <c r="P21" s="31" t="n">
        <v>5.07402439389692</v>
      </c>
      <c r="Q21" s="31" t="n">
        <v>2463.908512780829</v>
      </c>
      <c r="R21" s="31" t="n">
        <v>10.46890415734229</v>
      </c>
      <c r="S21" s="31" t="n">
        <v>38.85708190848824</v>
      </c>
      <c r="T21" s="31" t="n">
        <v>2.018562205441581</v>
      </c>
      <c r="U21" s="31" t="n">
        <v>6.563122573587982</v>
      </c>
      <c r="V21" s="31" t="n">
        <v>2138.073380789637</v>
      </c>
      <c r="W21" s="31" t="n">
        <v>168.0015943605503</v>
      </c>
      <c r="X21" s="31" t="n">
        <v>155.2497386408532</v>
      </c>
      <c r="Y21" s="31" t="n">
        <v>5968.763966001858</v>
      </c>
      <c r="Z21" s="31" t="n">
        <v>41.58327788596014</v>
      </c>
      <c r="AA21" s="31" t="n">
        <v>35.6630286906653</v>
      </c>
      <c r="AB21" s="31" t="n">
        <v>9.553040178922956</v>
      </c>
      <c r="AC21" s="31" t="n">
        <v>16.52729071405025</v>
      </c>
      <c r="AD21" s="31" t="n">
        <v>5.508071710580651</v>
      </c>
      <c r="AE21" s="31" t="n">
        <v>179.6530117137159</v>
      </c>
      <c r="AF21" s="31" t="n">
        <v>4.004724941521111</v>
      </c>
      <c r="AG21" s="31" t="n">
        <v>10.32326361618116</v>
      </c>
      <c r="AH21" s="31" t="n">
        <v>24.46549326591224</v>
      </c>
      <c r="AI21" s="31" t="n">
        <v>8.729831901979665</v>
      </c>
      <c r="AJ21" s="31" t="n">
        <v>5.082976683460588</v>
      </c>
      <c r="AK21" s="31" t="n">
        <v>2.861865892909409</v>
      </c>
      <c r="AL21" s="31" t="n">
        <v>13.38154968248832</v>
      </c>
      <c r="AM21" s="31" t="n">
        <v>8.079111305617277</v>
      </c>
      <c r="AN21" s="31" t="n">
        <v>4.397192604464165</v>
      </c>
      <c r="AO21" s="31" t="n">
        <v>4.93231271647235</v>
      </c>
      <c r="AP21" s="31" t="n">
        <v>34.54402909125864</v>
      </c>
      <c r="AQ21" s="31" t="n">
        <v>7.236533757590486</v>
      </c>
      <c r="AR21" s="31" t="n">
        <v>923.3576061082894</v>
      </c>
      <c r="AS21" s="31" t="n">
        <v>2.535610721520362</v>
      </c>
      <c r="AT21" s="31" t="n">
        <v>0.3322377672574435</v>
      </c>
      <c r="AU21" s="31" t="n">
        <v>0.4122536082433199</v>
      </c>
      <c r="AV21" s="31" t="n">
        <v>7.301506204702291</v>
      </c>
      <c r="AW21" s="31" t="n">
        <v>926.2288617523468</v>
      </c>
      <c r="AX21" s="31" t="n">
        <v>33859.67334812874</v>
      </c>
      <c r="AY21" s="31" t="n">
        <v>1.023808980242059</v>
      </c>
      <c r="AZ21" s="31" t="n">
        <v>1.934672703241787</v>
      </c>
      <c r="BA21" s="31" t="n">
        <v>10.26834546799176</v>
      </c>
      <c r="BB21" s="31" t="n">
        <v>6.283848690083865</v>
      </c>
      <c r="BC21" s="31" t="n">
        <v>9.076944639166291</v>
      </c>
      <c r="BD21" s="31" t="n">
        <v>3.714810018239978</v>
      </c>
      <c r="BE21" s="31" t="n">
        <v>10.05608594750356</v>
      </c>
      <c r="BF21" s="31" t="n">
        <v>7.64099590146194</v>
      </c>
      <c r="BG21" s="31" t="n">
        <v>6.717837879101676</v>
      </c>
      <c r="BH21" s="31" t="n">
        <v>2.537650286300956</v>
      </c>
      <c r="BI21" s="31" t="n">
        <v>8.837127399683581</v>
      </c>
      <c r="BJ21" s="31" t="n">
        <v>0.8281103732279438</v>
      </c>
      <c r="BK21" s="31" t="n">
        <v>4862.335769419662</v>
      </c>
      <c r="BL21" s="31" t="n">
        <v>2362.173360524462</v>
      </c>
      <c r="BM21" s="31" t="n">
        <v>501.3134517237124</v>
      </c>
      <c r="BN21" s="31" t="n">
        <v>3232.343604913124</v>
      </c>
      <c r="BO21" s="31" t="n">
        <v>1462.624092506211</v>
      </c>
      <c r="BP21" s="31" t="n">
        <v>13.00965250006178</v>
      </c>
      <c r="BQ21" s="31" t="n">
        <v>412.7623514668179</v>
      </c>
      <c r="BR21" s="31" t="n">
        <v>0</v>
      </c>
      <c r="BS21" s="31">
        <f>SUM(C21:BR21)</f>
        <v/>
      </c>
      <c r="BT21" s="31" t="n">
        <v>0</v>
      </c>
      <c r="BU21" s="31" t="n">
        <v>0</v>
      </c>
      <c r="BV21" s="31" t="n">
        <v>393359.9570388837</v>
      </c>
      <c r="BW21" s="31" t="n">
        <v>0</v>
      </c>
      <c r="BX21" s="31">
        <f>SUM(BT21:BW21)</f>
        <v/>
      </c>
      <c r="BY21" s="31">
        <f>BS21+BX21</f>
        <v/>
      </c>
    </row>
    <row r="22">
      <c r="A22" s="28" t="inlineStr">
        <is>
          <t>1092</t>
        </is>
      </c>
      <c r="B22" s="28" t="inlineStr">
        <is>
          <t>Fabricação e refino de açúcar</t>
        </is>
      </c>
      <c r="C22" s="29" t="n">
        <v>107.554820607299</v>
      </c>
      <c r="D22" s="29" t="n">
        <v>221.4968278118064</v>
      </c>
      <c r="E22" s="29" t="n">
        <v>5.878668288618892</v>
      </c>
      <c r="F22" s="29" t="n">
        <v>3.143567663666682</v>
      </c>
      <c r="G22" s="29" t="n">
        <v>556.6177553382238</v>
      </c>
      <c r="H22" s="29" t="n">
        <v>76.18937539289993</v>
      </c>
      <c r="I22" s="29" t="n">
        <v>8.861159284750276</v>
      </c>
      <c r="J22" s="29" t="n">
        <v>716.3564892099678</v>
      </c>
      <c r="K22" s="29" t="n">
        <v>3164.151878895879</v>
      </c>
      <c r="L22" s="29" t="n">
        <v>7667.810956679019</v>
      </c>
      <c r="M22" s="29" t="n">
        <v>1752.118590383364</v>
      </c>
      <c r="N22" s="29" t="n">
        <v>0.2177671799275185</v>
      </c>
      <c r="O22" s="29" t="n">
        <v>0.9251134364962548</v>
      </c>
      <c r="P22" s="29" t="n">
        <v>1.039675233093665</v>
      </c>
      <c r="Q22" s="29" t="n">
        <v>0.5614925785896823</v>
      </c>
      <c r="R22" s="29" t="n">
        <v>58.22987956887297</v>
      </c>
      <c r="S22" s="29" t="n">
        <v>8.964199271181929</v>
      </c>
      <c r="T22" s="29" t="n">
        <v>0.0920760262703324</v>
      </c>
      <c r="U22" s="29" t="n">
        <v>18298.46664848561</v>
      </c>
      <c r="V22" s="29" t="n">
        <v>2800.376449348465</v>
      </c>
      <c r="W22" s="29" t="n">
        <v>290.9247557457639</v>
      </c>
      <c r="X22" s="29" t="n">
        <v>1002.012146313418</v>
      </c>
      <c r="Y22" s="29" t="n">
        <v>1178.566005693692</v>
      </c>
      <c r="Z22" s="29" t="n">
        <v>546.6759314897695</v>
      </c>
      <c r="AA22" s="29" t="n">
        <v>2.546784679389948</v>
      </c>
      <c r="AB22" s="29" t="n">
        <v>2.463561965654575</v>
      </c>
      <c r="AC22" s="29" t="n">
        <v>2.006172811171997</v>
      </c>
      <c r="AD22" s="29" t="n">
        <v>1.152910002958879</v>
      </c>
      <c r="AE22" s="29" t="n">
        <v>32.05827021726702</v>
      </c>
      <c r="AF22" s="29" t="n">
        <v>1.383069911529018</v>
      </c>
      <c r="AG22" s="29" t="n">
        <v>7.683019387493099</v>
      </c>
      <c r="AH22" s="29" t="n">
        <v>220.7538286084001</v>
      </c>
      <c r="AI22" s="29" t="n">
        <v>23.12799040036803</v>
      </c>
      <c r="AJ22" s="29" t="n">
        <v>2.298428390542746</v>
      </c>
      <c r="AK22" s="29" t="n">
        <v>4.378324330459666</v>
      </c>
      <c r="AL22" s="29" t="n">
        <v>3.559004302341614</v>
      </c>
      <c r="AM22" s="29" t="n">
        <v>93.52674210657869</v>
      </c>
      <c r="AN22" s="29" t="n">
        <v>7.725040962199066</v>
      </c>
      <c r="AO22" s="29" t="n">
        <v>37.40944974287321</v>
      </c>
      <c r="AP22" s="29" t="n">
        <v>395.0239817899782</v>
      </c>
      <c r="AQ22" s="29" t="n">
        <v>362.4700830433362</v>
      </c>
      <c r="AR22" s="29" t="n">
        <v>674.7018357507744</v>
      </c>
      <c r="AS22" s="29" t="n">
        <v>669.3048850251726</v>
      </c>
      <c r="AT22" s="29" t="n">
        <v>11.35716735077733</v>
      </c>
      <c r="AU22" s="29" t="n">
        <v>23.77600428973299</v>
      </c>
      <c r="AV22" s="29" t="n">
        <v>66.05896054953273</v>
      </c>
      <c r="AW22" s="29" t="n">
        <v>19.2905296644824</v>
      </c>
      <c r="AX22" s="29" t="n">
        <v>1660.184412555362</v>
      </c>
      <c r="AY22" s="29" t="n">
        <v>6.174330610939982</v>
      </c>
      <c r="AZ22" s="29" t="n">
        <v>12.09322677688725</v>
      </c>
      <c r="BA22" s="29" t="n">
        <v>30.00505788419492</v>
      </c>
      <c r="BB22" s="29" t="n">
        <v>72.02580461812602</v>
      </c>
      <c r="BC22" s="29" t="n">
        <v>116.802680683175</v>
      </c>
      <c r="BD22" s="29" t="n">
        <v>24.3392016933476</v>
      </c>
      <c r="BE22" s="29" t="n">
        <v>131.7343312608259</v>
      </c>
      <c r="BF22" s="29" t="n">
        <v>159.7482001520453</v>
      </c>
      <c r="BG22" s="29" t="n">
        <v>60.37161969303882</v>
      </c>
      <c r="BH22" s="29" t="n">
        <v>154.8456515774731</v>
      </c>
      <c r="BI22" s="29" t="n">
        <v>195.2812396632612</v>
      </c>
      <c r="BJ22" s="29" t="n">
        <v>74.09286904684311</v>
      </c>
      <c r="BK22" s="29" t="n">
        <v>595.0158274979208</v>
      </c>
      <c r="BL22" s="29" t="n">
        <v>153.9249054133061</v>
      </c>
      <c r="BM22" s="29" t="n">
        <v>24.18313327120909</v>
      </c>
      <c r="BN22" s="29" t="n">
        <v>168.0271504956376</v>
      </c>
      <c r="BO22" s="29" t="n">
        <v>114.1568288607568</v>
      </c>
      <c r="BP22" s="29" t="n">
        <v>27.95052966703773</v>
      </c>
      <c r="BQ22" s="29" t="n">
        <v>177.8829867534417</v>
      </c>
      <c r="BR22" s="29" t="n">
        <v>0</v>
      </c>
      <c r="BS22" s="29">
        <f>SUM(C22:BR22)</f>
        <v/>
      </c>
      <c r="BT22" s="29" t="n">
        <v>0</v>
      </c>
      <c r="BU22" s="29" t="n">
        <v>0</v>
      </c>
      <c r="BV22" s="29" t="n">
        <v>58541.91179466509</v>
      </c>
      <c r="BW22" s="29" t="n">
        <v>0</v>
      </c>
      <c r="BX22" s="29">
        <f>SUM(BT22:BW22)</f>
        <v/>
      </c>
      <c r="BY22" s="29">
        <f>BS22+BX22</f>
        <v/>
      </c>
    </row>
    <row r="23">
      <c r="A23" s="30" t="inlineStr">
        <is>
          <t>1093</t>
        </is>
      </c>
      <c r="B23" s="30" t="inlineStr">
        <is>
          <t>Outros produtos alimentares</t>
        </is>
      </c>
      <c r="C23" s="31" t="n">
        <v>4786.247618328482</v>
      </c>
      <c r="D23" s="31" t="n">
        <v>33542.78213158422</v>
      </c>
      <c r="E23" s="31" t="n">
        <v>2505.780909219817</v>
      </c>
      <c r="F23" s="31" t="n">
        <v>407.0003055682319</v>
      </c>
      <c r="G23" s="31" t="n">
        <v>426.816610682626</v>
      </c>
      <c r="H23" s="31" t="n">
        <v>170.2419895090861</v>
      </c>
      <c r="I23" s="31" t="n">
        <v>34.30860417660173</v>
      </c>
      <c r="J23" s="31" t="n">
        <v>60922.5209687836</v>
      </c>
      <c r="K23" s="31" t="n">
        <v>78.73483937168827</v>
      </c>
      <c r="L23" s="31" t="n">
        <v>69369.58115187401</v>
      </c>
      <c r="M23" s="31" t="n">
        <v>5176.635595020845</v>
      </c>
      <c r="N23" s="31" t="n">
        <v>4.325198112366877</v>
      </c>
      <c r="O23" s="31" t="n">
        <v>86.10564044717522</v>
      </c>
      <c r="P23" s="31" t="n">
        <v>38.96553526842676</v>
      </c>
      <c r="Q23" s="31" t="n">
        <v>65.03099120389346</v>
      </c>
      <c r="R23" s="31" t="n">
        <v>159.1027608275996</v>
      </c>
      <c r="S23" s="31" t="n">
        <v>2101.803874851037</v>
      </c>
      <c r="T23" s="31" t="n">
        <v>32.90781841536481</v>
      </c>
      <c r="U23" s="31" t="n">
        <v>6579.512488091645</v>
      </c>
      <c r="V23" s="31" t="n">
        <v>10761.35717395187</v>
      </c>
      <c r="W23" s="31" t="n">
        <v>1807.803111683026</v>
      </c>
      <c r="X23" s="31" t="n">
        <v>2419.66662865052</v>
      </c>
      <c r="Y23" s="31" t="n">
        <v>2249.23298803953</v>
      </c>
      <c r="Z23" s="31" t="n">
        <v>507.419249787815</v>
      </c>
      <c r="AA23" s="31" t="n">
        <v>350.3782153793497</v>
      </c>
      <c r="AB23" s="31" t="n">
        <v>162.8028544227787</v>
      </c>
      <c r="AC23" s="31" t="n">
        <v>187.1522816748041</v>
      </c>
      <c r="AD23" s="31" t="n">
        <v>44.79669888618942</v>
      </c>
      <c r="AE23" s="31" t="n">
        <v>266.6028626870095</v>
      </c>
      <c r="AF23" s="31" t="n">
        <v>17.94391807464623</v>
      </c>
      <c r="AG23" s="31" t="n">
        <v>73.92098246361377</v>
      </c>
      <c r="AH23" s="31" t="n">
        <v>183.3790915895814</v>
      </c>
      <c r="AI23" s="31" t="n">
        <v>73.8945217389808</v>
      </c>
      <c r="AJ23" s="31" t="n">
        <v>65.56499754922271</v>
      </c>
      <c r="AK23" s="31" t="n">
        <v>17.92277826690701</v>
      </c>
      <c r="AL23" s="31" t="n">
        <v>122.8581571096253</v>
      </c>
      <c r="AM23" s="31" t="n">
        <v>76.88906355649803</v>
      </c>
      <c r="AN23" s="31" t="n">
        <v>23.74090975900497</v>
      </c>
      <c r="AO23" s="31" t="n">
        <v>73.53965802973408</v>
      </c>
      <c r="AP23" s="31" t="n">
        <v>464.9111102478866</v>
      </c>
      <c r="AQ23" s="31" t="n">
        <v>287.1450802414493</v>
      </c>
      <c r="AR23" s="31" t="n">
        <v>7764.703702399574</v>
      </c>
      <c r="AS23" s="31" t="n">
        <v>256.5800456008936</v>
      </c>
      <c r="AT23" s="31" t="n">
        <v>6.066568368409667</v>
      </c>
      <c r="AU23" s="31" t="n">
        <v>42.81792500564441</v>
      </c>
      <c r="AV23" s="31" t="n">
        <v>81.29553168867329</v>
      </c>
      <c r="AW23" s="31" t="n">
        <v>437.1269462451421</v>
      </c>
      <c r="AX23" s="31" t="n">
        <v>23084.67749652742</v>
      </c>
      <c r="AY23" s="31" t="n">
        <v>6.742217651439432</v>
      </c>
      <c r="AZ23" s="31" t="n">
        <v>11.93491598420323</v>
      </c>
      <c r="BA23" s="31" t="n">
        <v>64.98788164681935</v>
      </c>
      <c r="BB23" s="31" t="n">
        <v>47.82762326376167</v>
      </c>
      <c r="BC23" s="31" t="n">
        <v>257.3259943597899</v>
      </c>
      <c r="BD23" s="31" t="n">
        <v>49.29736460764639</v>
      </c>
      <c r="BE23" s="31" t="n">
        <v>126.0143865755084</v>
      </c>
      <c r="BF23" s="31" t="n">
        <v>83.97904192069495</v>
      </c>
      <c r="BG23" s="31" t="n">
        <v>142.3259955601943</v>
      </c>
      <c r="BH23" s="31" t="n">
        <v>72.18698440367122</v>
      </c>
      <c r="BI23" s="31" t="n">
        <v>121.5591248879239</v>
      </c>
      <c r="BJ23" s="31" t="n">
        <v>29.46525558102647</v>
      </c>
      <c r="BK23" s="31" t="n">
        <v>3641.002895788013</v>
      </c>
      <c r="BL23" s="31" t="n">
        <v>2315.043687169375</v>
      </c>
      <c r="BM23" s="31" t="n">
        <v>356.0769804911475</v>
      </c>
      <c r="BN23" s="31" t="n">
        <v>4838.343508366702</v>
      </c>
      <c r="BO23" s="31" t="n">
        <v>1328.949219994115</v>
      </c>
      <c r="BP23" s="31" t="n">
        <v>84.18334591703646</v>
      </c>
      <c r="BQ23" s="31" t="n">
        <v>1448.946356759522</v>
      </c>
      <c r="BR23" s="31" t="n">
        <v>0</v>
      </c>
      <c r="BS23" s="31">
        <f>SUM(C23:BR23)</f>
        <v/>
      </c>
      <c r="BT23" s="31" t="n">
        <v>0</v>
      </c>
      <c r="BU23" s="31" t="n">
        <v>0</v>
      </c>
      <c r="BV23" s="31" t="n">
        <v>316583.8227766503</v>
      </c>
      <c r="BW23" s="31" t="n">
        <v>0</v>
      </c>
      <c r="BX23" s="31">
        <f>SUM(BT23:BW23)</f>
        <v/>
      </c>
      <c r="BY23" s="31">
        <f>BS23+BX23</f>
        <v/>
      </c>
    </row>
    <row r="24">
      <c r="A24" s="28" t="inlineStr">
        <is>
          <t>1100</t>
        </is>
      </c>
      <c r="B24" s="28" t="inlineStr">
        <is>
          <t>Fabricação de bebidas</t>
        </is>
      </c>
      <c r="C24" s="29" t="n">
        <v>29.09937200545685</v>
      </c>
      <c r="D24" s="29" t="n">
        <v>7.79976150371299</v>
      </c>
      <c r="E24" s="29" t="n">
        <v>0.4550352222618081</v>
      </c>
      <c r="F24" s="29" t="n">
        <v>33.47808521880417</v>
      </c>
      <c r="G24" s="29" t="n">
        <v>33.37177197029376</v>
      </c>
      <c r="H24" s="29" t="n">
        <v>36.48382402296002</v>
      </c>
      <c r="I24" s="29" t="n">
        <v>5.718935582478527</v>
      </c>
      <c r="J24" s="29" t="n">
        <v>756.2567536578024</v>
      </c>
      <c r="K24" s="29" t="n">
        <v>4.852294892694712</v>
      </c>
      <c r="L24" s="29" t="n">
        <v>181.6393200747992</v>
      </c>
      <c r="M24" s="29" t="n">
        <v>15135.85660623618</v>
      </c>
      <c r="N24" s="29" t="n">
        <v>1.067699865725046</v>
      </c>
      <c r="O24" s="29" t="n">
        <v>6.464029057636772</v>
      </c>
      <c r="P24" s="29" t="n">
        <v>5.196555399504263</v>
      </c>
      <c r="Q24" s="29" t="n">
        <v>4.265119806656635</v>
      </c>
      <c r="R24" s="29" t="n">
        <v>18.40140986962252</v>
      </c>
      <c r="S24" s="29" t="n">
        <v>21.17904825142358</v>
      </c>
      <c r="T24" s="29" t="n">
        <v>3.54230904961661</v>
      </c>
      <c r="U24" s="29" t="n">
        <v>62.9399849675573</v>
      </c>
      <c r="V24" s="29" t="n">
        <v>11.59831559203628</v>
      </c>
      <c r="W24" s="29" t="n">
        <v>27.98817655193972</v>
      </c>
      <c r="X24" s="29" t="n">
        <v>65.28997986131149</v>
      </c>
      <c r="Y24" s="29" t="n">
        <v>24.21459673386226</v>
      </c>
      <c r="Z24" s="29" t="n">
        <v>21.69817285995764</v>
      </c>
      <c r="AA24" s="29" t="n">
        <v>30.96735027471924</v>
      </c>
      <c r="AB24" s="29" t="n">
        <v>14.53511791925608</v>
      </c>
      <c r="AC24" s="29" t="n">
        <v>26.24152206847107</v>
      </c>
      <c r="AD24" s="29" t="n">
        <v>3.709131514205335</v>
      </c>
      <c r="AE24" s="29" t="n">
        <v>59.65595810573465</v>
      </c>
      <c r="AF24" s="29" t="n">
        <v>8.751032283258446</v>
      </c>
      <c r="AG24" s="29" t="n">
        <v>21.12557935891377</v>
      </c>
      <c r="AH24" s="29" t="n">
        <v>96.344252259032</v>
      </c>
      <c r="AI24" s="29" t="n">
        <v>26.30488126535233</v>
      </c>
      <c r="AJ24" s="29" t="n">
        <v>13.95257137821045</v>
      </c>
      <c r="AK24" s="29" t="n">
        <v>8.697078206738297</v>
      </c>
      <c r="AL24" s="29" t="n">
        <v>16.96366429998274</v>
      </c>
      <c r="AM24" s="29" t="n">
        <v>39.66464658945111</v>
      </c>
      <c r="AN24" s="29" t="n">
        <v>13.95554058315066</v>
      </c>
      <c r="AO24" s="29" t="n">
        <v>8.793252358032023</v>
      </c>
      <c r="AP24" s="29" t="n">
        <v>126.6166774461465</v>
      </c>
      <c r="AQ24" s="29" t="n">
        <v>29.55042212493347</v>
      </c>
      <c r="AR24" s="29" t="n">
        <v>360.2572782641831</v>
      </c>
      <c r="AS24" s="29" t="n">
        <v>16.05331442944668</v>
      </c>
      <c r="AT24" s="29" t="n">
        <v>1.27393703580218</v>
      </c>
      <c r="AU24" s="29" t="n">
        <v>10.04533958943089</v>
      </c>
      <c r="AV24" s="29" t="n">
        <v>26.20313316242697</v>
      </c>
      <c r="AW24" s="29" t="n">
        <v>898.4135474271411</v>
      </c>
      <c r="AX24" s="29" t="n">
        <v>51534.26607284638</v>
      </c>
      <c r="AY24" s="29" t="n">
        <v>2.023680612032919</v>
      </c>
      <c r="AZ24" s="29" t="n">
        <v>4.44569523343392</v>
      </c>
      <c r="BA24" s="29" t="n">
        <v>20.61589642598244</v>
      </c>
      <c r="BB24" s="29" t="n">
        <v>20.03823070783466</v>
      </c>
      <c r="BC24" s="29" t="n">
        <v>151.763393236857</v>
      </c>
      <c r="BD24" s="29" t="n">
        <v>14.99626629023834</v>
      </c>
      <c r="BE24" s="29" t="n">
        <v>39.06109443023855</v>
      </c>
      <c r="BF24" s="29" t="n">
        <v>7.123524906015868</v>
      </c>
      <c r="BG24" s="29" t="n">
        <v>11.92213265848199</v>
      </c>
      <c r="BH24" s="29" t="n">
        <v>8.056673957534349</v>
      </c>
      <c r="BI24" s="29" t="n">
        <v>33.60652256265749</v>
      </c>
      <c r="BJ24" s="29" t="n">
        <v>2.879933323546333</v>
      </c>
      <c r="BK24" s="29" t="n">
        <v>270.7169449154957</v>
      </c>
      <c r="BL24" s="29" t="n">
        <v>150.4474097784156</v>
      </c>
      <c r="BM24" s="29" t="n">
        <v>47.56516259001977</v>
      </c>
      <c r="BN24" s="29" t="n">
        <v>210.1248989344209</v>
      </c>
      <c r="BO24" s="29" t="n">
        <v>267.8032899569945</v>
      </c>
      <c r="BP24" s="29" t="n">
        <v>72.19144690061859</v>
      </c>
      <c r="BQ24" s="29" t="n">
        <v>39.0582372643896</v>
      </c>
      <c r="BR24" s="29" t="n">
        <v>0</v>
      </c>
      <c r="BS24" s="29">
        <f>SUM(C24:BR24)</f>
        <v/>
      </c>
      <c r="BT24" s="29" t="n">
        <v>0</v>
      </c>
      <c r="BU24" s="29" t="n">
        <v>0</v>
      </c>
      <c r="BV24" s="29" t="n">
        <v>65236.12943178132</v>
      </c>
      <c r="BW24" s="29" t="n">
        <v>0</v>
      </c>
      <c r="BX24" s="29">
        <f>SUM(BT24:BW24)</f>
        <v/>
      </c>
      <c r="BY24" s="29">
        <f>BS24+BX24</f>
        <v/>
      </c>
    </row>
    <row r="25">
      <c r="A25" s="30" t="inlineStr">
        <is>
          <t>1200</t>
        </is>
      </c>
      <c r="B25" s="30" t="inlineStr">
        <is>
          <t>Fabricação de produtos do fumo</t>
        </is>
      </c>
      <c r="C25" s="31" t="n">
        <v>12.41681400278778</v>
      </c>
      <c r="D25" s="31" t="n">
        <v>1.305420504139809</v>
      </c>
      <c r="E25" s="31" t="n">
        <v>0.09135053949574473</v>
      </c>
      <c r="F25" s="31" t="n">
        <v>0.02248456777217721</v>
      </c>
      <c r="G25" s="31" t="n">
        <v>1.616910285914331</v>
      </c>
      <c r="H25" s="31" t="n">
        <v>2.341739039343186</v>
      </c>
      <c r="I25" s="31" t="n">
        <v>0.1917826028096251</v>
      </c>
      <c r="J25" s="31" t="n">
        <v>3.257039325548909</v>
      </c>
      <c r="K25" s="31" t="n">
        <v>0.1624807550418423</v>
      </c>
      <c r="L25" s="31" t="n">
        <v>2.892830021697884</v>
      </c>
      <c r="M25" s="31" t="n">
        <v>0.3006990068692258</v>
      </c>
      <c r="N25" s="31" t="n">
        <v>1953.135699463898</v>
      </c>
      <c r="O25" s="31" t="n">
        <v>0.4440079365131331</v>
      </c>
      <c r="P25" s="31" t="n">
        <v>0.3050916789335021</v>
      </c>
      <c r="Q25" s="31" t="n">
        <v>0.4382147283379978</v>
      </c>
      <c r="R25" s="31" t="n">
        <v>1.064077733008707</v>
      </c>
      <c r="S25" s="31" t="n">
        <v>5.893550887843242</v>
      </c>
      <c r="T25" s="31" t="n">
        <v>0.6368132932579551</v>
      </c>
      <c r="U25" s="31" t="n">
        <v>0.1779690111621697</v>
      </c>
      <c r="V25" s="31" t="n">
        <v>0.1712854430649018</v>
      </c>
      <c r="W25" s="31" t="n">
        <v>0.806817237668608</v>
      </c>
      <c r="X25" s="31" t="n">
        <v>0.3302235043515367</v>
      </c>
      <c r="Y25" s="31" t="n">
        <v>0.9945638629042576</v>
      </c>
      <c r="Z25" s="31" t="n">
        <v>1.102515038454865</v>
      </c>
      <c r="AA25" s="31" t="n">
        <v>1.682272016403844</v>
      </c>
      <c r="AB25" s="31" t="n">
        <v>1.373748657354104</v>
      </c>
      <c r="AC25" s="31" t="n">
        <v>0.2885792984075364</v>
      </c>
      <c r="AD25" s="31" t="n">
        <v>0.2908923272712658</v>
      </c>
      <c r="AE25" s="31" t="n">
        <v>0.9972821753069541</v>
      </c>
      <c r="AF25" s="31" t="n">
        <v>0.580217069861436</v>
      </c>
      <c r="AG25" s="31" t="n">
        <v>0.6989516582189466</v>
      </c>
      <c r="AH25" s="31" t="n">
        <v>5.75919719693653</v>
      </c>
      <c r="AI25" s="31" t="n">
        <v>0.843398900125324</v>
      </c>
      <c r="AJ25" s="31" t="n">
        <v>0.6167354349306483</v>
      </c>
      <c r="AK25" s="31" t="n">
        <v>0.1679933210720254</v>
      </c>
      <c r="AL25" s="31" t="n">
        <v>0.6950206241732273</v>
      </c>
      <c r="AM25" s="31" t="n">
        <v>2.11144238307093</v>
      </c>
      <c r="AN25" s="31" t="n">
        <v>0.140346101061633</v>
      </c>
      <c r="AO25" s="31" t="n">
        <v>0.07323302290658602</v>
      </c>
      <c r="AP25" s="31" t="n">
        <v>1.027830446206347</v>
      </c>
      <c r="AQ25" s="31" t="n">
        <v>0.5147081057803662</v>
      </c>
      <c r="AR25" s="31" t="n">
        <v>5.892423582334688</v>
      </c>
      <c r="AS25" s="31" t="n">
        <v>0.1390925137746031</v>
      </c>
      <c r="AT25" s="31" t="n">
        <v>0.08872618525641623</v>
      </c>
      <c r="AU25" s="31" t="n">
        <v>0.007299478448274272</v>
      </c>
      <c r="AV25" s="31" t="n">
        <v>0.3759010385083954</v>
      </c>
      <c r="AW25" s="31" t="n">
        <v>0.1103615698425825</v>
      </c>
      <c r="AX25" s="31" t="n">
        <v>0.7539242116863958</v>
      </c>
      <c r="AY25" s="31" t="n">
        <v>0.4289845287751147</v>
      </c>
      <c r="AZ25" s="31" t="n">
        <v>0.1344866675544212</v>
      </c>
      <c r="BA25" s="31" t="n">
        <v>0.487083794972472</v>
      </c>
      <c r="BB25" s="31" t="n">
        <v>0.8813544091194749</v>
      </c>
      <c r="BC25" s="31" t="n">
        <v>0.8580712237117556</v>
      </c>
      <c r="BD25" s="31" t="n">
        <v>0.207031159833309</v>
      </c>
      <c r="BE25" s="31" t="n">
        <v>1.00431175048097</v>
      </c>
      <c r="BF25" s="31" t="n">
        <v>1.638802896234103</v>
      </c>
      <c r="BG25" s="31" t="n">
        <v>0.4291569550156985</v>
      </c>
      <c r="BH25" s="31" t="n">
        <v>0.3742557219855063</v>
      </c>
      <c r="BI25" s="31" t="n">
        <v>1.759019810561161</v>
      </c>
      <c r="BJ25" s="31" t="n">
        <v>0.03756609428040215</v>
      </c>
      <c r="BK25" s="31" t="n">
        <v>0.4727995135282385</v>
      </c>
      <c r="BL25" s="31" t="n">
        <v>0.3221031789062981</v>
      </c>
      <c r="BM25" s="31" t="n">
        <v>0.44330873814481</v>
      </c>
      <c r="BN25" s="31" t="n">
        <v>0.1581937100216226</v>
      </c>
      <c r="BO25" s="31" t="n">
        <v>0.4563405723173853</v>
      </c>
      <c r="BP25" s="31" t="n">
        <v>0.1440546318422436</v>
      </c>
      <c r="BQ25" s="31" t="n">
        <v>0.3963342997377221</v>
      </c>
      <c r="BR25" s="31" t="n">
        <v>0</v>
      </c>
      <c r="BS25" s="31">
        <f>SUM(C25:BR25)</f>
        <v/>
      </c>
      <c r="BT25" s="31" t="n">
        <v>0</v>
      </c>
      <c r="BU25" s="31" t="n">
        <v>0</v>
      </c>
      <c r="BV25" s="31" t="n">
        <v>17758.44206057818</v>
      </c>
      <c r="BW25" s="31" t="n">
        <v>0</v>
      </c>
      <c r="BX25" s="31">
        <f>SUM(BT25:BW25)</f>
        <v/>
      </c>
      <c r="BY25" s="31">
        <f>BS25+BX25</f>
        <v/>
      </c>
    </row>
    <row r="26">
      <c r="A26" s="28" t="inlineStr">
        <is>
          <t>1300</t>
        </is>
      </c>
      <c r="B26" s="28" t="inlineStr">
        <is>
          <t>Fabricação de produtos têxteis</t>
        </is>
      </c>
      <c r="C26" s="29" t="n">
        <v>2209.581062607649</v>
      </c>
      <c r="D26" s="29" t="n">
        <v>44.66879460194057</v>
      </c>
      <c r="E26" s="29" t="n">
        <v>6.338191147666523</v>
      </c>
      <c r="F26" s="29" t="n">
        <v>466.6801044014236</v>
      </c>
      <c r="G26" s="29" t="n">
        <v>314.8216208062644</v>
      </c>
      <c r="H26" s="29" t="n">
        <v>15.38903626656944</v>
      </c>
      <c r="I26" s="29" t="n">
        <v>14.33371315162147</v>
      </c>
      <c r="J26" s="29" t="n">
        <v>29.63783334592661</v>
      </c>
      <c r="K26" s="29" t="n">
        <v>439.4749634781988</v>
      </c>
      <c r="L26" s="29" t="n">
        <v>613.9649464295917</v>
      </c>
      <c r="M26" s="29" t="n">
        <v>27.18835832152149</v>
      </c>
      <c r="N26" s="29" t="n">
        <v>0.998449309090954</v>
      </c>
      <c r="O26" s="29" t="n">
        <v>22613.7238602101</v>
      </c>
      <c r="P26" s="29" t="n">
        <v>32465.57520170379</v>
      </c>
      <c r="Q26" s="29" t="n">
        <v>5877.788195424384</v>
      </c>
      <c r="R26" s="29" t="n">
        <v>26.84417113174366</v>
      </c>
      <c r="S26" s="29" t="n">
        <v>387.3114207575679</v>
      </c>
      <c r="T26" s="29" t="n">
        <v>7.672155231709086</v>
      </c>
      <c r="U26" s="29" t="n">
        <v>1.940891780575781</v>
      </c>
      <c r="V26" s="29" t="n">
        <v>1.763165455213638</v>
      </c>
      <c r="W26" s="29" t="n">
        <v>62.65273546935789</v>
      </c>
      <c r="X26" s="29" t="n">
        <v>112.4170401784778</v>
      </c>
      <c r="Y26" s="29" t="n">
        <v>24.41473096192464</v>
      </c>
      <c r="Z26" s="29" t="n">
        <v>290.9702174052889</v>
      </c>
      <c r="AA26" s="29" t="n">
        <v>1795.180047983681</v>
      </c>
      <c r="AB26" s="29" t="n">
        <v>97.82079765323545</v>
      </c>
      <c r="AC26" s="29" t="n">
        <v>10.65046579840288</v>
      </c>
      <c r="AD26" s="29" t="n">
        <v>20.16389107299315</v>
      </c>
      <c r="AE26" s="29" t="n">
        <v>145.9842209141721</v>
      </c>
      <c r="AF26" s="29" t="n">
        <v>21.66516144618014</v>
      </c>
      <c r="AG26" s="29" t="n">
        <v>119.1570631829305</v>
      </c>
      <c r="AH26" s="29" t="n">
        <v>81.01201439502177</v>
      </c>
      <c r="AI26" s="29" t="n">
        <v>101.2862744762275</v>
      </c>
      <c r="AJ26" s="29" t="n">
        <v>3030.258565652543</v>
      </c>
      <c r="AK26" s="29" t="n">
        <v>150.8043448587148</v>
      </c>
      <c r="AL26" s="29" t="n">
        <v>3343.197685134941</v>
      </c>
      <c r="AM26" s="29" t="n">
        <v>31.37571248127496</v>
      </c>
      <c r="AN26" s="29" t="n">
        <v>62.2217749464557</v>
      </c>
      <c r="AO26" s="29" t="n">
        <v>36.23620259028922</v>
      </c>
      <c r="AP26" s="29" t="n">
        <v>1289.882889334193</v>
      </c>
      <c r="AQ26" s="29" t="n">
        <v>44.99888677848273</v>
      </c>
      <c r="AR26" s="29" t="n">
        <v>438.5161709283946</v>
      </c>
      <c r="AS26" s="29" t="n">
        <v>158.7859179484336</v>
      </c>
      <c r="AT26" s="29" t="n">
        <v>43.70964926551413</v>
      </c>
      <c r="AU26" s="29" t="n">
        <v>3.880052319457857</v>
      </c>
      <c r="AV26" s="29" t="n">
        <v>14.06478931584975</v>
      </c>
      <c r="AW26" s="29" t="n">
        <v>531.3265063632621</v>
      </c>
      <c r="AX26" s="29" t="n">
        <v>388.7749105968794</v>
      </c>
      <c r="AY26" s="29" t="n">
        <v>2.846317987407591</v>
      </c>
      <c r="AZ26" s="29" t="n">
        <v>12.33599384488374</v>
      </c>
      <c r="BA26" s="29" t="n">
        <v>9.948749782052403</v>
      </c>
      <c r="BB26" s="29" t="n">
        <v>9.917851201039877</v>
      </c>
      <c r="BC26" s="29" t="n">
        <v>21.15927824645921</v>
      </c>
      <c r="BD26" s="29" t="n">
        <v>12.15370877614925</v>
      </c>
      <c r="BE26" s="29" t="n">
        <v>22.81415531219934</v>
      </c>
      <c r="BF26" s="29" t="n">
        <v>15.07395936963574</v>
      </c>
      <c r="BG26" s="29" t="n">
        <v>17.66259889074768</v>
      </c>
      <c r="BH26" s="29" t="n">
        <v>12.40916881827638</v>
      </c>
      <c r="BI26" s="29" t="n">
        <v>47.77007188031217</v>
      </c>
      <c r="BJ26" s="29" t="n">
        <v>3.429329017117531</v>
      </c>
      <c r="BK26" s="29" t="n">
        <v>94.84763623807473</v>
      </c>
      <c r="BL26" s="29" t="n">
        <v>104.5086716722768</v>
      </c>
      <c r="BM26" s="29" t="n">
        <v>12.79636822309944</v>
      </c>
      <c r="BN26" s="29" t="n">
        <v>140.4640926368046</v>
      </c>
      <c r="BO26" s="29" t="n">
        <v>211.9958668915531</v>
      </c>
      <c r="BP26" s="29" t="n">
        <v>12.44218792730808</v>
      </c>
      <c r="BQ26" s="29" t="n">
        <v>1907.567880754747</v>
      </c>
      <c r="BR26" s="29" t="n">
        <v>0</v>
      </c>
      <c r="BS26" s="29">
        <f>SUM(C26:BR26)</f>
        <v/>
      </c>
      <c r="BT26" s="29" t="n">
        <v>0</v>
      </c>
      <c r="BU26" s="29" t="n">
        <v>0</v>
      </c>
      <c r="BV26" s="29" t="n">
        <v>34635.5441482372</v>
      </c>
      <c r="BW26" s="29" t="n">
        <v>0</v>
      </c>
      <c r="BX26" s="29">
        <f>SUM(BT26:BW26)</f>
        <v/>
      </c>
      <c r="BY26" s="29">
        <f>BS26+BX26</f>
        <v/>
      </c>
    </row>
    <row r="27">
      <c r="A27" s="30" t="inlineStr">
        <is>
          <t>1400</t>
        </is>
      </c>
      <c r="B27" s="30" t="inlineStr">
        <is>
          <t>Confecção de artefatos do vestuário e acessórios</t>
        </is>
      </c>
      <c r="C27" s="31" t="n">
        <v>32.69146870796301</v>
      </c>
      <c r="D27" s="31" t="n">
        <v>2.326483433492405</v>
      </c>
      <c r="E27" s="31" t="n">
        <v>24.45068484290591</v>
      </c>
      <c r="F27" s="31" t="n">
        <v>10.13923789360372</v>
      </c>
      <c r="G27" s="31" t="n">
        <v>263.8700865959212</v>
      </c>
      <c r="H27" s="31" t="n">
        <v>6.198941504759528</v>
      </c>
      <c r="I27" s="31" t="n">
        <v>0.6457996123316637</v>
      </c>
      <c r="J27" s="31" t="n">
        <v>22.09246867193021</v>
      </c>
      <c r="K27" s="31" t="n">
        <v>6.095276461641235</v>
      </c>
      <c r="L27" s="31" t="n">
        <v>27.7686238870978</v>
      </c>
      <c r="M27" s="31" t="n">
        <v>1.068601434522167</v>
      </c>
      <c r="N27" s="31" t="n">
        <v>0.4878942881123787</v>
      </c>
      <c r="O27" s="31" t="n">
        <v>237.6072358066548</v>
      </c>
      <c r="P27" s="31" t="n">
        <v>4715.683422124964</v>
      </c>
      <c r="Q27" s="31" t="n">
        <v>190.3557300113084</v>
      </c>
      <c r="R27" s="31" t="n">
        <v>1.280483335881143</v>
      </c>
      <c r="S27" s="31" t="n">
        <v>8.716642505896168</v>
      </c>
      <c r="T27" s="31" t="n">
        <v>0.7390990154391774</v>
      </c>
      <c r="U27" s="31" t="n">
        <v>0.4914460847117668</v>
      </c>
      <c r="V27" s="31" t="n">
        <v>0.5204782431469051</v>
      </c>
      <c r="W27" s="31" t="n">
        <v>2.765695499179256</v>
      </c>
      <c r="X27" s="31" t="n">
        <v>23.54095893636073</v>
      </c>
      <c r="Y27" s="31" t="n">
        <v>1.308318719938987</v>
      </c>
      <c r="Z27" s="31" t="n">
        <v>3.448838581591347</v>
      </c>
      <c r="AA27" s="31" t="n">
        <v>15.10704758167636</v>
      </c>
      <c r="AB27" s="31" t="n">
        <v>38.97961935553902</v>
      </c>
      <c r="AC27" s="31" t="n">
        <v>15.52830140160601</v>
      </c>
      <c r="AD27" s="31" t="n">
        <v>0.392670810397846</v>
      </c>
      <c r="AE27" s="31" t="n">
        <v>122.5370369507967</v>
      </c>
      <c r="AF27" s="31" t="n">
        <v>1.218947516880614</v>
      </c>
      <c r="AG27" s="31" t="n">
        <v>3.671421139886399</v>
      </c>
      <c r="AH27" s="31" t="n">
        <v>21.57114753533062</v>
      </c>
      <c r="AI27" s="31" t="n">
        <v>7.058038617394254</v>
      </c>
      <c r="AJ27" s="31" t="n">
        <v>93.2832135970863</v>
      </c>
      <c r="AK27" s="31" t="n">
        <v>3.194861943058433</v>
      </c>
      <c r="AL27" s="31" t="n">
        <v>87.96909488445148</v>
      </c>
      <c r="AM27" s="31" t="n">
        <v>7.549080978513222</v>
      </c>
      <c r="AN27" s="31" t="n">
        <v>170.9847533640891</v>
      </c>
      <c r="AO27" s="31" t="n">
        <v>300.2111046363799</v>
      </c>
      <c r="AP27" s="31" t="n">
        <v>93.47794094775257</v>
      </c>
      <c r="AQ27" s="31" t="n">
        <v>4.285690783147966</v>
      </c>
      <c r="AR27" s="31" t="n">
        <v>864.9895703674918</v>
      </c>
      <c r="AS27" s="31" t="n">
        <v>491.4181871359349</v>
      </c>
      <c r="AT27" s="31" t="n">
        <v>23.19847769876068</v>
      </c>
      <c r="AU27" s="31" t="n">
        <v>257.7316390313127</v>
      </c>
      <c r="AV27" s="31" t="n">
        <v>261.5885131535572</v>
      </c>
      <c r="AW27" s="31" t="n">
        <v>185.5793462625396</v>
      </c>
      <c r="AX27" s="31" t="n">
        <v>420.2895900141419</v>
      </c>
      <c r="AY27" s="31" t="n">
        <v>0.511795146360263</v>
      </c>
      <c r="AZ27" s="31" t="n">
        <v>267.4546514193852</v>
      </c>
      <c r="BA27" s="31" t="n">
        <v>65.02491989438985</v>
      </c>
      <c r="BB27" s="31" t="n">
        <v>3.587834635615169</v>
      </c>
      <c r="BC27" s="31" t="n">
        <v>964.509214238803</v>
      </c>
      <c r="BD27" s="31" t="n">
        <v>74.59347006548344</v>
      </c>
      <c r="BE27" s="31" t="n">
        <v>21.15009289559401</v>
      </c>
      <c r="BF27" s="31" t="n">
        <v>390.6843825836106</v>
      </c>
      <c r="BG27" s="31" t="n">
        <v>107.5326667225217</v>
      </c>
      <c r="BH27" s="31" t="n">
        <v>7.055356600650967</v>
      </c>
      <c r="BI27" s="31" t="n">
        <v>333.4312683015399</v>
      </c>
      <c r="BJ27" s="31" t="n">
        <v>475.9747900778855</v>
      </c>
      <c r="BK27" s="31" t="n">
        <v>1527.231405682345</v>
      </c>
      <c r="BL27" s="31" t="n">
        <v>1262.521180572987</v>
      </c>
      <c r="BM27" s="31" t="n">
        <v>3.471647305490207</v>
      </c>
      <c r="BN27" s="31" t="n">
        <v>233.0050205270632</v>
      </c>
      <c r="BO27" s="31" t="n">
        <v>213.6553918779154</v>
      </c>
      <c r="BP27" s="31" t="n">
        <v>257.0367479375255</v>
      </c>
      <c r="BQ27" s="31" t="n">
        <v>2117.603883928933</v>
      </c>
      <c r="BR27" s="31" t="n">
        <v>0</v>
      </c>
      <c r="BS27" s="31">
        <f>SUM(C27:BR27)</f>
        <v/>
      </c>
      <c r="BT27" s="31" t="n">
        <v>0</v>
      </c>
      <c r="BU27" s="31" t="n">
        <v>0</v>
      </c>
      <c r="BV27" s="31" t="n">
        <v>72338.01507753535</v>
      </c>
      <c r="BW27" s="31" t="n">
        <v>0</v>
      </c>
      <c r="BX27" s="31">
        <f>SUM(BT27:BW27)</f>
        <v/>
      </c>
      <c r="BY27" s="31">
        <f>BS27+BX27</f>
        <v/>
      </c>
    </row>
    <row r="28">
      <c r="A28" s="28" t="inlineStr">
        <is>
          <t>1500</t>
        </is>
      </c>
      <c r="B28" s="28" t="inlineStr">
        <is>
          <t>Fabricação de calçados e de artefatos de couro</t>
        </is>
      </c>
      <c r="C28" s="29" t="n">
        <v>7.110553739799869</v>
      </c>
      <c r="D28" s="29" t="n">
        <v>7.711968206677019</v>
      </c>
      <c r="E28" s="29" t="n">
        <v>0.2164301289647824</v>
      </c>
      <c r="F28" s="29" t="n">
        <v>3.035593456650424</v>
      </c>
      <c r="G28" s="29" t="n">
        <v>14.86899621083267</v>
      </c>
      <c r="H28" s="29" t="n">
        <v>6.206138887120275</v>
      </c>
      <c r="I28" s="29" t="n">
        <v>0.465377364141404</v>
      </c>
      <c r="J28" s="29" t="n">
        <v>35.29399812386572</v>
      </c>
      <c r="K28" s="29" t="n">
        <v>1.436823653184247</v>
      </c>
      <c r="L28" s="29" t="n">
        <v>46.0929755629153</v>
      </c>
      <c r="M28" s="29" t="n">
        <v>7.98215595476866</v>
      </c>
      <c r="N28" s="29" t="n">
        <v>1.627045583786179</v>
      </c>
      <c r="O28" s="29" t="n">
        <v>17.04051026118304</v>
      </c>
      <c r="P28" s="29" t="n">
        <v>14.389291278375</v>
      </c>
      <c r="Q28" s="29" t="n">
        <v>11697.32718547043</v>
      </c>
      <c r="R28" s="29" t="n">
        <v>2.984087610306175</v>
      </c>
      <c r="S28" s="29" t="n">
        <v>190.5410558192152</v>
      </c>
      <c r="T28" s="29" t="n">
        <v>2.369970912271309</v>
      </c>
      <c r="U28" s="29" t="n">
        <v>0.8993482070078318</v>
      </c>
      <c r="V28" s="29" t="n">
        <v>3.959867762596705</v>
      </c>
      <c r="W28" s="29" t="n">
        <v>9.242527889347818</v>
      </c>
      <c r="X28" s="29" t="n">
        <v>10.28122828575472</v>
      </c>
      <c r="Y28" s="29" t="n">
        <v>12.75071249828146</v>
      </c>
      <c r="Z28" s="29" t="n">
        <v>3.947152409426595</v>
      </c>
      <c r="AA28" s="29" t="n">
        <v>53.54592385135345</v>
      </c>
      <c r="AB28" s="29" t="n">
        <v>7.684631112002178</v>
      </c>
      <c r="AC28" s="29" t="n">
        <v>2.480440615083161</v>
      </c>
      <c r="AD28" s="29" t="n">
        <v>1.369216993372341</v>
      </c>
      <c r="AE28" s="29" t="n">
        <v>79.47674313858511</v>
      </c>
      <c r="AF28" s="29" t="n">
        <v>3.003742007350278</v>
      </c>
      <c r="AG28" s="29" t="n">
        <v>7.947021064586884</v>
      </c>
      <c r="AH28" s="29" t="n">
        <v>11.2033746297441</v>
      </c>
      <c r="AI28" s="29" t="n">
        <v>117.9583747487934</v>
      </c>
      <c r="AJ28" s="29" t="n">
        <v>47.02605851291899</v>
      </c>
      <c r="AK28" s="29" t="n">
        <v>1.934124992235795</v>
      </c>
      <c r="AL28" s="29" t="n">
        <v>100.3783151145662</v>
      </c>
      <c r="AM28" s="29" t="n">
        <v>4.653473879670449</v>
      </c>
      <c r="AN28" s="29" t="n">
        <v>186.2515048440105</v>
      </c>
      <c r="AO28" s="29" t="n">
        <v>2.984207054459651</v>
      </c>
      <c r="AP28" s="29" t="n">
        <v>87.77233967887747</v>
      </c>
      <c r="AQ28" s="29" t="n">
        <v>49.03314173618762</v>
      </c>
      <c r="AR28" s="29" t="n">
        <v>29.11367538259385</v>
      </c>
      <c r="AS28" s="29" t="n">
        <v>41.14171881189004</v>
      </c>
      <c r="AT28" s="29" t="n">
        <v>0.3287925072983345</v>
      </c>
      <c r="AU28" s="29" t="n">
        <v>1.487219956769264</v>
      </c>
      <c r="AV28" s="29" t="n">
        <v>1.64962392015693</v>
      </c>
      <c r="AW28" s="29" t="n">
        <v>3.185894156687954</v>
      </c>
      <c r="AX28" s="29" t="n">
        <v>30.68480914103655</v>
      </c>
      <c r="AY28" s="29" t="n">
        <v>0.7771232082213595</v>
      </c>
      <c r="AZ28" s="29" t="n">
        <v>51.22972689830578</v>
      </c>
      <c r="BA28" s="29" t="n">
        <v>1.515034876180895</v>
      </c>
      <c r="BB28" s="29" t="n">
        <v>12.90053050959489</v>
      </c>
      <c r="BC28" s="29" t="n">
        <v>4.251918007526912</v>
      </c>
      <c r="BD28" s="29" t="n">
        <v>1.100888625759666</v>
      </c>
      <c r="BE28" s="29" t="n">
        <v>2.145423911144174</v>
      </c>
      <c r="BF28" s="29" t="n">
        <v>7.987177337436136</v>
      </c>
      <c r="BG28" s="29" t="n">
        <v>3.689758513308341</v>
      </c>
      <c r="BH28" s="29" t="n">
        <v>2.122166616574816</v>
      </c>
      <c r="BI28" s="29" t="n">
        <v>13.90788562055078</v>
      </c>
      <c r="BJ28" s="29" t="n">
        <v>147.1441351171639</v>
      </c>
      <c r="BK28" s="29" t="n">
        <v>47.96924198995213</v>
      </c>
      <c r="BL28" s="29" t="n">
        <v>8.520583874524064</v>
      </c>
      <c r="BM28" s="29" t="n">
        <v>0.9296388155198688</v>
      </c>
      <c r="BN28" s="29" t="n">
        <v>11.18628921953123</v>
      </c>
      <c r="BO28" s="29" t="n">
        <v>19.0501208184085</v>
      </c>
      <c r="BP28" s="29" t="n">
        <v>1.408660486265249</v>
      </c>
      <c r="BQ28" s="29" t="n">
        <v>9.862511981210396</v>
      </c>
      <c r="BR28" s="29" t="n">
        <v>0</v>
      </c>
      <c r="BS28" s="29">
        <f>SUM(C28:BR28)</f>
        <v/>
      </c>
      <c r="BT28" s="29" t="n">
        <v>0</v>
      </c>
      <c r="BU28" s="29" t="n">
        <v>0</v>
      </c>
      <c r="BV28" s="29" t="n">
        <v>43614.30300743056</v>
      </c>
      <c r="BW28" s="29" t="n">
        <v>0</v>
      </c>
      <c r="BX28" s="29">
        <f>SUM(BT28:BW28)</f>
        <v/>
      </c>
      <c r="BY28" s="29">
        <f>BS28+BX28</f>
        <v/>
      </c>
    </row>
    <row r="29">
      <c r="A29" s="30" t="inlineStr">
        <is>
          <t>1600</t>
        </is>
      </c>
      <c r="B29" s="30" t="inlineStr">
        <is>
          <t>Fabricação de produtos da madeira</t>
        </is>
      </c>
      <c r="C29" s="31" t="n">
        <v>1154.01656159853</v>
      </c>
      <c r="D29" s="31" t="n">
        <v>769.5791205441526</v>
      </c>
      <c r="E29" s="31" t="n">
        <v>50.22392134911774</v>
      </c>
      <c r="F29" s="31" t="n">
        <v>7.35372871567691</v>
      </c>
      <c r="G29" s="31" t="n">
        <v>14.18057248888848</v>
      </c>
      <c r="H29" s="31" t="n">
        <v>8.026886361857516</v>
      </c>
      <c r="I29" s="31" t="n">
        <v>1.104287413644548</v>
      </c>
      <c r="J29" s="31" t="n">
        <v>86.76050538063785</v>
      </c>
      <c r="K29" s="31" t="n">
        <v>1.9436440661256</v>
      </c>
      <c r="L29" s="31" t="n">
        <v>580.7267938832362</v>
      </c>
      <c r="M29" s="31" t="n">
        <v>213.7133453782673</v>
      </c>
      <c r="N29" s="31" t="n">
        <v>0.2451245416229598</v>
      </c>
      <c r="O29" s="31" t="n">
        <v>48.0324093570034</v>
      </c>
      <c r="P29" s="31" t="n">
        <v>2.885461756070375</v>
      </c>
      <c r="Q29" s="31" t="n">
        <v>0.830006192118899</v>
      </c>
      <c r="R29" s="31" t="n">
        <v>10921.20476178908</v>
      </c>
      <c r="S29" s="31" t="n">
        <v>1381.962849684884</v>
      </c>
      <c r="T29" s="31" t="n">
        <v>0.7597253519222823</v>
      </c>
      <c r="U29" s="31" t="n">
        <v>2.427678754510541</v>
      </c>
      <c r="V29" s="31" t="n">
        <v>2.367818563615958</v>
      </c>
      <c r="W29" s="31" t="n">
        <v>43.65169326441636</v>
      </c>
      <c r="X29" s="31" t="n">
        <v>80.91655086182485</v>
      </c>
      <c r="Y29" s="31" t="n">
        <v>3.668444564427851</v>
      </c>
      <c r="Z29" s="31" t="n">
        <v>2.523157522284737</v>
      </c>
      <c r="AA29" s="31" t="n">
        <v>10.64776351235445</v>
      </c>
      <c r="AB29" s="31" t="n">
        <v>79.23822221170782</v>
      </c>
      <c r="AC29" s="31" t="n">
        <v>33.98582169603306</v>
      </c>
      <c r="AD29" s="31" t="n">
        <v>1.07039494653435</v>
      </c>
      <c r="AE29" s="31" t="n">
        <v>552.654486350027</v>
      </c>
      <c r="AF29" s="31" t="n">
        <v>3.467057231930432</v>
      </c>
      <c r="AG29" s="31" t="n">
        <v>12.60146419291931</v>
      </c>
      <c r="AH29" s="31" t="n">
        <v>592.3206572805237</v>
      </c>
      <c r="AI29" s="31" t="n">
        <v>324.3115665855779</v>
      </c>
      <c r="AJ29" s="31" t="n">
        <v>132.5893211101102</v>
      </c>
      <c r="AK29" s="31" t="n">
        <v>168.2241672146291</v>
      </c>
      <c r="AL29" s="31" t="n">
        <v>12192.02891649933</v>
      </c>
      <c r="AM29" s="31" t="n">
        <v>10.71302576055222</v>
      </c>
      <c r="AN29" s="31" t="n">
        <v>460.5947447230062</v>
      </c>
      <c r="AO29" s="31" t="n">
        <v>12.40548614232294</v>
      </c>
      <c r="AP29" s="31" t="n">
        <v>9733.900499183539</v>
      </c>
      <c r="AQ29" s="31" t="n">
        <v>20.62160700184476</v>
      </c>
      <c r="AR29" s="31" t="n">
        <v>4974.410301293998</v>
      </c>
      <c r="AS29" s="31" t="n">
        <v>7.155080821853724</v>
      </c>
      <c r="AT29" s="31" t="n">
        <v>0.8038197884233494</v>
      </c>
      <c r="AU29" s="31" t="n">
        <v>0.4769263897584272</v>
      </c>
      <c r="AV29" s="31" t="n">
        <v>188.8034474737057</v>
      </c>
      <c r="AW29" s="31" t="n">
        <v>5.69851936309988</v>
      </c>
      <c r="AX29" s="31" t="n">
        <v>27.86965729434474</v>
      </c>
      <c r="AY29" s="31" t="n">
        <v>0.9309393731561552</v>
      </c>
      <c r="AZ29" s="31" t="n">
        <v>217.2427142035997</v>
      </c>
      <c r="BA29" s="31" t="n">
        <v>10.55469219840621</v>
      </c>
      <c r="BB29" s="31" t="n">
        <v>14.5986756590119</v>
      </c>
      <c r="BC29" s="31" t="n">
        <v>23.94390950045502</v>
      </c>
      <c r="BD29" s="31" t="n">
        <v>620.0091553591212</v>
      </c>
      <c r="BE29" s="31" t="n">
        <v>28.13346996497078</v>
      </c>
      <c r="BF29" s="31" t="n">
        <v>6.000207722851355</v>
      </c>
      <c r="BG29" s="31" t="n">
        <v>8.537761662543632</v>
      </c>
      <c r="BH29" s="31" t="n">
        <v>6.452312281284535</v>
      </c>
      <c r="BI29" s="31" t="n">
        <v>227.9989175870749</v>
      </c>
      <c r="BJ29" s="31" t="n">
        <v>1.777802465878572</v>
      </c>
      <c r="BK29" s="31" t="n">
        <v>144.0370253672224</v>
      </c>
      <c r="BL29" s="31" t="n">
        <v>42.18307034544185</v>
      </c>
      <c r="BM29" s="31" t="n">
        <v>26.92828616555878</v>
      </c>
      <c r="BN29" s="31" t="n">
        <v>13.37176779111577</v>
      </c>
      <c r="BO29" s="31" t="n">
        <v>20.77208187809536</v>
      </c>
      <c r="BP29" s="31" t="n">
        <v>19.5540800619267</v>
      </c>
      <c r="BQ29" s="31" t="n">
        <v>492.470196524715</v>
      </c>
      <c r="BR29" s="31" t="n">
        <v>0</v>
      </c>
      <c r="BS29" s="31">
        <f>SUM(C29:BR29)</f>
        <v/>
      </c>
      <c r="BT29" s="31" t="n">
        <v>0</v>
      </c>
      <c r="BU29" s="31" t="n">
        <v>0</v>
      </c>
      <c r="BV29" s="31" t="n">
        <v>23711.8144965573</v>
      </c>
      <c r="BW29" s="31" t="n">
        <v>0</v>
      </c>
      <c r="BX29" s="31">
        <f>SUM(BT29:BW29)</f>
        <v/>
      </c>
      <c r="BY29" s="31">
        <f>BS29+BX29</f>
        <v/>
      </c>
    </row>
    <row r="30">
      <c r="A30" s="28" t="inlineStr">
        <is>
          <t>1700</t>
        </is>
      </c>
      <c r="B30" s="28" t="inlineStr">
        <is>
          <t>Fabricação de celulose, papel e produtos de papel</t>
        </is>
      </c>
      <c r="C30" s="29" t="n">
        <v>1071.020567047246</v>
      </c>
      <c r="D30" s="29" t="n">
        <v>355.051984604808</v>
      </c>
      <c r="E30" s="29" t="n">
        <v>40.17425211046448</v>
      </c>
      <c r="F30" s="29" t="n">
        <v>9.814727204884765</v>
      </c>
      <c r="G30" s="29" t="n">
        <v>302.9841793526081</v>
      </c>
      <c r="H30" s="29" t="n">
        <v>664.0324753598222</v>
      </c>
      <c r="I30" s="29" t="n">
        <v>71.79428928087873</v>
      </c>
      <c r="J30" s="29" t="n">
        <v>7728.775970698853</v>
      </c>
      <c r="K30" s="29" t="n">
        <v>51.77508793001819</v>
      </c>
      <c r="L30" s="29" t="n">
        <v>8625.742481268571</v>
      </c>
      <c r="M30" s="29" t="n">
        <v>536.766238951787</v>
      </c>
      <c r="N30" s="29" t="n">
        <v>1699.106684035257</v>
      </c>
      <c r="O30" s="29" t="n">
        <v>1394.111929253913</v>
      </c>
      <c r="P30" s="29" t="n">
        <v>690.944804451619</v>
      </c>
      <c r="Q30" s="29" t="n">
        <v>1187.708825182758</v>
      </c>
      <c r="R30" s="29" t="n">
        <v>3671.498379398546</v>
      </c>
      <c r="S30" s="29" t="n">
        <v>37036.54471818492</v>
      </c>
      <c r="T30" s="29" t="n">
        <v>2485.921147742915</v>
      </c>
      <c r="U30" s="29" t="n">
        <v>355.7270202449504</v>
      </c>
      <c r="V30" s="29" t="n">
        <v>201.5739382954706</v>
      </c>
      <c r="W30" s="29" t="n">
        <v>276.5158790413834</v>
      </c>
      <c r="X30" s="29" t="n">
        <v>457.7378113419979</v>
      </c>
      <c r="Y30" s="29" t="n">
        <v>3462.912821928698</v>
      </c>
      <c r="Z30" s="29" t="n">
        <v>2098.747418774722</v>
      </c>
      <c r="AA30" s="29" t="n">
        <v>5490.183388480924</v>
      </c>
      <c r="AB30" s="29" t="n">
        <v>4475.918790392655</v>
      </c>
      <c r="AC30" s="29" t="n">
        <v>80.77472851527941</v>
      </c>
      <c r="AD30" s="29" t="n">
        <v>39.31089482218175</v>
      </c>
      <c r="AE30" s="29" t="n">
        <v>3010.68710442476</v>
      </c>
      <c r="AF30" s="29" t="n">
        <v>1632.060452666673</v>
      </c>
      <c r="AG30" s="29" t="n">
        <v>849.8697559874506</v>
      </c>
      <c r="AH30" s="29" t="n">
        <v>889.3388755963884</v>
      </c>
      <c r="AI30" s="29" t="n">
        <v>734.9806360275968</v>
      </c>
      <c r="AJ30" s="29" t="n">
        <v>1516.50513509964</v>
      </c>
      <c r="AK30" s="29" t="n">
        <v>106.3487455741664</v>
      </c>
      <c r="AL30" s="29" t="n">
        <v>2208.716836435985</v>
      </c>
      <c r="AM30" s="29" t="n">
        <v>282.2268149380741</v>
      </c>
      <c r="AN30" s="29" t="n">
        <v>78.49049248348976</v>
      </c>
      <c r="AO30" s="29" t="n">
        <v>108.4655280378538</v>
      </c>
      <c r="AP30" s="29" t="n">
        <v>837.2191364252351</v>
      </c>
      <c r="AQ30" s="29" t="n">
        <v>1300.5735310994</v>
      </c>
      <c r="AR30" s="29" t="n">
        <v>13246.56665273582</v>
      </c>
      <c r="AS30" s="29" t="n">
        <v>364.3315793659047</v>
      </c>
      <c r="AT30" s="29" t="n">
        <v>128.4237017858202</v>
      </c>
      <c r="AU30" s="29" t="n">
        <v>19.17165145416257</v>
      </c>
      <c r="AV30" s="29" t="n">
        <v>806.3740133252636</v>
      </c>
      <c r="AW30" s="29" t="n">
        <v>297.8568852737128</v>
      </c>
      <c r="AX30" s="29" t="n">
        <v>2373.99026458892</v>
      </c>
      <c r="AY30" s="29" t="n">
        <v>1525.136787923354</v>
      </c>
      <c r="AZ30" s="29" t="n">
        <v>250.7630564487566</v>
      </c>
      <c r="BA30" s="29" t="n">
        <v>92.15303686988537</v>
      </c>
      <c r="BB30" s="29" t="n">
        <v>1865.860037645798</v>
      </c>
      <c r="BC30" s="29" t="n">
        <v>2752.561720262821</v>
      </c>
      <c r="BD30" s="29" t="n">
        <v>575.3776326426473</v>
      </c>
      <c r="BE30" s="29" t="n">
        <v>3106.472892659448</v>
      </c>
      <c r="BF30" s="29" t="n">
        <v>852.1070975773075</v>
      </c>
      <c r="BG30" s="29" t="n">
        <v>1455.876874192412</v>
      </c>
      <c r="BH30" s="29" t="n">
        <v>1101.031919529777</v>
      </c>
      <c r="BI30" s="29" t="n">
        <v>4881.895864877897</v>
      </c>
      <c r="BJ30" s="29" t="n">
        <v>84.94822835076727</v>
      </c>
      <c r="BK30" s="29" t="n">
        <v>1546.880157589218</v>
      </c>
      <c r="BL30" s="29" t="n">
        <v>1201.366586356417</v>
      </c>
      <c r="BM30" s="29" t="n">
        <v>1077.6204443786</v>
      </c>
      <c r="BN30" s="29" t="n">
        <v>435.7264268087993</v>
      </c>
      <c r="BO30" s="29" t="n">
        <v>1466.645688278113</v>
      </c>
      <c r="BP30" s="29" t="n">
        <v>98.26343698503327</v>
      </c>
      <c r="BQ30" s="29" t="n">
        <v>1145.315280459878</v>
      </c>
      <c r="BR30" s="29" t="n">
        <v>0</v>
      </c>
      <c r="BS30" s="29">
        <f>SUM(C30:BR30)</f>
        <v/>
      </c>
      <c r="BT30" s="29" t="n">
        <v>0</v>
      </c>
      <c r="BU30" s="29" t="n">
        <v>0</v>
      </c>
      <c r="BV30" s="29" t="n">
        <v>56870.98551960879</v>
      </c>
      <c r="BW30" s="29" t="n">
        <v>0</v>
      </c>
      <c r="BX30" s="29">
        <f>SUM(BT30:BW30)</f>
        <v/>
      </c>
      <c r="BY30" s="29">
        <f>BS30+BX30</f>
        <v/>
      </c>
    </row>
    <row r="31">
      <c r="A31" s="30" t="inlineStr">
        <is>
          <t>1800</t>
        </is>
      </c>
      <c r="B31" s="30" t="inlineStr">
        <is>
          <t>Impressão e reprodução de gravações</t>
        </is>
      </c>
      <c r="C31" s="31" t="n">
        <v>25.44437041475405</v>
      </c>
      <c r="D31" s="31" t="n">
        <v>3.518662240970148</v>
      </c>
      <c r="E31" s="31" t="n">
        <v>4.437154737409054</v>
      </c>
      <c r="F31" s="31" t="n">
        <v>2.362834636495134</v>
      </c>
      <c r="G31" s="31" t="n">
        <v>33.45473078839413</v>
      </c>
      <c r="H31" s="31" t="n">
        <v>60.830091351384</v>
      </c>
      <c r="I31" s="31" t="n">
        <v>9.091814195868807</v>
      </c>
      <c r="J31" s="31" t="n">
        <v>167.5848038908994</v>
      </c>
      <c r="K31" s="31" t="n">
        <v>41.32929332689123</v>
      </c>
      <c r="L31" s="31" t="n">
        <v>216.5653474465414</v>
      </c>
      <c r="M31" s="31" t="n">
        <v>450.3044822439598</v>
      </c>
      <c r="N31" s="31" t="n">
        <v>8.929872763122823</v>
      </c>
      <c r="O31" s="31" t="n">
        <v>29.34791854456629</v>
      </c>
      <c r="P31" s="31" t="n">
        <v>36.30159017876643</v>
      </c>
      <c r="Q31" s="31" t="n">
        <v>16.05982488932213</v>
      </c>
      <c r="R31" s="31" t="n">
        <v>74.84078265449263</v>
      </c>
      <c r="S31" s="31" t="n">
        <v>422.1477811697731</v>
      </c>
      <c r="T31" s="31" t="n">
        <v>1609.741359396541</v>
      </c>
      <c r="U31" s="31" t="n">
        <v>11.12112411615577</v>
      </c>
      <c r="V31" s="31" t="n">
        <v>26.82495335897188</v>
      </c>
      <c r="W31" s="31" t="n">
        <v>17.09352679147225</v>
      </c>
      <c r="X31" s="31" t="n">
        <v>47.16200193794565</v>
      </c>
      <c r="Y31" s="31" t="n">
        <v>27.68034735255316</v>
      </c>
      <c r="Z31" s="31" t="n">
        <v>31.5590120392203</v>
      </c>
      <c r="AA31" s="31" t="n">
        <v>164.6616180288686</v>
      </c>
      <c r="AB31" s="31" t="n">
        <v>59.59790697442749</v>
      </c>
      <c r="AC31" s="31" t="n">
        <v>32.25073968738248</v>
      </c>
      <c r="AD31" s="31" t="n">
        <v>2.266152466858816</v>
      </c>
      <c r="AE31" s="31" t="n">
        <v>60.08537683502944</v>
      </c>
      <c r="AF31" s="31" t="n">
        <v>268.2452844919433</v>
      </c>
      <c r="AG31" s="31" t="n">
        <v>28.30160555895869</v>
      </c>
      <c r="AH31" s="31" t="n">
        <v>76.28014107722396</v>
      </c>
      <c r="AI31" s="31" t="n">
        <v>51.63289550509955</v>
      </c>
      <c r="AJ31" s="31" t="n">
        <v>52.47642909519746</v>
      </c>
      <c r="AK31" s="31" t="n">
        <v>8.502766265829038</v>
      </c>
      <c r="AL31" s="31" t="n">
        <v>79.26885707090497</v>
      </c>
      <c r="AM31" s="31" t="n">
        <v>22.99283825413334</v>
      </c>
      <c r="AN31" s="31" t="n">
        <v>37.23615639500544</v>
      </c>
      <c r="AO31" s="31" t="n">
        <v>24.76654027414584</v>
      </c>
      <c r="AP31" s="31" t="n">
        <v>231.8349519904802</v>
      </c>
      <c r="AQ31" s="31" t="n">
        <v>176.1058509963328</v>
      </c>
      <c r="AR31" s="31" t="n">
        <v>12213.95032998074</v>
      </c>
      <c r="AS31" s="31" t="n">
        <v>73.87967398082806</v>
      </c>
      <c r="AT31" s="31" t="n">
        <v>4.142239464932715</v>
      </c>
      <c r="AU31" s="31" t="n">
        <v>39.14639405344926</v>
      </c>
      <c r="AV31" s="31" t="n">
        <v>114.6477965494382</v>
      </c>
      <c r="AW31" s="31" t="n">
        <v>12.1383534008419</v>
      </c>
      <c r="AX31" s="31" t="n">
        <v>121.2882942473265</v>
      </c>
      <c r="AY31" s="31" t="n">
        <v>1679.704698660892</v>
      </c>
      <c r="AZ31" s="31" t="n">
        <v>279.8815587377039</v>
      </c>
      <c r="BA31" s="31" t="n">
        <v>819.284463663321</v>
      </c>
      <c r="BB31" s="31" t="n">
        <v>1040.569637443617</v>
      </c>
      <c r="BC31" s="31" t="n">
        <v>2312.053118693476</v>
      </c>
      <c r="BD31" s="31" t="n">
        <v>496.3205998168422</v>
      </c>
      <c r="BE31" s="31" t="n">
        <v>903.4824172308092</v>
      </c>
      <c r="BF31" s="31" t="n">
        <v>424.6315504973924</v>
      </c>
      <c r="BG31" s="31" t="n">
        <v>6525.743633703647</v>
      </c>
      <c r="BH31" s="31" t="n">
        <v>112.9967836483466</v>
      </c>
      <c r="BI31" s="31" t="n">
        <v>2423.668963667865</v>
      </c>
      <c r="BJ31" s="31" t="n">
        <v>4.609564796625341</v>
      </c>
      <c r="BK31" s="31" t="n">
        <v>1915.821132178804</v>
      </c>
      <c r="BL31" s="31" t="n">
        <v>405.8023356848342</v>
      </c>
      <c r="BM31" s="31" t="n">
        <v>55.42634526912774</v>
      </c>
      <c r="BN31" s="31" t="n">
        <v>249.1781104289575</v>
      </c>
      <c r="BO31" s="31" t="n">
        <v>213.3044589536799</v>
      </c>
      <c r="BP31" s="31" t="n">
        <v>512.5494013451771</v>
      </c>
      <c r="BQ31" s="31" t="n">
        <v>543.1890721640343</v>
      </c>
      <c r="BR31" s="31" t="n">
        <v>0</v>
      </c>
      <c r="BS31" s="31">
        <f>SUM(C31:BR31)</f>
        <v/>
      </c>
      <c r="BT31" s="31" t="n">
        <v>0</v>
      </c>
      <c r="BU31" s="31" t="n">
        <v>0</v>
      </c>
      <c r="BV31" s="31" t="n">
        <v>1580.183642830583</v>
      </c>
      <c r="BW31" s="31" t="n">
        <v>0</v>
      </c>
      <c r="BX31" s="31">
        <f>SUM(BT31:BW31)</f>
        <v/>
      </c>
      <c r="BY31" s="31">
        <f>BS31+BX31</f>
        <v/>
      </c>
    </row>
    <row r="32">
      <c r="A32" s="28" t="inlineStr">
        <is>
          <t>1991</t>
        </is>
      </c>
      <c r="B32" s="28" t="inlineStr">
        <is>
          <t>Refino de petróleo e coquerias</t>
        </is>
      </c>
      <c r="C32" s="29" t="n">
        <v>25078.97905338885</v>
      </c>
      <c r="D32" s="29" t="n">
        <v>9911.312816281932</v>
      </c>
      <c r="E32" s="29" t="n">
        <v>1393.025003874391</v>
      </c>
      <c r="F32" s="29" t="n">
        <v>2595.356338901508</v>
      </c>
      <c r="G32" s="29" t="n">
        <v>6877.350767168409</v>
      </c>
      <c r="H32" s="29" t="n">
        <v>16773.77357005015</v>
      </c>
      <c r="I32" s="29" t="n">
        <v>2373.115327192318</v>
      </c>
      <c r="J32" s="29" t="n">
        <v>6865.912280215169</v>
      </c>
      <c r="K32" s="29" t="n">
        <v>3175.640197128727</v>
      </c>
      <c r="L32" s="29" t="n">
        <v>7828.359226273325</v>
      </c>
      <c r="M32" s="29" t="n">
        <v>1510.131869288824</v>
      </c>
      <c r="N32" s="29" t="n">
        <v>48.62725500408165</v>
      </c>
      <c r="O32" s="29" t="n">
        <v>527.8667965713289</v>
      </c>
      <c r="P32" s="29" t="n">
        <v>182.9375211207384</v>
      </c>
      <c r="Q32" s="29" t="n">
        <v>335.7479575584728</v>
      </c>
      <c r="R32" s="29" t="n">
        <v>718.1420370218947</v>
      </c>
      <c r="S32" s="29" t="n">
        <v>5184.635290734098</v>
      </c>
      <c r="T32" s="29" t="n">
        <v>52.01398986722228</v>
      </c>
      <c r="U32" s="29" t="n">
        <v>281977.7689267334</v>
      </c>
      <c r="V32" s="29" t="n">
        <v>3290.383311608761</v>
      </c>
      <c r="W32" s="29" t="n">
        <v>39270.83319093732</v>
      </c>
      <c r="X32" s="29" t="n">
        <v>2613.519265109503</v>
      </c>
      <c r="Y32" s="29" t="n">
        <v>999.1506326298356</v>
      </c>
      <c r="Z32" s="29" t="n">
        <v>372.3307914264581</v>
      </c>
      <c r="AA32" s="29" t="n">
        <v>4307.931966692925</v>
      </c>
      <c r="AB32" s="29" t="n">
        <v>8478.378219423405</v>
      </c>
      <c r="AC32" s="29" t="n">
        <v>7230.48146429507</v>
      </c>
      <c r="AD32" s="29" t="n">
        <v>5291.056297587745</v>
      </c>
      <c r="AE32" s="29" t="n">
        <v>930.5377934951962</v>
      </c>
      <c r="AF32" s="29" t="n">
        <v>338.3421499300449</v>
      </c>
      <c r="AG32" s="29" t="n">
        <v>1623.777041423459</v>
      </c>
      <c r="AH32" s="29" t="n">
        <v>1180.255808486934</v>
      </c>
      <c r="AI32" s="29" t="n">
        <v>1356.236299597376</v>
      </c>
      <c r="AJ32" s="29" t="n">
        <v>812.9364342798933</v>
      </c>
      <c r="AK32" s="29" t="n">
        <v>168.4137130343204</v>
      </c>
      <c r="AL32" s="29" t="n">
        <v>610.6964606881188</v>
      </c>
      <c r="AM32" s="29" t="n">
        <v>740.9856540113667</v>
      </c>
      <c r="AN32" s="29" t="n">
        <v>9145.052774182066</v>
      </c>
      <c r="AO32" s="29" t="n">
        <v>2152.435014682699</v>
      </c>
      <c r="AP32" s="29" t="n">
        <v>13028.18290474319</v>
      </c>
      <c r="AQ32" s="29" t="n">
        <v>1863.036852086087</v>
      </c>
      <c r="AR32" s="29" t="n">
        <v>33434.29843321405</v>
      </c>
      <c r="AS32" s="29" t="n">
        <v>133271.1025783099</v>
      </c>
      <c r="AT32" s="29" t="n">
        <v>4133.131894061808</v>
      </c>
      <c r="AU32" s="29" t="n">
        <v>14994.14647352337</v>
      </c>
      <c r="AV32" s="29" t="n">
        <v>4183.99692050674</v>
      </c>
      <c r="AW32" s="29" t="n">
        <v>143.5908800308807</v>
      </c>
      <c r="AX32" s="29" t="n">
        <v>4094.762047254103</v>
      </c>
      <c r="AY32" s="29" t="n">
        <v>37.32878432957529</v>
      </c>
      <c r="AZ32" s="29" t="n">
        <v>109.4825731292583</v>
      </c>
      <c r="BA32" s="29" t="n">
        <v>164.3094984207542</v>
      </c>
      <c r="BB32" s="29" t="n">
        <v>449.5517849069641</v>
      </c>
      <c r="BC32" s="29" t="n">
        <v>1230.152565430588</v>
      </c>
      <c r="BD32" s="29" t="n">
        <v>175.153502698669</v>
      </c>
      <c r="BE32" s="29" t="n">
        <v>1379.910935602536</v>
      </c>
      <c r="BF32" s="29" t="n">
        <v>1017.47132345272</v>
      </c>
      <c r="BG32" s="29" t="n">
        <v>335.0502199886088</v>
      </c>
      <c r="BH32" s="29" t="n">
        <v>1583.404918078618</v>
      </c>
      <c r="BI32" s="29" t="n">
        <v>1088.202083861844</v>
      </c>
      <c r="BJ32" s="29" t="n">
        <v>811.5020161238701</v>
      </c>
      <c r="BK32" s="29" t="n">
        <v>4865.114491590127</v>
      </c>
      <c r="BL32" s="29" t="n">
        <v>617.2444224548178</v>
      </c>
      <c r="BM32" s="29" t="n">
        <v>258.6548708193346</v>
      </c>
      <c r="BN32" s="29" t="n">
        <v>306.3189581890668</v>
      </c>
      <c r="BO32" s="29" t="n">
        <v>555.2498850388955</v>
      </c>
      <c r="BP32" s="29" t="n">
        <v>228.0879136180899</v>
      </c>
      <c r="BQ32" s="29" t="n">
        <v>1375.973995137294</v>
      </c>
      <c r="BR32" s="29" t="n">
        <v>0</v>
      </c>
      <c r="BS32" s="29">
        <f>SUM(C32:BR32)</f>
        <v/>
      </c>
      <c r="BT32" s="29" t="n">
        <v>0</v>
      </c>
      <c r="BU32" s="29" t="n">
        <v>0</v>
      </c>
      <c r="BV32" s="29" t="n">
        <v>201092.9210926544</v>
      </c>
      <c r="BW32" s="29" t="n">
        <v>0</v>
      </c>
      <c r="BX32" s="29">
        <f>SUM(BT32:BW32)</f>
        <v/>
      </c>
      <c r="BY32" s="29">
        <f>BS32+BX32</f>
        <v/>
      </c>
    </row>
    <row r="33">
      <c r="A33" s="30" t="inlineStr">
        <is>
          <t>1992</t>
        </is>
      </c>
      <c r="B33" s="30" t="inlineStr">
        <is>
          <t>Fabricação de biocombustíveis</t>
        </is>
      </c>
      <c r="C33" s="31" t="n">
        <v>236.3851608023844</v>
      </c>
      <c r="D33" s="31" t="n">
        <v>425.984684020709</v>
      </c>
      <c r="E33" s="31" t="n">
        <v>9.308076750045048</v>
      </c>
      <c r="F33" s="31" t="n">
        <v>7.805537724334831</v>
      </c>
      <c r="G33" s="31" t="n">
        <v>1255.988455470681</v>
      </c>
      <c r="H33" s="31" t="n">
        <v>20.3328496154807</v>
      </c>
      <c r="I33" s="31" t="n">
        <v>5.511267688193067</v>
      </c>
      <c r="J33" s="31" t="n">
        <v>1303.638933750872</v>
      </c>
      <c r="K33" s="31" t="n">
        <v>716.0147886685811</v>
      </c>
      <c r="L33" s="31" t="n">
        <v>3185.438657123574</v>
      </c>
      <c r="M33" s="31" t="n">
        <v>460.4340028763282</v>
      </c>
      <c r="N33" s="31" t="n">
        <v>0.08453942423292871</v>
      </c>
      <c r="O33" s="31" t="n">
        <v>3.939744376704234</v>
      </c>
      <c r="P33" s="31" t="n">
        <v>1.44947209455935</v>
      </c>
      <c r="Q33" s="31" t="n">
        <v>1.577959151768927</v>
      </c>
      <c r="R33" s="31" t="n">
        <v>144.2363852027087</v>
      </c>
      <c r="S33" s="31" t="n">
        <v>48.67133079756493</v>
      </c>
      <c r="T33" s="31" t="n">
        <v>0.6788755408360814</v>
      </c>
      <c r="U33" s="31" t="n">
        <v>46344.22905859016</v>
      </c>
      <c r="V33" s="31" t="n">
        <v>2251.145118852127</v>
      </c>
      <c r="W33" s="31" t="n">
        <v>793.5710674824159</v>
      </c>
      <c r="X33" s="31" t="n">
        <v>759.0993829182592</v>
      </c>
      <c r="Y33" s="31" t="n">
        <v>3053.338189687969</v>
      </c>
      <c r="Z33" s="31" t="n">
        <v>1384.56097110859</v>
      </c>
      <c r="AA33" s="31" t="n">
        <v>7.565390823986756</v>
      </c>
      <c r="AB33" s="31" t="n">
        <v>5.525708527326255</v>
      </c>
      <c r="AC33" s="31" t="n">
        <v>8.880463938125647</v>
      </c>
      <c r="AD33" s="31" t="n">
        <v>3.329432395709698</v>
      </c>
      <c r="AE33" s="31" t="n">
        <v>79.8358360297965</v>
      </c>
      <c r="AF33" s="31" t="n">
        <v>0.8212364459983976</v>
      </c>
      <c r="AG33" s="31" t="n">
        <v>6.365017363735773</v>
      </c>
      <c r="AH33" s="31" t="n">
        <v>47.90211186445204</v>
      </c>
      <c r="AI33" s="31" t="n">
        <v>27.63033366679612</v>
      </c>
      <c r="AJ33" s="31" t="n">
        <v>4.098331978470166</v>
      </c>
      <c r="AK33" s="31" t="n">
        <v>2.136091623934787</v>
      </c>
      <c r="AL33" s="31" t="n">
        <v>8.999766450282138</v>
      </c>
      <c r="AM33" s="31" t="n">
        <v>22.88988972246339</v>
      </c>
      <c r="AN33" s="31" t="n">
        <v>17.93077606441777</v>
      </c>
      <c r="AO33" s="31" t="n">
        <v>92.9851486309128</v>
      </c>
      <c r="AP33" s="31" t="n">
        <v>915.2276357437842</v>
      </c>
      <c r="AQ33" s="31" t="n">
        <v>902.4240995495136</v>
      </c>
      <c r="AR33" s="31" t="n">
        <v>1637.674830622796</v>
      </c>
      <c r="AS33" s="31" t="n">
        <v>1691.951380152824</v>
      </c>
      <c r="AT33" s="31" t="n">
        <v>23.40635804788567</v>
      </c>
      <c r="AU33" s="31" t="n">
        <v>60.07037536668432</v>
      </c>
      <c r="AV33" s="31" t="n">
        <v>154.8559278720979</v>
      </c>
      <c r="AW33" s="31" t="n">
        <v>36.60384093332428</v>
      </c>
      <c r="AX33" s="31" t="n">
        <v>782.9308641021121</v>
      </c>
      <c r="AY33" s="31" t="n">
        <v>15.1495419220969</v>
      </c>
      <c r="AZ33" s="31" t="n">
        <v>29.22702851710914</v>
      </c>
      <c r="BA33" s="31" t="n">
        <v>67.78987224574078</v>
      </c>
      <c r="BB33" s="31" t="n">
        <v>175.3465928696782</v>
      </c>
      <c r="BC33" s="31" t="n">
        <v>276.9519193440509</v>
      </c>
      <c r="BD33" s="31" t="n">
        <v>57.04201672535746</v>
      </c>
      <c r="BE33" s="31" t="n">
        <v>321.5006135130846</v>
      </c>
      <c r="BF33" s="31" t="n">
        <v>392.8474314820494</v>
      </c>
      <c r="BG33" s="31" t="n">
        <v>149.4352092645653</v>
      </c>
      <c r="BH33" s="31" t="n">
        <v>390.0705298681697</v>
      </c>
      <c r="BI33" s="31" t="n">
        <v>446.2057443515293</v>
      </c>
      <c r="BJ33" s="31" t="n">
        <v>187.0404058521057</v>
      </c>
      <c r="BK33" s="31" t="n">
        <v>1076.130658706643</v>
      </c>
      <c r="BL33" s="31" t="n">
        <v>143.7268514564524</v>
      </c>
      <c r="BM33" s="31" t="n">
        <v>19.77679032718697</v>
      </c>
      <c r="BN33" s="31" t="n">
        <v>102.9480797017641</v>
      </c>
      <c r="BO33" s="31" t="n">
        <v>210.2869427301206</v>
      </c>
      <c r="BP33" s="31" t="n">
        <v>62.49014487625614</v>
      </c>
      <c r="BQ33" s="31" t="n">
        <v>420.0042666017443</v>
      </c>
      <c r="BR33" s="31" t="n">
        <v>0</v>
      </c>
      <c r="BS33" s="31">
        <f>SUM(C33:BR33)</f>
        <v/>
      </c>
      <c r="BT33" s="31" t="n">
        <v>0</v>
      </c>
      <c r="BU33" s="31" t="n">
        <v>0</v>
      </c>
      <c r="BV33" s="31" t="n">
        <v>48242.04319887192</v>
      </c>
      <c r="BW33" s="31" t="n">
        <v>0</v>
      </c>
      <c r="BX33" s="31">
        <f>SUM(BT33:BW33)</f>
        <v/>
      </c>
      <c r="BY33" s="31">
        <f>BS33+BX33</f>
        <v/>
      </c>
    </row>
    <row r="34">
      <c r="A34" s="28" t="inlineStr">
        <is>
          <t>2091</t>
        </is>
      </c>
      <c r="B34" s="28" t="inlineStr">
        <is>
          <t>Fabricação de químicos orgânicos e inorgânicos, resinas e elastômeros</t>
        </is>
      </c>
      <c r="C34" s="29" t="n">
        <v>157445.3317338871</v>
      </c>
      <c r="D34" s="29" t="n">
        <v>18100.84643091614</v>
      </c>
      <c r="E34" s="29" t="n">
        <v>1120.588304748991</v>
      </c>
      <c r="F34" s="29" t="n">
        <v>681.6325064639261</v>
      </c>
      <c r="G34" s="29" t="n">
        <v>12038.08839506468</v>
      </c>
      <c r="H34" s="29" t="n">
        <v>1917.407147060722</v>
      </c>
      <c r="I34" s="29" t="n">
        <v>484.7490494570333</v>
      </c>
      <c r="J34" s="29" t="n">
        <v>1430.223892789306</v>
      </c>
      <c r="K34" s="29" t="n">
        <v>1041.213344546157</v>
      </c>
      <c r="L34" s="29" t="n">
        <v>3228.557668642725</v>
      </c>
      <c r="M34" s="29" t="n">
        <v>272.9051424358283</v>
      </c>
      <c r="N34" s="29" t="n">
        <v>70.42465027767913</v>
      </c>
      <c r="O34" s="29" t="n">
        <v>12310.23220757162</v>
      </c>
      <c r="P34" s="29" t="n">
        <v>479.6985756905905</v>
      </c>
      <c r="Q34" s="29" t="n">
        <v>3792.340944586405</v>
      </c>
      <c r="R34" s="29" t="n">
        <v>3782.894141436854</v>
      </c>
      <c r="S34" s="29" t="n">
        <v>19768.86971023425</v>
      </c>
      <c r="T34" s="29" t="n">
        <v>164.2314063782381</v>
      </c>
      <c r="U34" s="29" t="n">
        <v>4949.136404629814</v>
      </c>
      <c r="V34" s="29" t="n">
        <v>3626.146442082837</v>
      </c>
      <c r="W34" s="29" t="n">
        <v>158876.6975572575</v>
      </c>
      <c r="X34" s="29" t="n">
        <v>48600.55243722585</v>
      </c>
      <c r="Y34" s="29" t="n">
        <v>14036.19563908636</v>
      </c>
      <c r="Z34" s="29" t="n">
        <v>5966.671793943298</v>
      </c>
      <c r="AA34" s="29" t="n">
        <v>69115.28810643704</v>
      </c>
      <c r="AB34" s="29" t="n">
        <v>9501.764184854823</v>
      </c>
      <c r="AC34" s="29" t="n">
        <v>4108.154384238009</v>
      </c>
      <c r="AD34" s="29" t="n">
        <v>3775.727349471065</v>
      </c>
      <c r="AE34" s="29" t="n">
        <v>4887.091110798101</v>
      </c>
      <c r="AF34" s="29" t="n">
        <v>518.2999686451169</v>
      </c>
      <c r="AG34" s="29" t="n">
        <v>8415.396668686757</v>
      </c>
      <c r="AH34" s="29" t="n">
        <v>677.1019301235145</v>
      </c>
      <c r="AI34" s="29" t="n">
        <v>360.3550785769047</v>
      </c>
      <c r="AJ34" s="29" t="n">
        <v>3705.933238304725</v>
      </c>
      <c r="AK34" s="29" t="n">
        <v>739.649399506204</v>
      </c>
      <c r="AL34" s="29" t="n">
        <v>6373.378317351559</v>
      </c>
      <c r="AM34" s="29" t="n">
        <v>459.0976380777007</v>
      </c>
      <c r="AN34" s="29" t="n">
        <v>365.575901211699</v>
      </c>
      <c r="AO34" s="29" t="n">
        <v>2494.556021863535</v>
      </c>
      <c r="AP34" s="29" t="n">
        <v>793.7422148435467</v>
      </c>
      <c r="AQ34" s="29" t="n">
        <v>158.2807121756724</v>
      </c>
      <c r="AR34" s="29" t="n">
        <v>3035.624466853715</v>
      </c>
      <c r="AS34" s="29" t="n">
        <v>280.1950517164076</v>
      </c>
      <c r="AT34" s="29" t="n">
        <v>8.107509025390669</v>
      </c>
      <c r="AU34" s="29" t="n">
        <v>10.99096715549466</v>
      </c>
      <c r="AV34" s="29" t="n">
        <v>93.59198609684394</v>
      </c>
      <c r="AW34" s="29" t="n">
        <v>28.64762403810354</v>
      </c>
      <c r="AX34" s="29" t="n">
        <v>195.0722587031677</v>
      </c>
      <c r="AY34" s="29" t="n">
        <v>8.257246259769765</v>
      </c>
      <c r="AZ34" s="29" t="n">
        <v>18.49650414885263</v>
      </c>
      <c r="BA34" s="29" t="n">
        <v>44.8744116063347</v>
      </c>
      <c r="BB34" s="29" t="n">
        <v>55.57499295707481</v>
      </c>
      <c r="BC34" s="29" t="n">
        <v>93.62512633332645</v>
      </c>
      <c r="BD34" s="29" t="n">
        <v>91.16169412665107</v>
      </c>
      <c r="BE34" s="29" t="n">
        <v>122.440217151424</v>
      </c>
      <c r="BF34" s="29" t="n">
        <v>123.0198092909785</v>
      </c>
      <c r="BG34" s="29" t="n">
        <v>77.46921410961133</v>
      </c>
      <c r="BH34" s="29" t="n">
        <v>55.24363806085358</v>
      </c>
      <c r="BI34" s="29" t="n">
        <v>433.7774564150533</v>
      </c>
      <c r="BJ34" s="29" t="n">
        <v>7.145925009005447</v>
      </c>
      <c r="BK34" s="29" t="n">
        <v>149.3728857919838</v>
      </c>
      <c r="BL34" s="29" t="n">
        <v>188.1571937357163</v>
      </c>
      <c r="BM34" s="29" t="n">
        <v>103.95050762696</v>
      </c>
      <c r="BN34" s="29" t="n">
        <v>1331.931586062635</v>
      </c>
      <c r="BO34" s="29" t="n">
        <v>1659.822653534689</v>
      </c>
      <c r="BP34" s="29" t="n">
        <v>82.52156243576209</v>
      </c>
      <c r="BQ34" s="29" t="n">
        <v>995.1128825143703</v>
      </c>
      <c r="BR34" s="29" t="n">
        <v>0</v>
      </c>
      <c r="BS34" s="29">
        <f>SUM(C34:BR34)</f>
        <v/>
      </c>
      <c r="BT34" s="29" t="n">
        <v>0</v>
      </c>
      <c r="BU34" s="29" t="n">
        <v>0</v>
      </c>
      <c r="BV34" s="29" t="n">
        <v>30242.22650926758</v>
      </c>
      <c r="BW34" s="29" t="n">
        <v>0</v>
      </c>
      <c r="BX34" s="29">
        <f>SUM(BT34:BW34)</f>
        <v/>
      </c>
      <c r="BY34" s="29">
        <f>BS34+BX34</f>
        <v/>
      </c>
    </row>
    <row r="35">
      <c r="A35" s="30" t="inlineStr">
        <is>
          <t>2092</t>
        </is>
      </c>
      <c r="B35" s="30" t="inlineStr">
        <is>
          <t>Fabricação de defensivos, desinfestantes, tintas e químicos diversos</t>
        </is>
      </c>
      <c r="C35" s="31" t="n">
        <v>69223.32117520904</v>
      </c>
      <c r="D35" s="31" t="n">
        <v>7833.753730790464</v>
      </c>
      <c r="E35" s="31" t="n">
        <v>225.2805039929011</v>
      </c>
      <c r="F35" s="31" t="n">
        <v>4384.544012216484</v>
      </c>
      <c r="G35" s="31" t="n">
        <v>1103.099603307701</v>
      </c>
      <c r="H35" s="31" t="n">
        <v>1253.199593462239</v>
      </c>
      <c r="I35" s="31" t="n">
        <v>322.695203184269</v>
      </c>
      <c r="J35" s="31" t="n">
        <v>2287.975439520906</v>
      </c>
      <c r="K35" s="31" t="n">
        <v>174.8248627465608</v>
      </c>
      <c r="L35" s="31" t="n">
        <v>5695.864237993531</v>
      </c>
      <c r="M35" s="31" t="n">
        <v>312.9179154391503</v>
      </c>
      <c r="N35" s="31" t="n">
        <v>11.90434030122027</v>
      </c>
      <c r="O35" s="31" t="n">
        <v>771.0610973366299</v>
      </c>
      <c r="P35" s="31" t="n">
        <v>94.21597260391519</v>
      </c>
      <c r="Q35" s="31" t="n">
        <v>388.8434440343399</v>
      </c>
      <c r="R35" s="31" t="n">
        <v>2559.642929347577</v>
      </c>
      <c r="S35" s="31" t="n">
        <v>4341.706813939458</v>
      </c>
      <c r="T35" s="31" t="n">
        <v>1451.285323124653</v>
      </c>
      <c r="U35" s="31" t="n">
        <v>1328.766546542129</v>
      </c>
      <c r="V35" s="31" t="n">
        <v>735.4780535006635</v>
      </c>
      <c r="W35" s="31" t="n">
        <v>7401.659113611427</v>
      </c>
      <c r="X35" s="31" t="n">
        <v>28687.83472081671</v>
      </c>
      <c r="Y35" s="31" t="n">
        <v>3722.724814347106</v>
      </c>
      <c r="Z35" s="31" t="n">
        <v>2040.821472429969</v>
      </c>
      <c r="AA35" s="31" t="n">
        <v>7402.289217301539</v>
      </c>
      <c r="AB35" s="31" t="n">
        <v>2779.345840938968</v>
      </c>
      <c r="AC35" s="31" t="n">
        <v>1021.229938295471</v>
      </c>
      <c r="AD35" s="31" t="n">
        <v>236.8962354195502</v>
      </c>
      <c r="AE35" s="31" t="n">
        <v>1528.366998340713</v>
      </c>
      <c r="AF35" s="31" t="n">
        <v>402.9068165178167</v>
      </c>
      <c r="AG35" s="31" t="n">
        <v>537.2287626172372</v>
      </c>
      <c r="AH35" s="31" t="n">
        <v>427.5216549598154</v>
      </c>
      <c r="AI35" s="31" t="n">
        <v>985.2966633899121</v>
      </c>
      <c r="AJ35" s="31" t="n">
        <v>498.6951760661115</v>
      </c>
      <c r="AK35" s="31" t="n">
        <v>194.7601066514324</v>
      </c>
      <c r="AL35" s="31" t="n">
        <v>1459.812847493492</v>
      </c>
      <c r="AM35" s="31" t="n">
        <v>1436.49299797808</v>
      </c>
      <c r="AN35" s="31" t="n">
        <v>275.3675637991263</v>
      </c>
      <c r="AO35" s="31" t="n">
        <v>1021.121603831826</v>
      </c>
      <c r="AP35" s="31" t="n">
        <v>17387.49718137638</v>
      </c>
      <c r="AQ35" s="31" t="n">
        <v>2066.683127351671</v>
      </c>
      <c r="AR35" s="31" t="n">
        <v>3777.721541976078</v>
      </c>
      <c r="AS35" s="31" t="n">
        <v>515.9715901969372</v>
      </c>
      <c r="AT35" s="31" t="n">
        <v>3.655084083953395</v>
      </c>
      <c r="AU35" s="31" t="n">
        <v>3.015464398454289</v>
      </c>
      <c r="AV35" s="31" t="n">
        <v>125.3824285566324</v>
      </c>
      <c r="AW35" s="31" t="n">
        <v>53.25843143519337</v>
      </c>
      <c r="AX35" s="31" t="n">
        <v>92.05061996287829</v>
      </c>
      <c r="AY35" s="31" t="n">
        <v>177.9376796423621</v>
      </c>
      <c r="AZ35" s="31" t="n">
        <v>300.7924667537067</v>
      </c>
      <c r="BA35" s="31" t="n">
        <v>26.93214332284722</v>
      </c>
      <c r="BB35" s="31" t="n">
        <v>33.47772929187948</v>
      </c>
      <c r="BC35" s="31" t="n">
        <v>94.58105714854835</v>
      </c>
      <c r="BD35" s="31" t="n">
        <v>2250.051325222988</v>
      </c>
      <c r="BE35" s="31" t="n">
        <v>54.31411816499534</v>
      </c>
      <c r="BF35" s="31" t="n">
        <v>75.15842800441942</v>
      </c>
      <c r="BG35" s="31" t="n">
        <v>79.63697725642884</v>
      </c>
      <c r="BH35" s="31" t="n">
        <v>44.75574173477412</v>
      </c>
      <c r="BI35" s="31" t="n">
        <v>4200.667672868691</v>
      </c>
      <c r="BJ35" s="31" t="n">
        <v>3.875788795897837</v>
      </c>
      <c r="BK35" s="31" t="n">
        <v>453.2654242681651</v>
      </c>
      <c r="BL35" s="31" t="n">
        <v>547.0053534162953</v>
      </c>
      <c r="BM35" s="31" t="n">
        <v>50.72632049934477</v>
      </c>
      <c r="BN35" s="31" t="n">
        <v>2281.62395883824</v>
      </c>
      <c r="BO35" s="31" t="n">
        <v>201.2911752528681</v>
      </c>
      <c r="BP35" s="31" t="n">
        <v>57.29716190464856</v>
      </c>
      <c r="BQ35" s="31" t="n">
        <v>276.6581753366189</v>
      </c>
      <c r="BR35" s="31" t="n">
        <v>0</v>
      </c>
      <c r="BS35" s="31">
        <f>SUM(C35:BR35)</f>
        <v/>
      </c>
      <c r="BT35" s="31" t="n">
        <v>0</v>
      </c>
      <c r="BU35" s="31" t="n">
        <v>0</v>
      </c>
      <c r="BV35" s="31" t="n">
        <v>17428.2030814118</v>
      </c>
      <c r="BW35" s="31" t="n">
        <v>0</v>
      </c>
      <c r="BX35" s="31">
        <f>SUM(BT35:BW35)</f>
        <v/>
      </c>
      <c r="BY35" s="31">
        <f>BS35+BX35</f>
        <v/>
      </c>
    </row>
    <row r="36">
      <c r="A36" s="28" t="inlineStr">
        <is>
          <t>2093</t>
        </is>
      </c>
      <c r="B36" s="28" t="inlineStr">
        <is>
          <t>Fabricação de produtos de limpeza, cosméticos/perfumaria e higiene pessoal</t>
        </is>
      </c>
      <c r="C36" s="29" t="n">
        <v>1727.279379907588</v>
      </c>
      <c r="D36" s="29" t="n">
        <v>291.0945366247112</v>
      </c>
      <c r="E36" s="29" t="n">
        <v>7.593416664044394</v>
      </c>
      <c r="F36" s="29" t="n">
        <v>120.3588839107992</v>
      </c>
      <c r="G36" s="29" t="n">
        <v>377.8816159973777</v>
      </c>
      <c r="H36" s="29" t="n">
        <v>429.9314079328082</v>
      </c>
      <c r="I36" s="29" t="n">
        <v>47.53179719778167</v>
      </c>
      <c r="J36" s="29" t="n">
        <v>295.3324360659381</v>
      </c>
      <c r="K36" s="29" t="n">
        <v>61.28494209744666</v>
      </c>
      <c r="L36" s="29" t="n">
        <v>585.8176617017727</v>
      </c>
      <c r="M36" s="29" t="n">
        <v>87.02871106116771</v>
      </c>
      <c r="N36" s="29" t="n">
        <v>8.808244451544581</v>
      </c>
      <c r="O36" s="29" t="n">
        <v>239.6266923103045</v>
      </c>
      <c r="P36" s="29" t="n">
        <v>104.4817799066531</v>
      </c>
      <c r="Q36" s="29" t="n">
        <v>74.38970360356004</v>
      </c>
      <c r="R36" s="29" t="n">
        <v>165.9247947127984</v>
      </c>
      <c r="S36" s="29" t="n">
        <v>504.6021722661318</v>
      </c>
      <c r="T36" s="29" t="n">
        <v>58.83842648633475</v>
      </c>
      <c r="U36" s="29" t="n">
        <v>476.1875334890905</v>
      </c>
      <c r="V36" s="29" t="n">
        <v>109.7033236229878</v>
      </c>
      <c r="W36" s="29" t="n">
        <v>2226.195813469893</v>
      </c>
      <c r="X36" s="29" t="n">
        <v>1778.710602925422</v>
      </c>
      <c r="Y36" s="29" t="n">
        <v>3213.176631056126</v>
      </c>
      <c r="Z36" s="29" t="n">
        <v>230.9761672677654</v>
      </c>
      <c r="AA36" s="29" t="n">
        <v>731.5548099269795</v>
      </c>
      <c r="AB36" s="29" t="n">
        <v>280.9210634633135</v>
      </c>
      <c r="AC36" s="29" t="n">
        <v>134.5150141429603</v>
      </c>
      <c r="AD36" s="29" t="n">
        <v>159.8773310631881</v>
      </c>
      <c r="AE36" s="29" t="n">
        <v>1258.030107083357</v>
      </c>
      <c r="AF36" s="29" t="n">
        <v>77.18728896057885</v>
      </c>
      <c r="AG36" s="29" t="n">
        <v>101.3648548038052</v>
      </c>
      <c r="AH36" s="29" t="n">
        <v>116.0908652871952</v>
      </c>
      <c r="AI36" s="29" t="n">
        <v>74.00331978079291</v>
      </c>
      <c r="AJ36" s="29" t="n">
        <v>103.7958723526592</v>
      </c>
      <c r="AK36" s="29" t="n">
        <v>17.04425068167342</v>
      </c>
      <c r="AL36" s="29" t="n">
        <v>125.8707779296411</v>
      </c>
      <c r="AM36" s="29" t="n">
        <v>50.10138288007037</v>
      </c>
      <c r="AN36" s="29" t="n">
        <v>39.52290060252923</v>
      </c>
      <c r="AO36" s="29" t="n">
        <v>176.4040082140464</v>
      </c>
      <c r="AP36" s="29" t="n">
        <v>591.9904339337884</v>
      </c>
      <c r="AQ36" s="29" t="n">
        <v>445.2753518894074</v>
      </c>
      <c r="AR36" s="29" t="n">
        <v>5001.628726568105</v>
      </c>
      <c r="AS36" s="29" t="n">
        <v>697.3010948238696</v>
      </c>
      <c r="AT36" s="29" t="n">
        <v>22.29317048146592</v>
      </c>
      <c r="AU36" s="29" t="n">
        <v>0.8906915953189545</v>
      </c>
      <c r="AV36" s="29" t="n">
        <v>313.9155881584353</v>
      </c>
      <c r="AW36" s="29" t="n">
        <v>173.4294508186263</v>
      </c>
      <c r="AX36" s="29" t="n">
        <v>192.5845407702565</v>
      </c>
      <c r="AY36" s="29" t="n">
        <v>43.74433732680149</v>
      </c>
      <c r="AZ36" s="29" t="n">
        <v>111.3336539763745</v>
      </c>
      <c r="BA36" s="29" t="n">
        <v>216.5195463617773</v>
      </c>
      <c r="BB36" s="29" t="n">
        <v>61.50676815277704</v>
      </c>
      <c r="BC36" s="29" t="n">
        <v>104.3987581358378</v>
      </c>
      <c r="BD36" s="29" t="n">
        <v>46.0610864257272</v>
      </c>
      <c r="BE36" s="29" t="n">
        <v>670.822039057835</v>
      </c>
      <c r="BF36" s="29" t="n">
        <v>267.7707409807005</v>
      </c>
      <c r="BG36" s="29" t="n">
        <v>913.5989038182945</v>
      </c>
      <c r="BH36" s="29" t="n">
        <v>281.295196108461</v>
      </c>
      <c r="BI36" s="29" t="n">
        <v>4186.824215895521</v>
      </c>
      <c r="BJ36" s="29" t="n">
        <v>4.141162132622215</v>
      </c>
      <c r="BK36" s="29" t="n">
        <v>471.1062472078753</v>
      </c>
      <c r="BL36" s="29" t="n">
        <v>365.9725989521704</v>
      </c>
      <c r="BM36" s="29" t="n">
        <v>394.4127747590214</v>
      </c>
      <c r="BN36" s="29" t="n">
        <v>385.2185080814011</v>
      </c>
      <c r="BO36" s="29" t="n">
        <v>1843.055354318424</v>
      </c>
      <c r="BP36" s="29" t="n">
        <v>409.0895337805064</v>
      </c>
      <c r="BQ36" s="29" t="n">
        <v>2923.85260884797</v>
      </c>
      <c r="BR36" s="29" t="n">
        <v>0</v>
      </c>
      <c r="BS36" s="29">
        <f>SUM(C36:BR36)</f>
        <v/>
      </c>
      <c r="BT36" s="29" t="n">
        <v>0</v>
      </c>
      <c r="BU36" s="29" t="n">
        <v>0</v>
      </c>
      <c r="BV36" s="29" t="n">
        <v>50001.28129292239</v>
      </c>
      <c r="BW36" s="29" t="n">
        <v>0</v>
      </c>
      <c r="BX36" s="29">
        <f>SUM(BT36:BW36)</f>
        <v/>
      </c>
      <c r="BY36" s="29">
        <f>BS36+BX36</f>
        <v/>
      </c>
    </row>
    <row r="37">
      <c r="A37" s="30" t="inlineStr">
        <is>
          <t>2100</t>
        </is>
      </c>
      <c r="B37" s="30" t="inlineStr">
        <is>
          <t>Fabricação de produtos farmoquímicos e farmacêuticos</t>
        </is>
      </c>
      <c r="C37" s="31" t="n">
        <v>1113.218717621334</v>
      </c>
      <c r="D37" s="31" t="n">
        <v>6301.477394418132</v>
      </c>
      <c r="E37" s="31" t="n">
        <v>44.24589397147655</v>
      </c>
      <c r="F37" s="31" t="n">
        <v>14.63765809903605</v>
      </c>
      <c r="G37" s="31" t="n">
        <v>941.0746610937161</v>
      </c>
      <c r="H37" s="31" t="n">
        <v>29.61501945696916</v>
      </c>
      <c r="I37" s="31" t="n">
        <v>3.522160226833109</v>
      </c>
      <c r="J37" s="31" t="n">
        <v>177.5254430733249</v>
      </c>
      <c r="K37" s="31" t="n">
        <v>3.737527699013082</v>
      </c>
      <c r="L37" s="31" t="n">
        <v>1033.549809544061</v>
      </c>
      <c r="M37" s="31" t="n">
        <v>13.44212530261492</v>
      </c>
      <c r="N37" s="31" t="n">
        <v>0.9060963677499725</v>
      </c>
      <c r="O37" s="31" t="n">
        <v>23.89849187262312</v>
      </c>
      <c r="P37" s="31" t="n">
        <v>12.04015789012885</v>
      </c>
      <c r="Q37" s="31" t="n">
        <v>11.13420062676668</v>
      </c>
      <c r="R37" s="31" t="n">
        <v>9.139960867501395</v>
      </c>
      <c r="S37" s="31" t="n">
        <v>50.17366981251292</v>
      </c>
      <c r="T37" s="31" t="n">
        <v>2.85922916116015</v>
      </c>
      <c r="U37" s="31" t="n">
        <v>5.268534821991342</v>
      </c>
      <c r="V37" s="31" t="n">
        <v>24.10014123859766</v>
      </c>
      <c r="W37" s="31" t="n">
        <v>429.1318330024305</v>
      </c>
      <c r="X37" s="31" t="n">
        <v>1183.34644602087</v>
      </c>
      <c r="Y37" s="31" t="n">
        <v>126.8117965363906</v>
      </c>
      <c r="Z37" s="31" t="n">
        <v>11929.01478131545</v>
      </c>
      <c r="AA37" s="31" t="n">
        <v>79.78518303092758</v>
      </c>
      <c r="AB37" s="31" t="n">
        <v>15.08814246906694</v>
      </c>
      <c r="AC37" s="31" t="n">
        <v>17.18548589012498</v>
      </c>
      <c r="AD37" s="31" t="n">
        <v>13.48310560362379</v>
      </c>
      <c r="AE37" s="31" t="n">
        <v>34.63905861446177</v>
      </c>
      <c r="AF37" s="31" t="n">
        <v>13.35700171059989</v>
      </c>
      <c r="AG37" s="31" t="n">
        <v>12.10537160806171</v>
      </c>
      <c r="AH37" s="31" t="n">
        <v>17.5225933367482</v>
      </c>
      <c r="AI37" s="31" t="n">
        <v>11.99279295110607</v>
      </c>
      <c r="AJ37" s="31" t="n">
        <v>8.334147469211661</v>
      </c>
      <c r="AK37" s="31" t="n">
        <v>1.802624825921419</v>
      </c>
      <c r="AL37" s="31" t="n">
        <v>16.99620272872417</v>
      </c>
      <c r="AM37" s="31" t="n">
        <v>5.024224858787123</v>
      </c>
      <c r="AN37" s="31" t="n">
        <v>4.354525689925846</v>
      </c>
      <c r="AO37" s="31" t="n">
        <v>9.721438788694314</v>
      </c>
      <c r="AP37" s="31" t="n">
        <v>21.88587518393248</v>
      </c>
      <c r="AQ37" s="31" t="n">
        <v>17.75251249005869</v>
      </c>
      <c r="AR37" s="31" t="n">
        <v>1059.523596089778</v>
      </c>
      <c r="AS37" s="31" t="n">
        <v>19.30440454355642</v>
      </c>
      <c r="AT37" s="31" t="n">
        <v>1.287737242359601</v>
      </c>
      <c r="AU37" s="31" t="n">
        <v>0.44804900632312</v>
      </c>
      <c r="AV37" s="31" t="n">
        <v>16.32586087274368</v>
      </c>
      <c r="AW37" s="31" t="n">
        <v>8.14726166054076</v>
      </c>
      <c r="AX37" s="31" t="n">
        <v>69.67296259087151</v>
      </c>
      <c r="AY37" s="31" t="n">
        <v>0.9493421886247306</v>
      </c>
      <c r="AZ37" s="31" t="n">
        <v>3.725788245511366</v>
      </c>
      <c r="BA37" s="31" t="n">
        <v>12.02211176038634</v>
      </c>
      <c r="BB37" s="31" t="n">
        <v>12.45899686242362</v>
      </c>
      <c r="BC37" s="31" t="n">
        <v>13.35948439502996</v>
      </c>
      <c r="BD37" s="31" t="n">
        <v>5.570097772843062</v>
      </c>
      <c r="BE37" s="31" t="n">
        <v>27.04740614708182</v>
      </c>
      <c r="BF37" s="31" t="n">
        <v>54.45700318271264</v>
      </c>
      <c r="BG37" s="31" t="n">
        <v>195.9112382957328</v>
      </c>
      <c r="BH37" s="31" t="n">
        <v>11.69120187283093</v>
      </c>
      <c r="BI37" s="31" t="n">
        <v>103.9564540784283</v>
      </c>
      <c r="BJ37" s="31" t="n">
        <v>0.8767904066654878</v>
      </c>
      <c r="BK37" s="31" t="n">
        <v>3803.910231903995</v>
      </c>
      <c r="BL37" s="31" t="n">
        <v>1103.46174772444</v>
      </c>
      <c r="BM37" s="31" t="n">
        <v>669.778751057968</v>
      </c>
      <c r="BN37" s="31" t="n">
        <v>26058.88910454994</v>
      </c>
      <c r="BO37" s="31" t="n">
        <v>25206.24738456328</v>
      </c>
      <c r="BP37" s="31" t="n">
        <v>31.37608589642122</v>
      </c>
      <c r="BQ37" s="31" t="n">
        <v>1806.011613901155</v>
      </c>
      <c r="BR37" s="31" t="n">
        <v>0</v>
      </c>
      <c r="BS37" s="31">
        <f>SUM(C37:BR37)</f>
        <v/>
      </c>
      <c r="BT37" s="31" t="n">
        <v>0</v>
      </c>
      <c r="BU37" s="31" t="n">
        <v>0</v>
      </c>
      <c r="BV37" s="31" t="n">
        <v>65376.82293428094</v>
      </c>
      <c r="BW37" s="31" t="n">
        <v>0</v>
      </c>
      <c r="BX37" s="31">
        <f>SUM(BT37:BW37)</f>
        <v/>
      </c>
      <c r="BY37" s="31">
        <f>BS37+BX37</f>
        <v/>
      </c>
    </row>
    <row r="38">
      <c r="A38" s="28" t="inlineStr">
        <is>
          <t>2200</t>
        </is>
      </c>
      <c r="B38" s="28" t="inlineStr">
        <is>
          <t>Fabricação de produtos de borracha e de material plástico</t>
        </is>
      </c>
      <c r="C38" s="29" t="n">
        <v>1701.128779935352</v>
      </c>
      <c r="D38" s="29" t="n">
        <v>519.4252767611197</v>
      </c>
      <c r="E38" s="29" t="n">
        <v>111.6639019393057</v>
      </c>
      <c r="F38" s="29" t="n">
        <v>324.3673679738075</v>
      </c>
      <c r="G38" s="29" t="n">
        <v>641.4846874294386</v>
      </c>
      <c r="H38" s="29" t="n">
        <v>3418.813321110146</v>
      </c>
      <c r="I38" s="29" t="n">
        <v>211.9933133747456</v>
      </c>
      <c r="J38" s="29" t="n">
        <v>6663.809136482684</v>
      </c>
      <c r="K38" s="29" t="n">
        <v>556.3405844827919</v>
      </c>
      <c r="L38" s="29" t="n">
        <v>16485.57613096477</v>
      </c>
      <c r="M38" s="29" t="n">
        <v>5922.15209106281</v>
      </c>
      <c r="N38" s="29" t="n">
        <v>21.04306724603659</v>
      </c>
      <c r="O38" s="29" t="n">
        <v>932.9164905497275</v>
      </c>
      <c r="P38" s="29" t="n">
        <v>393.4364298857942</v>
      </c>
      <c r="Q38" s="29" t="n">
        <v>1404.956729807458</v>
      </c>
      <c r="R38" s="29" t="n">
        <v>956.5500006816337</v>
      </c>
      <c r="S38" s="29" t="n">
        <v>2180.258376580018</v>
      </c>
      <c r="T38" s="29" t="n">
        <v>1477.129043408023</v>
      </c>
      <c r="U38" s="29" t="n">
        <v>236.5048415528111</v>
      </c>
      <c r="V38" s="29" t="n">
        <v>157.4117954925705</v>
      </c>
      <c r="W38" s="29" t="n">
        <v>4453.779592094394</v>
      </c>
      <c r="X38" s="29" t="n">
        <v>1770.06557371684</v>
      </c>
      <c r="Y38" s="29" t="n">
        <v>3208.623506631808</v>
      </c>
      <c r="Z38" s="29" t="n">
        <v>934.3235622012493</v>
      </c>
      <c r="AA38" s="29" t="n">
        <v>35821.9894600434</v>
      </c>
      <c r="AB38" s="29" t="n">
        <v>5206.512364035595</v>
      </c>
      <c r="AC38" s="29" t="n">
        <v>1241.115577166248</v>
      </c>
      <c r="AD38" s="29" t="n">
        <v>235.180317101378</v>
      </c>
      <c r="AE38" s="29" t="n">
        <v>2070.643197792691</v>
      </c>
      <c r="AF38" s="29" t="n">
        <v>2157.619709829091</v>
      </c>
      <c r="AG38" s="29" t="n">
        <v>4364.620514692337</v>
      </c>
      <c r="AH38" s="29" t="n">
        <v>6174.30886971274</v>
      </c>
      <c r="AI38" s="29" t="n">
        <v>17461.67230912237</v>
      </c>
      <c r="AJ38" s="29" t="n">
        <v>7781.5771858864</v>
      </c>
      <c r="AK38" s="29" t="n">
        <v>1607.406980048516</v>
      </c>
      <c r="AL38" s="29" t="n">
        <v>5302.155713460108</v>
      </c>
      <c r="AM38" s="29" t="n">
        <v>3216.882940697682</v>
      </c>
      <c r="AN38" s="29" t="n">
        <v>601.2753720086419</v>
      </c>
      <c r="AO38" s="29" t="n">
        <v>1651.077423032603</v>
      </c>
      <c r="AP38" s="29" t="n">
        <v>32471.77679233855</v>
      </c>
      <c r="AQ38" s="29" t="n">
        <v>4265.180665615702</v>
      </c>
      <c r="AR38" s="29" t="n">
        <v>13067.54345780033</v>
      </c>
      <c r="AS38" s="29" t="n">
        <v>14757.91800766778</v>
      </c>
      <c r="AT38" s="29" t="n">
        <v>12.24250296548787</v>
      </c>
      <c r="AU38" s="29" t="n">
        <v>1340.707689353569</v>
      </c>
      <c r="AV38" s="29" t="n">
        <v>332.0088552064436</v>
      </c>
      <c r="AW38" s="29" t="n">
        <v>53.64378147026473</v>
      </c>
      <c r="AX38" s="29" t="n">
        <v>921.1924052674686</v>
      </c>
      <c r="AY38" s="29" t="n">
        <v>28.20218842966743</v>
      </c>
      <c r="AZ38" s="29" t="n">
        <v>13.43325809573043</v>
      </c>
      <c r="BA38" s="29" t="n">
        <v>39.38192409132058</v>
      </c>
      <c r="BB38" s="29" t="n">
        <v>75.33974274359213</v>
      </c>
      <c r="BC38" s="29" t="n">
        <v>192.9396694911345</v>
      </c>
      <c r="BD38" s="29" t="n">
        <v>331.4567250101098</v>
      </c>
      <c r="BE38" s="29" t="n">
        <v>961.2761147918106</v>
      </c>
      <c r="BF38" s="29" t="n">
        <v>67.0517030917247</v>
      </c>
      <c r="BG38" s="29" t="n">
        <v>87.81120528105211</v>
      </c>
      <c r="BH38" s="29" t="n">
        <v>877.5975852547897</v>
      </c>
      <c r="BI38" s="29" t="n">
        <v>1289.581031066771</v>
      </c>
      <c r="BJ38" s="29" t="n">
        <v>6.829357617302639</v>
      </c>
      <c r="BK38" s="29" t="n">
        <v>340.0402060169031</v>
      </c>
      <c r="BL38" s="29" t="n">
        <v>384.478356965086</v>
      </c>
      <c r="BM38" s="29" t="n">
        <v>78.41006569347392</v>
      </c>
      <c r="BN38" s="29" t="n">
        <v>1721.661818167215</v>
      </c>
      <c r="BO38" s="29" t="n">
        <v>1184.019951134438</v>
      </c>
      <c r="BP38" s="29" t="n">
        <v>56.57806480442781</v>
      </c>
      <c r="BQ38" s="29" t="n">
        <v>364.2405372376909</v>
      </c>
      <c r="BR38" s="29" t="n">
        <v>0</v>
      </c>
      <c r="BS38" s="29">
        <f>SUM(C38:BR38)</f>
        <v/>
      </c>
      <c r="BT38" s="29" t="n">
        <v>0</v>
      </c>
      <c r="BU38" s="29" t="n">
        <v>0</v>
      </c>
      <c r="BV38" s="29" t="n">
        <v>39073.74247857648</v>
      </c>
      <c r="BW38" s="29" t="n">
        <v>0</v>
      </c>
      <c r="BX38" s="29">
        <f>SUM(BT38:BW38)</f>
        <v/>
      </c>
      <c r="BY38" s="29">
        <f>BS38+BX38</f>
        <v/>
      </c>
    </row>
    <row r="39">
      <c r="A39" s="30" t="inlineStr">
        <is>
          <t>2300</t>
        </is>
      </c>
      <c r="B39" s="30" t="inlineStr">
        <is>
          <t>Fabricação de produtos de minerais não-metálicos</t>
        </is>
      </c>
      <c r="C39" s="31" t="n">
        <v>7688.491750691315</v>
      </c>
      <c r="D39" s="31" t="n">
        <v>4584.668463676368</v>
      </c>
      <c r="E39" s="31" t="n">
        <v>145.8761827020733</v>
      </c>
      <c r="F39" s="31" t="n">
        <v>181.1181605189871</v>
      </c>
      <c r="G39" s="31" t="n">
        <v>186.7819659134712</v>
      </c>
      <c r="H39" s="31" t="n">
        <v>80.70072372815659</v>
      </c>
      <c r="I39" s="31" t="n">
        <v>29.93911451807521</v>
      </c>
      <c r="J39" s="31" t="n">
        <v>80.67531947332388</v>
      </c>
      <c r="K39" s="31" t="n">
        <v>448.851521514665</v>
      </c>
      <c r="L39" s="31" t="n">
        <v>3994.615821457916</v>
      </c>
      <c r="M39" s="31" t="n">
        <v>4826.158487006447</v>
      </c>
      <c r="N39" s="31" t="n">
        <v>2.479496821544637</v>
      </c>
      <c r="O39" s="31" t="n">
        <v>72.65343309356864</v>
      </c>
      <c r="P39" s="31" t="n">
        <v>191.2231163351577</v>
      </c>
      <c r="Q39" s="31" t="n">
        <v>45.33019427467251</v>
      </c>
      <c r="R39" s="31" t="n">
        <v>40.86840410977595</v>
      </c>
      <c r="S39" s="31" t="n">
        <v>791.2845443944998</v>
      </c>
      <c r="T39" s="31" t="n">
        <v>27.61485938844638</v>
      </c>
      <c r="U39" s="31" t="n">
        <v>28.68862533260069</v>
      </c>
      <c r="V39" s="31" t="n">
        <v>47.29436232189486</v>
      </c>
      <c r="W39" s="31" t="n">
        <v>2308.114832865795</v>
      </c>
      <c r="X39" s="31" t="n">
        <v>588.6563879810901</v>
      </c>
      <c r="Y39" s="31" t="n">
        <v>821.8771250082742</v>
      </c>
      <c r="Z39" s="31" t="n">
        <v>176.7473561677195</v>
      </c>
      <c r="AA39" s="31" t="n">
        <v>1311.713594603897</v>
      </c>
      <c r="AB39" s="31" t="n">
        <v>19750.76825086501</v>
      </c>
      <c r="AC39" s="31" t="n">
        <v>874.006830227023</v>
      </c>
      <c r="AD39" s="31" t="n">
        <v>77.06555673780042</v>
      </c>
      <c r="AE39" s="31" t="n">
        <v>472.7379502400459</v>
      </c>
      <c r="AF39" s="31" t="n">
        <v>35.80297342694897</v>
      </c>
      <c r="AG39" s="31" t="n">
        <v>829.7968814266326</v>
      </c>
      <c r="AH39" s="31" t="n">
        <v>725.2276098163492</v>
      </c>
      <c r="AI39" s="31" t="n">
        <v>4263.137755691101</v>
      </c>
      <c r="AJ39" s="31" t="n">
        <v>371.0937009401831</v>
      </c>
      <c r="AK39" s="31" t="n">
        <v>257.5957205015964</v>
      </c>
      <c r="AL39" s="31" t="n">
        <v>1248.494566265429</v>
      </c>
      <c r="AM39" s="31" t="n">
        <v>500.331550352626</v>
      </c>
      <c r="AN39" s="31" t="n">
        <v>2413.058762628395</v>
      </c>
      <c r="AO39" s="31" t="n">
        <v>2048.497476602139</v>
      </c>
      <c r="AP39" s="31" t="n">
        <v>96977.12985538729</v>
      </c>
      <c r="AQ39" s="31" t="n">
        <v>624.287879607167</v>
      </c>
      <c r="AR39" s="31" t="n">
        <v>462.000996746541</v>
      </c>
      <c r="AS39" s="31" t="n">
        <v>101.4154437848019</v>
      </c>
      <c r="AT39" s="31" t="n">
        <v>3.260729027404591</v>
      </c>
      <c r="AU39" s="31" t="n">
        <v>0.7971407388634131</v>
      </c>
      <c r="AV39" s="31" t="n">
        <v>56.68527508004291</v>
      </c>
      <c r="AW39" s="31" t="n">
        <v>411.1205474806179</v>
      </c>
      <c r="AX39" s="31" t="n">
        <v>1425.499313597674</v>
      </c>
      <c r="AY39" s="31" t="n">
        <v>5.384310213735104</v>
      </c>
      <c r="AZ39" s="31" t="n">
        <v>8.888939984744242</v>
      </c>
      <c r="BA39" s="31" t="n">
        <v>19.83306297778034</v>
      </c>
      <c r="BB39" s="31" t="n">
        <v>27.7238948043551</v>
      </c>
      <c r="BC39" s="31" t="n">
        <v>40.97075240887773</v>
      </c>
      <c r="BD39" s="31" t="n">
        <v>3235.588278014107</v>
      </c>
      <c r="BE39" s="31" t="n">
        <v>51.08784063184537</v>
      </c>
      <c r="BF39" s="31" t="n">
        <v>35.13501278150567</v>
      </c>
      <c r="BG39" s="31" t="n">
        <v>18.30372919773829</v>
      </c>
      <c r="BH39" s="31" t="n">
        <v>17.32871104264467</v>
      </c>
      <c r="BI39" s="31" t="n">
        <v>237.4120190819</v>
      </c>
      <c r="BJ39" s="31" t="n">
        <v>3.021361394796702</v>
      </c>
      <c r="BK39" s="31" t="n">
        <v>738.8459529636755</v>
      </c>
      <c r="BL39" s="31" t="n">
        <v>264.0256645678243</v>
      </c>
      <c r="BM39" s="31" t="n">
        <v>43.37955355150243</v>
      </c>
      <c r="BN39" s="31" t="n">
        <v>533.7147825016766</v>
      </c>
      <c r="BO39" s="31" t="n">
        <v>374.0564998323621</v>
      </c>
      <c r="BP39" s="31" t="n">
        <v>32.11126364926878</v>
      </c>
      <c r="BQ39" s="31" t="n">
        <v>500.101635553776</v>
      </c>
      <c r="BR39" s="31" t="n">
        <v>0</v>
      </c>
      <c r="BS39" s="31">
        <f>SUM(C39:BR39)</f>
        <v/>
      </c>
      <c r="BT39" s="31" t="n">
        <v>0</v>
      </c>
      <c r="BU39" s="31" t="n">
        <v>0</v>
      </c>
      <c r="BV39" s="31" t="n">
        <v>22222.56333852229</v>
      </c>
      <c r="BW39" s="31" t="n">
        <v>0</v>
      </c>
      <c r="BX39" s="31">
        <f>SUM(BT39:BW39)</f>
        <v/>
      </c>
      <c r="BY39" s="31">
        <f>BS39+BX39</f>
        <v/>
      </c>
    </row>
    <row r="40">
      <c r="A40" s="28" t="inlineStr">
        <is>
          <t>2491</t>
        </is>
      </c>
      <c r="B40" s="28" t="inlineStr">
        <is>
          <t>Produção de ferro-gusa/ferroligas, siderurgia e tubos de aço sem costura</t>
        </is>
      </c>
      <c r="C40" s="29" t="n">
        <v>708.7620882381823</v>
      </c>
      <c r="D40" s="29" t="n">
        <v>1022.905815114204</v>
      </c>
      <c r="E40" s="29" t="n">
        <v>65.54146006336612</v>
      </c>
      <c r="F40" s="29" t="n">
        <v>361.6123859894793</v>
      </c>
      <c r="G40" s="29" t="n">
        <v>36624.06348281755</v>
      </c>
      <c r="H40" s="29" t="n">
        <v>406.6392933236379</v>
      </c>
      <c r="I40" s="29" t="n">
        <v>290.4818181064483</v>
      </c>
      <c r="J40" s="29" t="n">
        <v>1231.075751126563</v>
      </c>
      <c r="K40" s="29" t="n">
        <v>33.82759696366345</v>
      </c>
      <c r="L40" s="29" t="n">
        <v>749.1531022495503</v>
      </c>
      <c r="M40" s="29" t="n">
        <v>671.1958157994217</v>
      </c>
      <c r="N40" s="29" t="n">
        <v>4.255791875194918</v>
      </c>
      <c r="O40" s="29" t="n">
        <v>82.86914257192291</v>
      </c>
      <c r="P40" s="29" t="n">
        <v>18.55669027816663</v>
      </c>
      <c r="Q40" s="29" t="n">
        <v>31.07106651058159</v>
      </c>
      <c r="R40" s="29" t="n">
        <v>156.4478962704765</v>
      </c>
      <c r="S40" s="29" t="n">
        <v>879.5471691965073</v>
      </c>
      <c r="T40" s="29" t="n">
        <v>26.86878754905472</v>
      </c>
      <c r="U40" s="29" t="n">
        <v>174.7278884497889</v>
      </c>
      <c r="V40" s="29" t="n">
        <v>34.89427952306296</v>
      </c>
      <c r="W40" s="29" t="n">
        <v>657.9341434314625</v>
      </c>
      <c r="X40" s="29" t="n">
        <v>352.0767333655927</v>
      </c>
      <c r="Y40" s="29" t="n">
        <v>226.4294825955579</v>
      </c>
      <c r="Z40" s="29" t="n">
        <v>65.99269985657925</v>
      </c>
      <c r="AA40" s="29" t="n">
        <v>3668.09640251261</v>
      </c>
      <c r="AB40" s="29" t="n">
        <v>2827.595898646117</v>
      </c>
      <c r="AC40" s="29" t="n">
        <v>38729.22435333802</v>
      </c>
      <c r="AD40" s="29" t="n">
        <v>2866.314779091021</v>
      </c>
      <c r="AE40" s="29" t="n">
        <v>66730.94650895517</v>
      </c>
      <c r="AF40" s="29" t="n">
        <v>328.3009544366854</v>
      </c>
      <c r="AG40" s="29" t="n">
        <v>9847.68197961246</v>
      </c>
      <c r="AH40" s="29" t="n">
        <v>32535.32332608372</v>
      </c>
      <c r="AI40" s="29" t="n">
        <v>15983.05280508114</v>
      </c>
      <c r="AJ40" s="29" t="n">
        <v>24685.89856747399</v>
      </c>
      <c r="AK40" s="29" t="n">
        <v>2152.488677224054</v>
      </c>
      <c r="AL40" s="29" t="n">
        <v>4358.726382627242</v>
      </c>
      <c r="AM40" s="29" t="n">
        <v>3783.935909102644</v>
      </c>
      <c r="AN40" s="29" t="n">
        <v>742.4175847597189</v>
      </c>
      <c r="AO40" s="29" t="n">
        <v>438.5704240751456</v>
      </c>
      <c r="AP40" s="29" t="n">
        <v>37504.95243265473</v>
      </c>
      <c r="AQ40" s="29" t="n">
        <v>179.0273153267288</v>
      </c>
      <c r="AR40" s="29" t="n">
        <v>5556.095309336542</v>
      </c>
      <c r="AS40" s="29" t="n">
        <v>158.1825177222804</v>
      </c>
      <c r="AT40" s="29" t="n">
        <v>3.101065145436897</v>
      </c>
      <c r="AU40" s="29" t="n">
        <v>1.722112697328977</v>
      </c>
      <c r="AV40" s="29" t="n">
        <v>76.55390875644659</v>
      </c>
      <c r="AW40" s="29" t="n">
        <v>32.7039080769847</v>
      </c>
      <c r="AX40" s="29" t="n">
        <v>290.571944896648</v>
      </c>
      <c r="AY40" s="29" t="n">
        <v>2.450739496674516</v>
      </c>
      <c r="AZ40" s="29" t="n">
        <v>8.025089777298186</v>
      </c>
      <c r="BA40" s="29" t="n">
        <v>33.51499857238065</v>
      </c>
      <c r="BB40" s="29" t="n">
        <v>155.986627771986</v>
      </c>
      <c r="BC40" s="29" t="n">
        <v>68.5766951657982</v>
      </c>
      <c r="BD40" s="29" t="n">
        <v>71.88619070260341</v>
      </c>
      <c r="BE40" s="29" t="n">
        <v>87.99384410839322</v>
      </c>
      <c r="BF40" s="29" t="n">
        <v>63.36479967310503</v>
      </c>
      <c r="BG40" s="29" t="n">
        <v>23.82364672478178</v>
      </c>
      <c r="BH40" s="29" t="n">
        <v>735.4842684400954</v>
      </c>
      <c r="BI40" s="29" t="n">
        <v>102.7366012340921</v>
      </c>
      <c r="BJ40" s="29" t="n">
        <v>18.69834619191602</v>
      </c>
      <c r="BK40" s="29" t="n">
        <v>407.003177141868</v>
      </c>
      <c r="BL40" s="29" t="n">
        <v>77.75260851320755</v>
      </c>
      <c r="BM40" s="29" t="n">
        <v>75.77559903662197</v>
      </c>
      <c r="BN40" s="29" t="n">
        <v>75.06104298677326</v>
      </c>
      <c r="BO40" s="29" t="n">
        <v>52.05892804777969</v>
      </c>
      <c r="BP40" s="29" t="n">
        <v>54.92503570095921</v>
      </c>
      <c r="BQ40" s="29" t="n">
        <v>67.51895869432482</v>
      </c>
      <c r="BR40" s="29" t="n">
        <v>0</v>
      </c>
      <c r="BS40" s="29">
        <f>SUM(C40:BR40)</f>
        <v/>
      </c>
      <c r="BT40" s="29" t="n">
        <v>0</v>
      </c>
      <c r="BU40" s="29" t="n">
        <v>0</v>
      </c>
      <c r="BV40" s="29" t="n">
        <v>75809.54711595274</v>
      </c>
      <c r="BW40" s="29" t="n">
        <v>0</v>
      </c>
      <c r="BX40" s="29">
        <f>SUM(BT40:BW40)</f>
        <v/>
      </c>
      <c r="BY40" s="29">
        <f>BS40+BX40</f>
        <v/>
      </c>
    </row>
    <row r="41">
      <c r="A41" s="30" t="inlineStr">
        <is>
          <t>2492</t>
        </is>
      </c>
      <c r="B41" s="30" t="inlineStr">
        <is>
          <t>Metalurgia de metais não-ferrosos e a fundição de metais</t>
        </is>
      </c>
      <c r="C41" s="31" t="n">
        <v>1162.239319635675</v>
      </c>
      <c r="D41" s="31" t="n">
        <v>268.5123036203336</v>
      </c>
      <c r="E41" s="31" t="n">
        <v>15.41567367881078</v>
      </c>
      <c r="F41" s="31" t="n">
        <v>14.19308779299744</v>
      </c>
      <c r="G41" s="31" t="n">
        <v>401.5282219982623</v>
      </c>
      <c r="H41" s="31" t="n">
        <v>148.2799545308576</v>
      </c>
      <c r="I41" s="31" t="n">
        <v>231.6501691277268</v>
      </c>
      <c r="J41" s="31" t="n">
        <v>989.1351335587872</v>
      </c>
      <c r="K41" s="31" t="n">
        <v>40.46470924805058</v>
      </c>
      <c r="L41" s="31" t="n">
        <v>1647.523980806916</v>
      </c>
      <c r="M41" s="31" t="n">
        <v>186.6861639533194</v>
      </c>
      <c r="N41" s="31" t="n">
        <v>2.125276827665921</v>
      </c>
      <c r="O41" s="31" t="n">
        <v>29.45223140417897</v>
      </c>
      <c r="P41" s="31" t="n">
        <v>11.55992436831734</v>
      </c>
      <c r="Q41" s="31" t="n">
        <v>20.81374563106421</v>
      </c>
      <c r="R41" s="31" t="n">
        <v>35.57968200402424</v>
      </c>
      <c r="S41" s="31" t="n">
        <v>1312.993285179595</v>
      </c>
      <c r="T41" s="31" t="n">
        <v>702.4841749700105</v>
      </c>
      <c r="U41" s="31" t="n">
        <v>23.43005111237625</v>
      </c>
      <c r="V41" s="31" t="n">
        <v>14.16906880454221</v>
      </c>
      <c r="W41" s="31" t="n">
        <v>5274.077582975548</v>
      </c>
      <c r="X41" s="31" t="n">
        <v>1030.573636944278</v>
      </c>
      <c r="Y41" s="31" t="n">
        <v>159.3480643323973</v>
      </c>
      <c r="Z41" s="31" t="n">
        <v>64.61586796177944</v>
      </c>
      <c r="AA41" s="31" t="n">
        <v>371.8959110397354</v>
      </c>
      <c r="AB41" s="31" t="n">
        <v>598.1701227708584</v>
      </c>
      <c r="AC41" s="31" t="n">
        <v>5521.88067501838</v>
      </c>
      <c r="AD41" s="31" t="n">
        <v>37525.79143691288</v>
      </c>
      <c r="AE41" s="31" t="n">
        <v>7842.230491622538</v>
      </c>
      <c r="AF41" s="31" t="n">
        <v>503.6373496372428</v>
      </c>
      <c r="AG41" s="31" t="n">
        <v>21409.82727358989</v>
      </c>
      <c r="AH41" s="31" t="n">
        <v>5937.99448531079</v>
      </c>
      <c r="AI41" s="31" t="n">
        <v>2114.305836358186</v>
      </c>
      <c r="AJ41" s="31" t="n">
        <v>10434.28281627632</v>
      </c>
      <c r="AK41" s="31" t="n">
        <v>1998.720864686749</v>
      </c>
      <c r="AL41" s="31" t="n">
        <v>6796.114794831699</v>
      </c>
      <c r="AM41" s="31" t="n">
        <v>2962.859263301406</v>
      </c>
      <c r="AN41" s="31" t="n">
        <v>141.0026065848284</v>
      </c>
      <c r="AO41" s="31" t="n">
        <v>395.7160846005227</v>
      </c>
      <c r="AP41" s="31" t="n">
        <v>7321.390835100281</v>
      </c>
      <c r="AQ41" s="31" t="n">
        <v>1019.565003689871</v>
      </c>
      <c r="AR41" s="31" t="n">
        <v>958.7283018954081</v>
      </c>
      <c r="AS41" s="31" t="n">
        <v>148.8856682712004</v>
      </c>
      <c r="AT41" s="31" t="n">
        <v>3.791162464729831</v>
      </c>
      <c r="AU41" s="31" t="n">
        <v>1.513356408905355</v>
      </c>
      <c r="AV41" s="31" t="n">
        <v>66.2065709645056</v>
      </c>
      <c r="AW41" s="31" t="n">
        <v>23.01887073747714</v>
      </c>
      <c r="AX41" s="31" t="n">
        <v>141.5195489774037</v>
      </c>
      <c r="AY41" s="31" t="n">
        <v>3.497528115011304</v>
      </c>
      <c r="AZ41" s="31" t="n">
        <v>8.562675368465435</v>
      </c>
      <c r="BA41" s="31" t="n">
        <v>38.16738404656572</v>
      </c>
      <c r="BB41" s="31" t="n">
        <v>48.29562116212206</v>
      </c>
      <c r="BC41" s="31" t="n">
        <v>79.67612726359194</v>
      </c>
      <c r="BD41" s="31" t="n">
        <v>136.2426250537515</v>
      </c>
      <c r="BE41" s="31" t="n">
        <v>94.64855668147273</v>
      </c>
      <c r="BF41" s="31" t="n">
        <v>21.10057803003087</v>
      </c>
      <c r="BG41" s="31" t="n">
        <v>28.79208923793781</v>
      </c>
      <c r="BH41" s="31" t="n">
        <v>23.42597472760322</v>
      </c>
      <c r="BI41" s="31" t="n">
        <v>84.24898811894242</v>
      </c>
      <c r="BJ41" s="31" t="n">
        <v>9.225023401523256</v>
      </c>
      <c r="BK41" s="31" t="n">
        <v>104.4932323416448</v>
      </c>
      <c r="BL41" s="31" t="n">
        <v>22.38335833868372</v>
      </c>
      <c r="BM41" s="31" t="n">
        <v>88.99920772214726</v>
      </c>
      <c r="BN41" s="31" t="n">
        <v>58.75892832486973</v>
      </c>
      <c r="BO41" s="31" t="n">
        <v>124.4617618714008</v>
      </c>
      <c r="BP41" s="31" t="n">
        <v>64.22358822224058</v>
      </c>
      <c r="BQ41" s="31" t="n">
        <v>112.6718535297749</v>
      </c>
      <c r="BR41" s="31" t="n">
        <v>0</v>
      </c>
      <c r="BS41" s="31">
        <f>SUM(C41:BR41)</f>
        <v/>
      </c>
      <c r="BT41" s="31" t="n">
        <v>0</v>
      </c>
      <c r="BU41" s="31" t="n">
        <v>0</v>
      </c>
      <c r="BV41" s="31" t="n">
        <v>40010.1429376052</v>
      </c>
      <c r="BW41" s="31" t="n">
        <v>0</v>
      </c>
      <c r="BX41" s="31">
        <f>SUM(BT41:BW41)</f>
        <v/>
      </c>
      <c r="BY41" s="31">
        <f>BS41+BX41</f>
        <v/>
      </c>
    </row>
    <row r="42">
      <c r="A42" s="28" t="inlineStr">
        <is>
          <t>2500</t>
        </is>
      </c>
      <c r="B42" s="28" t="inlineStr">
        <is>
          <t>Fabricação de produtos de metal, exceto máquinas e equipamentos</t>
        </is>
      </c>
      <c r="C42" s="29" t="n">
        <v>1109.992688005365</v>
      </c>
      <c r="D42" s="29" t="n">
        <v>1455.060696723478</v>
      </c>
      <c r="E42" s="29" t="n">
        <v>129.6463831360104</v>
      </c>
      <c r="F42" s="29" t="n">
        <v>156.9037230160933</v>
      </c>
      <c r="G42" s="29" t="n">
        <v>5269.517021237994</v>
      </c>
      <c r="H42" s="29" t="n">
        <v>5030.220691766035</v>
      </c>
      <c r="I42" s="29" t="n">
        <v>703.5421323588321</v>
      </c>
      <c r="J42" s="29" t="n">
        <v>7753.393552638836</v>
      </c>
      <c r="K42" s="29" t="n">
        <v>370.2322050508113</v>
      </c>
      <c r="L42" s="29" t="n">
        <v>6562.840706494906</v>
      </c>
      <c r="M42" s="29" t="n">
        <v>10188.85295933583</v>
      </c>
      <c r="N42" s="29" t="n">
        <v>52.97236534000299</v>
      </c>
      <c r="O42" s="29" t="n">
        <v>216.4850889319661</v>
      </c>
      <c r="P42" s="29" t="n">
        <v>204.8500903205116</v>
      </c>
      <c r="Q42" s="29" t="n">
        <v>124.7588723146596</v>
      </c>
      <c r="R42" s="29" t="n">
        <v>1901.039635104537</v>
      </c>
      <c r="S42" s="29" t="n">
        <v>493.7110186161246</v>
      </c>
      <c r="T42" s="29" t="n">
        <v>63.7949527362388</v>
      </c>
      <c r="U42" s="29" t="n">
        <v>1144.973177189238</v>
      </c>
      <c r="V42" s="29" t="n">
        <v>293.0216191490587</v>
      </c>
      <c r="W42" s="29" t="n">
        <v>1863.999230544414</v>
      </c>
      <c r="X42" s="29" t="n">
        <v>2632.6274716426</v>
      </c>
      <c r="Y42" s="29" t="n">
        <v>2344.800873143643</v>
      </c>
      <c r="Z42" s="29" t="n">
        <v>393.0812308272035</v>
      </c>
      <c r="AA42" s="29" t="n">
        <v>939.1019997070075</v>
      </c>
      <c r="AB42" s="29" t="n">
        <v>674.2676624816568</v>
      </c>
      <c r="AC42" s="29" t="n">
        <v>6111.360933320414</v>
      </c>
      <c r="AD42" s="29" t="n">
        <v>1093.137222166681</v>
      </c>
      <c r="AE42" s="29" t="n">
        <v>23963.45513587578</v>
      </c>
      <c r="AF42" s="29" t="n">
        <v>2393.790639000403</v>
      </c>
      <c r="AG42" s="29" t="n">
        <v>7062.598337054099</v>
      </c>
      <c r="AH42" s="29" t="n">
        <v>17111.288559312</v>
      </c>
      <c r="AI42" s="29" t="n">
        <v>10589.25723277589</v>
      </c>
      <c r="AJ42" s="29" t="n">
        <v>6277.053324678694</v>
      </c>
      <c r="AK42" s="29" t="n">
        <v>3410.448454265019</v>
      </c>
      <c r="AL42" s="29" t="n">
        <v>3720.211043042319</v>
      </c>
      <c r="AM42" s="29" t="n">
        <v>7509.586499024888</v>
      </c>
      <c r="AN42" s="29" t="n">
        <v>4269.720618323432</v>
      </c>
      <c r="AO42" s="29" t="n">
        <v>1322.15393585419</v>
      </c>
      <c r="AP42" s="29" t="n">
        <v>44408.29589565692</v>
      </c>
      <c r="AQ42" s="29" t="n">
        <v>1061.539513943257</v>
      </c>
      <c r="AR42" s="29" t="n">
        <v>4181.070605408096</v>
      </c>
      <c r="AS42" s="29" t="n">
        <v>502.2284774379755</v>
      </c>
      <c r="AT42" s="29" t="n">
        <v>15.20686964448906</v>
      </c>
      <c r="AU42" s="29" t="n">
        <v>6.059732518205482</v>
      </c>
      <c r="AV42" s="29" t="n">
        <v>88.46120630557741</v>
      </c>
      <c r="AW42" s="29" t="n">
        <v>300.9402318538338</v>
      </c>
      <c r="AX42" s="29" t="n">
        <v>3620.31105000732</v>
      </c>
      <c r="AY42" s="29" t="n">
        <v>3.43684279729111</v>
      </c>
      <c r="AZ42" s="29" t="n">
        <v>30.03280382887472</v>
      </c>
      <c r="BA42" s="29" t="n">
        <v>81.76666335364229</v>
      </c>
      <c r="BB42" s="29" t="n">
        <v>55.14279849466665</v>
      </c>
      <c r="BC42" s="29" t="n">
        <v>60.80700951936631</v>
      </c>
      <c r="BD42" s="29" t="n">
        <v>646.6652060663571</v>
      </c>
      <c r="BE42" s="29" t="n">
        <v>92.35994880519449</v>
      </c>
      <c r="BF42" s="29" t="n">
        <v>73.0328375942245</v>
      </c>
      <c r="BG42" s="29" t="n">
        <v>29.17402878620526</v>
      </c>
      <c r="BH42" s="29" t="n">
        <v>49.47622908831546</v>
      </c>
      <c r="BI42" s="29" t="n">
        <v>588.7061192695921</v>
      </c>
      <c r="BJ42" s="29" t="n">
        <v>244.6161384471503</v>
      </c>
      <c r="BK42" s="29" t="n">
        <v>1969.185163369099</v>
      </c>
      <c r="BL42" s="29" t="n">
        <v>161.8665712809513</v>
      </c>
      <c r="BM42" s="29" t="n">
        <v>63.39212066553245</v>
      </c>
      <c r="BN42" s="29" t="n">
        <v>353.4713275933366</v>
      </c>
      <c r="BO42" s="29" t="n">
        <v>230.0558200487942</v>
      </c>
      <c r="BP42" s="29" t="n">
        <v>50.63848693431805</v>
      </c>
      <c r="BQ42" s="29" t="n">
        <v>245.5094950947043</v>
      </c>
      <c r="BR42" s="29" t="n">
        <v>0</v>
      </c>
      <c r="BS42" s="29">
        <f>SUM(C42:BR42)</f>
        <v/>
      </c>
      <c r="BT42" s="29" t="n">
        <v>0</v>
      </c>
      <c r="BU42" s="29" t="n">
        <v>0</v>
      </c>
      <c r="BV42" s="29" t="n">
        <v>43808.15431781544</v>
      </c>
      <c r="BW42" s="29" t="n">
        <v>0</v>
      </c>
      <c r="BX42" s="29">
        <f>SUM(BT42:BW42)</f>
        <v/>
      </c>
      <c r="BY42" s="29">
        <f>BS42+BX42</f>
        <v/>
      </c>
    </row>
    <row r="43">
      <c r="A43" s="30" t="inlineStr">
        <is>
          <t>2600</t>
        </is>
      </c>
      <c r="B43" s="30" t="inlineStr">
        <is>
          <t>Fabricação de equipamentos de informática, produtos eletrônicos e ópticos</t>
        </is>
      </c>
      <c r="C43" s="31" t="n">
        <v>12.92967357663363</v>
      </c>
      <c r="D43" s="31" t="n">
        <v>13.02788753361087</v>
      </c>
      <c r="E43" s="31" t="n">
        <v>2.312261507620602</v>
      </c>
      <c r="F43" s="31" t="n">
        <v>29.63003433067162</v>
      </c>
      <c r="G43" s="31" t="n">
        <v>1942.254647221562</v>
      </c>
      <c r="H43" s="31" t="n">
        <v>825.9397966749727</v>
      </c>
      <c r="I43" s="31" t="n">
        <v>85.59562938132058</v>
      </c>
      <c r="J43" s="31" t="n">
        <v>148.1112675260626</v>
      </c>
      <c r="K43" s="31" t="n">
        <v>9.586724622529758</v>
      </c>
      <c r="L43" s="31" t="n">
        <v>76.43188302717982</v>
      </c>
      <c r="M43" s="31" t="n">
        <v>25.3863304112424</v>
      </c>
      <c r="N43" s="31" t="n">
        <v>2.021390939540504</v>
      </c>
      <c r="O43" s="31" t="n">
        <v>15.69556242297345</v>
      </c>
      <c r="P43" s="31" t="n">
        <v>25.40496417149045</v>
      </c>
      <c r="Q43" s="31" t="n">
        <v>10.515505211529</v>
      </c>
      <c r="R43" s="31" t="n">
        <v>35.30384978516734</v>
      </c>
      <c r="S43" s="31" t="n">
        <v>47.70658531565788</v>
      </c>
      <c r="T43" s="31" t="n">
        <v>1634.188371695917</v>
      </c>
      <c r="U43" s="31" t="n">
        <v>11.8692261514232</v>
      </c>
      <c r="V43" s="31" t="n">
        <v>10.23470497299979</v>
      </c>
      <c r="W43" s="31" t="n">
        <v>66.0515176610738</v>
      </c>
      <c r="X43" s="31" t="n">
        <v>45.09887291157475</v>
      </c>
      <c r="Y43" s="31" t="n">
        <v>22.45021278211765</v>
      </c>
      <c r="Z43" s="31" t="n">
        <v>22.37938892761488</v>
      </c>
      <c r="AA43" s="31" t="n">
        <v>134.3530652242647</v>
      </c>
      <c r="AB43" s="31" t="n">
        <v>46.0066502266915</v>
      </c>
      <c r="AC43" s="31" t="n">
        <v>54.40159934092198</v>
      </c>
      <c r="AD43" s="31" t="n">
        <v>31.55555334999031</v>
      </c>
      <c r="AE43" s="31" t="n">
        <v>48.25277795404654</v>
      </c>
      <c r="AF43" s="31" t="n">
        <v>91655.27275681197</v>
      </c>
      <c r="AG43" s="31" t="n">
        <v>3636.290997901415</v>
      </c>
      <c r="AH43" s="31" t="n">
        <v>5079.448206675172</v>
      </c>
      <c r="AI43" s="31" t="n">
        <v>986.551001223867</v>
      </c>
      <c r="AJ43" s="31" t="n">
        <v>1689.084782016517</v>
      </c>
      <c r="AK43" s="31" t="n">
        <v>254.8806974809332</v>
      </c>
      <c r="AL43" s="31" t="n">
        <v>442.5817670915865</v>
      </c>
      <c r="AM43" s="31" t="n">
        <v>4852.270137243184</v>
      </c>
      <c r="AN43" s="31" t="n">
        <v>1067.871266221134</v>
      </c>
      <c r="AO43" s="31" t="n">
        <v>87.9881601446825</v>
      </c>
      <c r="AP43" s="31" t="n">
        <v>2202.247507636216</v>
      </c>
      <c r="AQ43" s="31" t="n">
        <v>126.3845067861464</v>
      </c>
      <c r="AR43" s="31" t="n">
        <v>1460.557932269255</v>
      </c>
      <c r="AS43" s="31" t="n">
        <v>164.4543361316647</v>
      </c>
      <c r="AT43" s="31" t="n">
        <v>32.4504180404176</v>
      </c>
      <c r="AU43" s="31" t="n">
        <v>17.06465337599596</v>
      </c>
      <c r="AV43" s="31" t="n">
        <v>1894.798915249353</v>
      </c>
      <c r="AW43" s="31" t="n">
        <v>6.52276927715384</v>
      </c>
      <c r="AX43" s="31" t="n">
        <v>17.08718590503264</v>
      </c>
      <c r="AY43" s="31" t="n">
        <v>6.222016784316619</v>
      </c>
      <c r="AZ43" s="31" t="n">
        <v>1057.669715102376</v>
      </c>
      <c r="BA43" s="31" t="n">
        <v>743.096464035573</v>
      </c>
      <c r="BB43" s="31" t="n">
        <v>15488.32841195273</v>
      </c>
      <c r="BC43" s="31" t="n">
        <v>1540.344570640809</v>
      </c>
      <c r="BD43" s="31" t="n">
        <v>39.77956243695659</v>
      </c>
      <c r="BE43" s="31" t="n">
        <v>1513.352770525098</v>
      </c>
      <c r="BF43" s="31" t="n">
        <v>4440.182328554482</v>
      </c>
      <c r="BG43" s="31" t="n">
        <v>848.3778399631935</v>
      </c>
      <c r="BH43" s="31" t="n">
        <v>219.9293369499169</v>
      </c>
      <c r="BI43" s="31" t="n">
        <v>5651.669418223166</v>
      </c>
      <c r="BJ43" s="31" t="n">
        <v>581.4086905334057</v>
      </c>
      <c r="BK43" s="31" t="n">
        <v>1022.425544158841</v>
      </c>
      <c r="BL43" s="31" t="n">
        <v>1988.217530248302</v>
      </c>
      <c r="BM43" s="31" t="n">
        <v>564.5050284297087</v>
      </c>
      <c r="BN43" s="31" t="n">
        <v>1650.097316586628</v>
      </c>
      <c r="BO43" s="31" t="n">
        <v>859.8855510677627</v>
      </c>
      <c r="BP43" s="31" t="n">
        <v>273.737608901798</v>
      </c>
      <c r="BQ43" s="31" t="n">
        <v>3682.179445266086</v>
      </c>
      <c r="BR43" s="31" t="n">
        <v>0</v>
      </c>
      <c r="BS43" s="31">
        <f>SUM(C43:BR43)</f>
        <v/>
      </c>
      <c r="BT43" s="31" t="n">
        <v>0</v>
      </c>
      <c r="BU43" s="31" t="n">
        <v>0</v>
      </c>
      <c r="BV43" s="31" t="n">
        <v>96036.03486071233</v>
      </c>
      <c r="BW43" s="31" t="n">
        <v>0</v>
      </c>
      <c r="BX43" s="31">
        <f>SUM(BT43:BW43)</f>
        <v/>
      </c>
      <c r="BY43" s="31">
        <f>BS43+BX43</f>
        <v/>
      </c>
    </row>
    <row r="44">
      <c r="A44" s="28" t="inlineStr">
        <is>
          <t>2700</t>
        </is>
      </c>
      <c r="B44" s="28" t="inlineStr">
        <is>
          <t>Fabricação de máquinas e equipamentos elétricos</t>
        </is>
      </c>
      <c r="C44" s="29" t="n">
        <v>147.6861023568863</v>
      </c>
      <c r="D44" s="29" t="n">
        <v>276.1878010596019</v>
      </c>
      <c r="E44" s="29" t="n">
        <v>20.46373160440821</v>
      </c>
      <c r="F44" s="29" t="n">
        <v>82.77204720335223</v>
      </c>
      <c r="G44" s="29" t="n">
        <v>1303.181021388982</v>
      </c>
      <c r="H44" s="29" t="n">
        <v>515.2201569943437</v>
      </c>
      <c r="I44" s="29" t="n">
        <v>79.08428033484546</v>
      </c>
      <c r="J44" s="29" t="n">
        <v>267.6762450105007</v>
      </c>
      <c r="K44" s="29" t="n">
        <v>105.3746312571109</v>
      </c>
      <c r="L44" s="29" t="n">
        <v>333.9200539080064</v>
      </c>
      <c r="M44" s="29" t="n">
        <v>144.1880755239809</v>
      </c>
      <c r="N44" s="29" t="n">
        <v>7.799979955761541</v>
      </c>
      <c r="O44" s="29" t="n">
        <v>121.3952033481895</v>
      </c>
      <c r="P44" s="29" t="n">
        <v>14.30947087292852</v>
      </c>
      <c r="Q44" s="29" t="n">
        <v>22.99407942411521</v>
      </c>
      <c r="R44" s="29" t="n">
        <v>136.6642835540537</v>
      </c>
      <c r="S44" s="29" t="n">
        <v>244.3500424053073</v>
      </c>
      <c r="T44" s="29" t="n">
        <v>49.32280110660192</v>
      </c>
      <c r="U44" s="29" t="n">
        <v>35.44149086265944</v>
      </c>
      <c r="V44" s="29" t="n">
        <v>52.33533841231919</v>
      </c>
      <c r="W44" s="29" t="n">
        <v>490.8053545765512</v>
      </c>
      <c r="X44" s="29" t="n">
        <v>92.01637995500241</v>
      </c>
      <c r="Y44" s="29" t="n">
        <v>75.05941092270021</v>
      </c>
      <c r="Z44" s="29" t="n">
        <v>39.09954223702736</v>
      </c>
      <c r="AA44" s="29" t="n">
        <v>416.4654166987121</v>
      </c>
      <c r="AB44" s="29" t="n">
        <v>521.6122498207473</v>
      </c>
      <c r="AC44" s="29" t="n">
        <v>314.0430719737216</v>
      </c>
      <c r="AD44" s="29" t="n">
        <v>579.9170139001779</v>
      </c>
      <c r="AE44" s="29" t="n">
        <v>617.7431454010218</v>
      </c>
      <c r="AF44" s="29" t="n">
        <v>5648.708391207528</v>
      </c>
      <c r="AG44" s="29" t="n">
        <v>29790.54915150439</v>
      </c>
      <c r="AH44" s="29" t="n">
        <v>10805.96935100824</v>
      </c>
      <c r="AI44" s="29" t="n">
        <v>2599.574710261903</v>
      </c>
      <c r="AJ44" s="29" t="n">
        <v>3584.965732190888</v>
      </c>
      <c r="AK44" s="29" t="n">
        <v>799.5997213016836</v>
      </c>
      <c r="AL44" s="29" t="n">
        <v>898.0241965692605</v>
      </c>
      <c r="AM44" s="29" t="n">
        <v>7133.719102505484</v>
      </c>
      <c r="AN44" s="29" t="n">
        <v>12821.16655942088</v>
      </c>
      <c r="AO44" s="29" t="n">
        <v>755.0827749707933</v>
      </c>
      <c r="AP44" s="29" t="n">
        <v>24451.65507318397</v>
      </c>
      <c r="AQ44" s="29" t="n">
        <v>1177.75325757364</v>
      </c>
      <c r="AR44" s="29" t="n">
        <v>2983.31520711946</v>
      </c>
      <c r="AS44" s="29" t="n">
        <v>3807.390029282291</v>
      </c>
      <c r="AT44" s="29" t="n">
        <v>73.61201726284638</v>
      </c>
      <c r="AU44" s="29" t="n">
        <v>1.762463303527189</v>
      </c>
      <c r="AV44" s="29" t="n">
        <v>306.7142022555344</v>
      </c>
      <c r="AW44" s="29" t="n">
        <v>78.07043216851207</v>
      </c>
      <c r="AX44" s="29" t="n">
        <v>103.7190685213787</v>
      </c>
      <c r="AY44" s="29" t="n">
        <v>10.07307013085912</v>
      </c>
      <c r="AZ44" s="29" t="n">
        <v>167.395981917797</v>
      </c>
      <c r="BA44" s="29" t="n">
        <v>2099.418539364637</v>
      </c>
      <c r="BB44" s="29" t="n">
        <v>170.4696046052115</v>
      </c>
      <c r="BC44" s="29" t="n">
        <v>188.4078344144762</v>
      </c>
      <c r="BD44" s="29" t="n">
        <v>1108.953311717434</v>
      </c>
      <c r="BE44" s="29" t="n">
        <v>1558.843581777734</v>
      </c>
      <c r="BF44" s="29" t="n">
        <v>210.104025555483</v>
      </c>
      <c r="BG44" s="29" t="n">
        <v>158.6711526446973</v>
      </c>
      <c r="BH44" s="29" t="n">
        <v>103.6542350467062</v>
      </c>
      <c r="BI44" s="29" t="n">
        <v>1898.488857460914</v>
      </c>
      <c r="BJ44" s="29" t="n">
        <v>9.265130023492684</v>
      </c>
      <c r="BK44" s="29" t="n">
        <v>265.7972054850017</v>
      </c>
      <c r="BL44" s="29" t="n">
        <v>130.6208626025998</v>
      </c>
      <c r="BM44" s="29" t="n">
        <v>38.63856200624569</v>
      </c>
      <c r="BN44" s="29" t="n">
        <v>81.42845504238102</v>
      </c>
      <c r="BO44" s="29" t="n">
        <v>42.57642519177639</v>
      </c>
      <c r="BP44" s="29" t="n">
        <v>164.215591196392</v>
      </c>
      <c r="BQ44" s="29" t="n">
        <v>2905.966815559016</v>
      </c>
      <c r="BR44" s="29" t="n">
        <v>0</v>
      </c>
      <c r="BS44" s="29">
        <f>SUM(C44:BR44)</f>
        <v/>
      </c>
      <c r="BT44" s="29" t="n">
        <v>0</v>
      </c>
      <c r="BU44" s="29" t="n">
        <v>0</v>
      </c>
      <c r="BV44" s="29" t="n">
        <v>67987.63969218479</v>
      </c>
      <c r="BW44" s="29" t="n">
        <v>0</v>
      </c>
      <c r="BX44" s="29">
        <f>SUM(BT44:BW44)</f>
        <v/>
      </c>
      <c r="BY44" s="29">
        <f>BS44+BX44</f>
        <v/>
      </c>
    </row>
    <row r="45">
      <c r="A45" s="30" t="inlineStr">
        <is>
          <t>2800</t>
        </is>
      </c>
      <c r="B45" s="30" t="inlineStr">
        <is>
          <t>Fabricação de máquinas e equipamentos mecânicos</t>
        </is>
      </c>
      <c r="C45" s="31" t="n">
        <v>112.3321024732084</v>
      </c>
      <c r="D45" s="31" t="n">
        <v>120.8623396939565</v>
      </c>
      <c r="E45" s="31" t="n">
        <v>19.05610193644896</v>
      </c>
      <c r="F45" s="31" t="n">
        <v>343.4335160512002</v>
      </c>
      <c r="G45" s="31" t="n">
        <v>16076.85557521401</v>
      </c>
      <c r="H45" s="31" t="n">
        <v>19720.92030761696</v>
      </c>
      <c r="I45" s="31" t="n">
        <v>2229.587840136322</v>
      </c>
      <c r="J45" s="31" t="n">
        <v>247.8033373229666</v>
      </c>
      <c r="K45" s="31" t="n">
        <v>46.00086243169022</v>
      </c>
      <c r="L45" s="31" t="n">
        <v>260.1134521824492</v>
      </c>
      <c r="M45" s="31" t="n">
        <v>259.8763514863797</v>
      </c>
      <c r="N45" s="31" t="n">
        <v>3.249933232488646</v>
      </c>
      <c r="O45" s="31" t="n">
        <v>67.79625448656874</v>
      </c>
      <c r="P45" s="31" t="n">
        <v>29.54853080168328</v>
      </c>
      <c r="Q45" s="31" t="n">
        <v>28.17958679185312</v>
      </c>
      <c r="R45" s="31" t="n">
        <v>330.6036942945004</v>
      </c>
      <c r="S45" s="31" t="n">
        <v>146.872892780316</v>
      </c>
      <c r="T45" s="31" t="n">
        <v>61.31244846230294</v>
      </c>
      <c r="U45" s="31" t="n">
        <v>60.87921602131642</v>
      </c>
      <c r="V45" s="31" t="n">
        <v>39.63096163792849</v>
      </c>
      <c r="W45" s="31" t="n">
        <v>141.1591181305595</v>
      </c>
      <c r="X45" s="31" t="n">
        <v>100.1126606585574</v>
      </c>
      <c r="Y45" s="31" t="n">
        <v>74.43197759042226</v>
      </c>
      <c r="Z45" s="31" t="n">
        <v>43.63282510082255</v>
      </c>
      <c r="AA45" s="31" t="n">
        <v>371.1468499968393</v>
      </c>
      <c r="AB45" s="31" t="n">
        <v>172.2763173452771</v>
      </c>
      <c r="AC45" s="31" t="n">
        <v>427.5552190227692</v>
      </c>
      <c r="AD45" s="31" t="n">
        <v>243.6907266928518</v>
      </c>
      <c r="AE45" s="31" t="n">
        <v>694.2959370816989</v>
      </c>
      <c r="AF45" s="31" t="n">
        <v>615.8429651799555</v>
      </c>
      <c r="AG45" s="31" t="n">
        <v>2106.009307973893</v>
      </c>
      <c r="AH45" s="31" t="n">
        <v>58647.7270071213</v>
      </c>
      <c r="AI45" s="31" t="n">
        <v>4077.401997605812</v>
      </c>
      <c r="AJ45" s="31" t="n">
        <v>716.4646204409514</v>
      </c>
      <c r="AK45" s="31" t="n">
        <v>928.7804281360557</v>
      </c>
      <c r="AL45" s="31" t="n">
        <v>226.6192887600743</v>
      </c>
      <c r="AM45" s="31" t="n">
        <v>23413.63590408649</v>
      </c>
      <c r="AN45" s="31" t="n">
        <v>543.9527384223499</v>
      </c>
      <c r="AO45" s="31" t="n">
        <v>275.7378397716899</v>
      </c>
      <c r="AP45" s="31" t="n">
        <v>9303.664222860278</v>
      </c>
      <c r="AQ45" s="31" t="n">
        <v>1211.848580567858</v>
      </c>
      <c r="AR45" s="31" t="n">
        <v>1352.28108107561</v>
      </c>
      <c r="AS45" s="31" t="n">
        <v>637.4799756788761</v>
      </c>
      <c r="AT45" s="31" t="n">
        <v>511.0153985729851</v>
      </c>
      <c r="AU45" s="31" t="n">
        <v>14.12371054275549</v>
      </c>
      <c r="AV45" s="31" t="n">
        <v>619.456113708614</v>
      </c>
      <c r="AW45" s="31" t="n">
        <v>25.2496218285819</v>
      </c>
      <c r="AX45" s="31" t="n">
        <v>97.32850176620329</v>
      </c>
      <c r="AY45" s="31" t="n">
        <v>13.36513318498601</v>
      </c>
      <c r="AZ45" s="31" t="n">
        <v>17.80262433992715</v>
      </c>
      <c r="BA45" s="31" t="n">
        <v>164.4913809116504</v>
      </c>
      <c r="BB45" s="31" t="n">
        <v>147.8742006842907</v>
      </c>
      <c r="BC45" s="31" t="n">
        <v>35.40732314892733</v>
      </c>
      <c r="BD45" s="31" t="n">
        <v>59.10815738961449</v>
      </c>
      <c r="BE45" s="31" t="n">
        <v>91.09084140521051</v>
      </c>
      <c r="BF45" s="31" t="n">
        <v>145.137359785591</v>
      </c>
      <c r="BG45" s="31" t="n">
        <v>29.41617208111574</v>
      </c>
      <c r="BH45" s="31" t="n">
        <v>56.77218063524499</v>
      </c>
      <c r="BI45" s="31" t="n">
        <v>3314.921829016941</v>
      </c>
      <c r="BJ45" s="31" t="n">
        <v>13.42495723265851</v>
      </c>
      <c r="BK45" s="31" t="n">
        <v>274.5226769497463</v>
      </c>
      <c r="BL45" s="31" t="n">
        <v>61.49482992966672</v>
      </c>
      <c r="BM45" s="31" t="n">
        <v>10.0053477128017</v>
      </c>
      <c r="BN45" s="31" t="n">
        <v>524.1463538197901</v>
      </c>
      <c r="BO45" s="31" t="n">
        <v>133.0270316924258</v>
      </c>
      <c r="BP45" s="31" t="n">
        <v>29.10019686862398</v>
      </c>
      <c r="BQ45" s="31" t="n">
        <v>161.9571849154554</v>
      </c>
      <c r="BR45" s="31" t="n">
        <v>0</v>
      </c>
      <c r="BS45" s="31">
        <f>SUM(C45:BR45)</f>
        <v/>
      </c>
      <c r="BT45" s="31" t="n">
        <v>0</v>
      </c>
      <c r="BU45" s="31" t="n">
        <v>0</v>
      </c>
      <c r="BV45" s="31" t="n">
        <v>162453.3893166174</v>
      </c>
      <c r="BW45" s="31" t="n">
        <v>0</v>
      </c>
      <c r="BX45" s="31">
        <f>SUM(BT45:BW45)</f>
        <v/>
      </c>
      <c r="BY45" s="31">
        <f>BS45+BX45</f>
        <v/>
      </c>
    </row>
    <row r="46">
      <c r="A46" s="28" t="inlineStr">
        <is>
          <t>2991</t>
        </is>
      </c>
      <c r="B46" s="28" t="inlineStr">
        <is>
          <t>Fabricação de automóveis, caminhões e ônibus, exceto peças</t>
        </is>
      </c>
      <c r="C46" s="29" t="n">
        <v>7.793866389192611</v>
      </c>
      <c r="D46" s="29" t="n">
        <v>6.495568365290642</v>
      </c>
      <c r="E46" s="29" t="n">
        <v>0.678142234855028</v>
      </c>
      <c r="F46" s="29" t="n">
        <v>3.546751890938412</v>
      </c>
      <c r="G46" s="29" t="n">
        <v>140.5724780767374</v>
      </c>
      <c r="H46" s="29" t="n">
        <v>151.2179294724221</v>
      </c>
      <c r="I46" s="29" t="n">
        <v>14.29462274769329</v>
      </c>
      <c r="J46" s="29" t="n">
        <v>15.29214131102282</v>
      </c>
      <c r="K46" s="29" t="n">
        <v>185.5256572132246</v>
      </c>
      <c r="L46" s="29" t="n">
        <v>21.4422324951853</v>
      </c>
      <c r="M46" s="29" t="n">
        <v>12.18416963132422</v>
      </c>
      <c r="N46" s="29" t="n">
        <v>0.8994969108431674</v>
      </c>
      <c r="O46" s="29" t="n">
        <v>17.9125649444308</v>
      </c>
      <c r="P46" s="29" t="n">
        <v>3.349473928327189</v>
      </c>
      <c r="Q46" s="29" t="n">
        <v>4.772261693425387</v>
      </c>
      <c r="R46" s="29" t="n">
        <v>5.992080374663344</v>
      </c>
      <c r="S46" s="29" t="n">
        <v>7.650987024535478</v>
      </c>
      <c r="T46" s="29" t="n">
        <v>1.453691883295903</v>
      </c>
      <c r="U46" s="29" t="n">
        <v>1.228672994341369</v>
      </c>
      <c r="V46" s="29" t="n">
        <v>1.383909473223221</v>
      </c>
      <c r="W46" s="29" t="n">
        <v>14.95442367235664</v>
      </c>
      <c r="X46" s="29" t="n">
        <v>55.96879133922431</v>
      </c>
      <c r="Y46" s="29" t="n">
        <v>5.666645591091536</v>
      </c>
      <c r="Z46" s="29" t="n">
        <v>9.031679428821382</v>
      </c>
      <c r="AA46" s="29" t="n">
        <v>34.2950754479891</v>
      </c>
      <c r="AB46" s="29" t="n">
        <v>16.31203108125263</v>
      </c>
      <c r="AC46" s="29" t="n">
        <v>11.4974108617558</v>
      </c>
      <c r="AD46" s="29" t="n">
        <v>9.934991139957575</v>
      </c>
      <c r="AE46" s="29" t="n">
        <v>26.89658666466256</v>
      </c>
      <c r="AF46" s="29" t="n">
        <v>91.67474742833559</v>
      </c>
      <c r="AG46" s="29" t="n">
        <v>501.682438646663</v>
      </c>
      <c r="AH46" s="29" t="n">
        <v>599.0671714455468</v>
      </c>
      <c r="AI46" s="29" t="n">
        <v>13930.34756258065</v>
      </c>
      <c r="AJ46" s="29" t="n">
        <v>658.0435342361625</v>
      </c>
      <c r="AK46" s="29" t="n">
        <v>745.5486565900731</v>
      </c>
      <c r="AL46" s="29" t="n">
        <v>22.27842952993682</v>
      </c>
      <c r="AM46" s="29" t="n">
        <v>449.5788497791876</v>
      </c>
      <c r="AN46" s="29" t="n">
        <v>234.615507651389</v>
      </c>
      <c r="AO46" s="29" t="n">
        <v>21.54273426914891</v>
      </c>
      <c r="AP46" s="29" t="n">
        <v>536.777305573288</v>
      </c>
      <c r="AQ46" s="29" t="n">
        <v>1479.898975459297</v>
      </c>
      <c r="AR46" s="29" t="n">
        <v>122.3398290628069</v>
      </c>
      <c r="AS46" s="29" t="n">
        <v>1906.936689210038</v>
      </c>
      <c r="AT46" s="29" t="n">
        <v>5.32454000702014</v>
      </c>
      <c r="AU46" s="29" t="n">
        <v>0.09135426754971071</v>
      </c>
      <c r="AV46" s="29" t="n">
        <v>13.96340402121531</v>
      </c>
      <c r="AW46" s="29" t="n">
        <v>3.158555813641103</v>
      </c>
      <c r="AX46" s="29" t="n">
        <v>7.219758186382494</v>
      </c>
      <c r="AY46" s="29" t="n">
        <v>0.3478534801087005</v>
      </c>
      <c r="AZ46" s="29" t="n">
        <v>3.40987255707848</v>
      </c>
      <c r="BA46" s="29" t="n">
        <v>41.17336950318527</v>
      </c>
      <c r="BB46" s="29" t="n">
        <v>8.134011620799948</v>
      </c>
      <c r="BC46" s="29" t="n">
        <v>6.630726990727213</v>
      </c>
      <c r="BD46" s="29" t="n">
        <v>21.4366421884412</v>
      </c>
      <c r="BE46" s="29" t="n">
        <v>31.6107977809238</v>
      </c>
      <c r="BF46" s="29" t="n">
        <v>57.38005007828704</v>
      </c>
      <c r="BG46" s="29" t="n">
        <v>3.86263857654912</v>
      </c>
      <c r="BH46" s="29" t="n">
        <v>18.16939225980105</v>
      </c>
      <c r="BI46" s="29" t="n">
        <v>62.46587320881699</v>
      </c>
      <c r="BJ46" s="29" t="n">
        <v>1.242016070673191</v>
      </c>
      <c r="BK46" s="29" t="n">
        <v>104.2343403076091</v>
      </c>
      <c r="BL46" s="29" t="n">
        <v>13.9530564249659</v>
      </c>
      <c r="BM46" s="29" t="n">
        <v>3.761170372977102</v>
      </c>
      <c r="BN46" s="29" t="n">
        <v>20.46346747187965</v>
      </c>
      <c r="BO46" s="29" t="n">
        <v>5.932966447127182</v>
      </c>
      <c r="BP46" s="29" t="n">
        <v>5.392434077423339</v>
      </c>
      <c r="BQ46" s="29" t="n">
        <v>36.50464116219695</v>
      </c>
      <c r="BR46" s="29" t="n">
        <v>0</v>
      </c>
      <c r="BS46" s="29">
        <f>SUM(C46:BR46)</f>
        <v/>
      </c>
      <c r="BT46" s="29" t="n">
        <v>0</v>
      </c>
      <c r="BU46" s="29" t="n">
        <v>0</v>
      </c>
      <c r="BV46" s="29" t="n">
        <v>226999.8810185631</v>
      </c>
      <c r="BW46" s="29" t="n">
        <v>0</v>
      </c>
      <c r="BX46" s="29">
        <f>SUM(BT46:BW46)</f>
        <v/>
      </c>
      <c r="BY46" s="29">
        <f>BS46+BX46</f>
        <v/>
      </c>
    </row>
    <row r="47">
      <c r="A47" s="30" t="inlineStr">
        <is>
          <t>2992</t>
        </is>
      </c>
      <c r="B47" s="30" t="inlineStr">
        <is>
          <t>Fabricação de peças e acessórios para veículos automotores</t>
        </is>
      </c>
      <c r="C47" s="31" t="n">
        <v>54.36069944595333</v>
      </c>
      <c r="D47" s="31" t="n">
        <v>36.646874804837</v>
      </c>
      <c r="E47" s="31" t="n">
        <v>2.516350991723897</v>
      </c>
      <c r="F47" s="31" t="n">
        <v>23.33449571193871</v>
      </c>
      <c r="G47" s="31" t="n">
        <v>452.6864134082009</v>
      </c>
      <c r="H47" s="31" t="n">
        <v>465.9500692379853</v>
      </c>
      <c r="I47" s="31" t="n">
        <v>54.26070405248765</v>
      </c>
      <c r="J47" s="31" t="n">
        <v>103.3209302441976</v>
      </c>
      <c r="K47" s="31" t="n">
        <v>12.04296602424921</v>
      </c>
      <c r="L47" s="31" t="n">
        <v>153.7249424815527</v>
      </c>
      <c r="M47" s="31" t="n">
        <v>125.8810796099568</v>
      </c>
      <c r="N47" s="31" t="n">
        <v>1.246548206237254</v>
      </c>
      <c r="O47" s="31" t="n">
        <v>23.8168514555113</v>
      </c>
      <c r="P47" s="31" t="n">
        <v>7.000025867214557</v>
      </c>
      <c r="Q47" s="31" t="n">
        <v>15.40045443734349</v>
      </c>
      <c r="R47" s="31" t="n">
        <v>30.8216382317246</v>
      </c>
      <c r="S47" s="31" t="n">
        <v>27.91816837189167</v>
      </c>
      <c r="T47" s="31" t="n">
        <v>23.7093902057765</v>
      </c>
      <c r="U47" s="31" t="n">
        <v>28.84924505013113</v>
      </c>
      <c r="V47" s="31" t="n">
        <v>7.204403138292093</v>
      </c>
      <c r="W47" s="31" t="n">
        <v>51.32838206028678</v>
      </c>
      <c r="X47" s="31" t="n">
        <v>51.3962617648447</v>
      </c>
      <c r="Y47" s="31" t="n">
        <v>41.33913063519473</v>
      </c>
      <c r="Z47" s="31" t="n">
        <v>19.6677891000998</v>
      </c>
      <c r="AA47" s="31" t="n">
        <v>163.8502923558556</v>
      </c>
      <c r="AB47" s="31" t="n">
        <v>83.56447697957574</v>
      </c>
      <c r="AC47" s="31" t="n">
        <v>109.2420353127185</v>
      </c>
      <c r="AD47" s="31" t="n">
        <v>95.07273303427856</v>
      </c>
      <c r="AE47" s="31" t="n">
        <v>294.9839942839212</v>
      </c>
      <c r="AF47" s="31" t="n">
        <v>431.5336090912116</v>
      </c>
      <c r="AG47" s="31" t="n">
        <v>393.8519568209247</v>
      </c>
      <c r="AH47" s="31" t="n">
        <v>1505.952210718188</v>
      </c>
      <c r="AI47" s="31" t="n">
        <v>103101.6980322101</v>
      </c>
      <c r="AJ47" s="31" t="n">
        <v>29107.76085270968</v>
      </c>
      <c r="AK47" s="31" t="n">
        <v>399.8401209975528</v>
      </c>
      <c r="AL47" s="31" t="n">
        <v>82.53968764440367</v>
      </c>
      <c r="AM47" s="31" t="n">
        <v>722.5636305521728</v>
      </c>
      <c r="AN47" s="31" t="n">
        <v>136.6717977342708</v>
      </c>
      <c r="AO47" s="31" t="n">
        <v>36.38093469677399</v>
      </c>
      <c r="AP47" s="31" t="n">
        <v>1112.944049566333</v>
      </c>
      <c r="AQ47" s="31" t="n">
        <v>45128.10887242408</v>
      </c>
      <c r="AR47" s="31" t="n">
        <v>395.3811480973779</v>
      </c>
      <c r="AS47" s="31" t="n">
        <v>30964.21815509575</v>
      </c>
      <c r="AT47" s="31" t="n">
        <v>12.60800972525205</v>
      </c>
      <c r="AU47" s="31" t="n">
        <v>5.509089841382949</v>
      </c>
      <c r="AV47" s="31" t="n">
        <v>47.32715804413235</v>
      </c>
      <c r="AW47" s="31" t="n">
        <v>11.67354946727471</v>
      </c>
      <c r="AX47" s="31" t="n">
        <v>63.99150050484607</v>
      </c>
      <c r="AY47" s="31" t="n">
        <v>1.323967377677942</v>
      </c>
      <c r="AZ47" s="31" t="n">
        <v>5.690264654520018</v>
      </c>
      <c r="BA47" s="31" t="n">
        <v>29.01109867078811</v>
      </c>
      <c r="BB47" s="31" t="n">
        <v>40.21172805374593</v>
      </c>
      <c r="BC47" s="31" t="n">
        <v>27.43285803499024</v>
      </c>
      <c r="BD47" s="31" t="n">
        <v>32.2855518692968</v>
      </c>
      <c r="BE47" s="31" t="n">
        <v>43.05774467672747</v>
      </c>
      <c r="BF47" s="31" t="n">
        <v>130.9980791193687</v>
      </c>
      <c r="BG47" s="31" t="n">
        <v>10.55560683680114</v>
      </c>
      <c r="BH47" s="31" t="n">
        <v>550.9278074832092</v>
      </c>
      <c r="BI47" s="31" t="n">
        <v>118.6574111324267</v>
      </c>
      <c r="BJ47" s="31" t="n">
        <v>4.836785589390751</v>
      </c>
      <c r="BK47" s="31" t="n">
        <v>2075.065144364325</v>
      </c>
      <c r="BL47" s="31" t="n">
        <v>536.4962881682176</v>
      </c>
      <c r="BM47" s="31" t="n">
        <v>28.01496455788028</v>
      </c>
      <c r="BN47" s="31" t="n">
        <v>537.3719150465178</v>
      </c>
      <c r="BO47" s="31" t="n">
        <v>27.34823598683645</v>
      </c>
      <c r="BP47" s="31" t="n">
        <v>22.04208965906143</v>
      </c>
      <c r="BQ47" s="31" t="n">
        <v>46.49467791999229</v>
      </c>
      <c r="BR47" s="31" t="n">
        <v>0</v>
      </c>
      <c r="BS47" s="31">
        <f>SUM(C47:BR47)</f>
        <v/>
      </c>
      <c r="BT47" s="31" t="n">
        <v>0</v>
      </c>
      <c r="BU47" s="31" t="n">
        <v>0</v>
      </c>
      <c r="BV47" s="31" t="n">
        <v>19831.07084810379</v>
      </c>
      <c r="BW47" s="31" t="n">
        <v>0</v>
      </c>
      <c r="BX47" s="31">
        <f>SUM(BT47:BW47)</f>
        <v/>
      </c>
      <c r="BY47" s="31">
        <f>BS47+BX47</f>
        <v/>
      </c>
    </row>
    <row r="48">
      <c r="A48" s="28" t="inlineStr">
        <is>
          <t>3000</t>
        </is>
      </c>
      <c r="B48" s="28" t="inlineStr">
        <is>
          <t>Fabricação de outros equipamentos de transporte, exceto veículos automotores</t>
        </is>
      </c>
      <c r="C48" s="29" t="n">
        <v>3.780083191619436</v>
      </c>
      <c r="D48" s="29" t="n">
        <v>2.890856205740588</v>
      </c>
      <c r="E48" s="29" t="n">
        <v>1.410829810101788</v>
      </c>
      <c r="F48" s="29" t="n">
        <v>10.41745477466213</v>
      </c>
      <c r="G48" s="29" t="n">
        <v>118.2609743389493</v>
      </c>
      <c r="H48" s="29" t="n">
        <v>134.3834260389734</v>
      </c>
      <c r="I48" s="29" t="n">
        <v>17.60657185755594</v>
      </c>
      <c r="J48" s="29" t="n">
        <v>28.8657985880462</v>
      </c>
      <c r="K48" s="29" t="n">
        <v>10.07153172909124</v>
      </c>
      <c r="L48" s="29" t="n">
        <v>25.33305040975109</v>
      </c>
      <c r="M48" s="29" t="n">
        <v>20.95034269351234</v>
      </c>
      <c r="N48" s="29" t="n">
        <v>0.7492765007545762</v>
      </c>
      <c r="O48" s="29" t="n">
        <v>3.250015405007852</v>
      </c>
      <c r="P48" s="29" t="n">
        <v>22.30579426116584</v>
      </c>
      <c r="Q48" s="29" t="n">
        <v>5.295504767840749</v>
      </c>
      <c r="R48" s="29" t="n">
        <v>12.88449347710367</v>
      </c>
      <c r="S48" s="29" t="n">
        <v>34.70331706253053</v>
      </c>
      <c r="T48" s="29" t="n">
        <v>10.91354512438916</v>
      </c>
      <c r="U48" s="29" t="n">
        <v>12.58478432465031</v>
      </c>
      <c r="V48" s="29" t="n">
        <v>9.885892747836301</v>
      </c>
      <c r="W48" s="29" t="n">
        <v>27.66327384617225</v>
      </c>
      <c r="X48" s="29" t="n">
        <v>11.75423097207718</v>
      </c>
      <c r="Y48" s="29" t="n">
        <v>7.736714989467907</v>
      </c>
      <c r="Z48" s="29" t="n">
        <v>12.66632873986656</v>
      </c>
      <c r="AA48" s="29" t="n">
        <v>25.54628432572522</v>
      </c>
      <c r="AB48" s="29" t="n">
        <v>29.39018217952949</v>
      </c>
      <c r="AC48" s="29" t="n">
        <v>89.81895886557697</v>
      </c>
      <c r="AD48" s="29" t="n">
        <v>24.51913358257066</v>
      </c>
      <c r="AE48" s="29" t="n">
        <v>43.1574499260951</v>
      </c>
      <c r="AF48" s="29" t="n">
        <v>8.225894820862488</v>
      </c>
      <c r="AG48" s="29" t="n">
        <v>47.04451514578544</v>
      </c>
      <c r="AH48" s="29" t="n">
        <v>305.3813859980003</v>
      </c>
      <c r="AI48" s="29" t="n">
        <v>145.2876153668986</v>
      </c>
      <c r="AJ48" s="29" t="n">
        <v>53.81573359568702</v>
      </c>
      <c r="AK48" s="29" t="n">
        <v>21466.65056643949</v>
      </c>
      <c r="AL48" s="29" t="n">
        <v>28.42505627193682</v>
      </c>
      <c r="AM48" s="29" t="n">
        <v>5008.721670717818</v>
      </c>
      <c r="AN48" s="29" t="n">
        <v>26.11720189516966</v>
      </c>
      <c r="AO48" s="29" t="n">
        <v>16.032401537822</v>
      </c>
      <c r="AP48" s="29" t="n">
        <v>141.667872740807</v>
      </c>
      <c r="AQ48" s="29" t="n">
        <v>358.2723515151853</v>
      </c>
      <c r="AR48" s="29" t="n">
        <v>91.34224332742917</v>
      </c>
      <c r="AS48" s="29" t="n">
        <v>1946.344091354784</v>
      </c>
      <c r="AT48" s="29" t="n">
        <v>11.11435965438335</v>
      </c>
      <c r="AU48" s="29" t="n">
        <v>1.631550301206345</v>
      </c>
      <c r="AV48" s="29" t="n">
        <v>36.42108931648561</v>
      </c>
      <c r="AW48" s="29" t="n">
        <v>1.01333709992426</v>
      </c>
      <c r="AX48" s="29" t="n">
        <v>9.422033587581717</v>
      </c>
      <c r="AY48" s="29" t="n">
        <v>3.695417594124805</v>
      </c>
      <c r="AZ48" s="29" t="n">
        <v>1.991746358103642</v>
      </c>
      <c r="BA48" s="29" t="n">
        <v>7.281876172247417</v>
      </c>
      <c r="BB48" s="29" t="n">
        <v>21.62501616813361</v>
      </c>
      <c r="BC48" s="29" t="n">
        <v>7.310174480683219</v>
      </c>
      <c r="BD48" s="29" t="n">
        <v>5.174716685795792</v>
      </c>
      <c r="BE48" s="29" t="n">
        <v>14.70559728473421</v>
      </c>
      <c r="BF48" s="29" t="n">
        <v>24.01844552746882</v>
      </c>
      <c r="BG48" s="29" t="n">
        <v>7.636977085691601</v>
      </c>
      <c r="BH48" s="29" t="n">
        <v>18.59561495895136</v>
      </c>
      <c r="BI48" s="29" t="n">
        <v>33.01787878458477</v>
      </c>
      <c r="BJ48" s="29" t="n">
        <v>2.815739205751964</v>
      </c>
      <c r="BK48" s="29" t="n">
        <v>379.4765807220681</v>
      </c>
      <c r="BL48" s="29" t="n">
        <v>13.97729718446131</v>
      </c>
      <c r="BM48" s="29" t="n">
        <v>2.70383915411746</v>
      </c>
      <c r="BN48" s="29" t="n">
        <v>59.62498691011106</v>
      </c>
      <c r="BO48" s="29" t="n">
        <v>153.7687276548225</v>
      </c>
      <c r="BP48" s="29" t="n">
        <v>7.629898604161364</v>
      </c>
      <c r="BQ48" s="29" t="n">
        <v>215.5934734570006</v>
      </c>
      <c r="BR48" s="29" t="n">
        <v>0</v>
      </c>
      <c r="BS48" s="29">
        <f>SUM(C48:BR48)</f>
        <v/>
      </c>
      <c r="BT48" s="29" t="n">
        <v>0</v>
      </c>
      <c r="BU48" s="29" t="n">
        <v>0</v>
      </c>
      <c r="BV48" s="29" t="n">
        <v>40801.27992834821</v>
      </c>
      <c r="BW48" s="29" t="n">
        <v>0</v>
      </c>
      <c r="BX48" s="29">
        <f>SUM(BT48:BW48)</f>
        <v/>
      </c>
      <c r="BY48" s="29">
        <f>BS48+BX48</f>
        <v/>
      </c>
    </row>
    <row r="49">
      <c r="A49" s="30" t="inlineStr">
        <is>
          <t>3180</t>
        </is>
      </c>
      <c r="B49" s="30" t="inlineStr">
        <is>
          <t>Fabricação de móveis e de produtos de indústrias diversas</t>
        </is>
      </c>
      <c r="C49" s="31" t="n">
        <v>103.4601043633202</v>
      </c>
      <c r="D49" s="31" t="n">
        <v>85.11565327171832</v>
      </c>
      <c r="E49" s="31" t="n">
        <v>25.80733890081322</v>
      </c>
      <c r="F49" s="31" t="n">
        <v>15.7652314873173</v>
      </c>
      <c r="G49" s="31" t="n">
        <v>319.4480618943262</v>
      </c>
      <c r="H49" s="31" t="n">
        <v>289.6416406967702</v>
      </c>
      <c r="I49" s="31" t="n">
        <v>29.78575025305337</v>
      </c>
      <c r="J49" s="31" t="n">
        <v>152.8042271116365</v>
      </c>
      <c r="K49" s="31" t="n">
        <v>33.47030070805041</v>
      </c>
      <c r="L49" s="31" t="n">
        <v>252.9103366467328</v>
      </c>
      <c r="M49" s="31" t="n">
        <v>154.9716020449171</v>
      </c>
      <c r="N49" s="31" t="n">
        <v>2.552022589001721</v>
      </c>
      <c r="O49" s="31" t="n">
        <v>206.0887519692212</v>
      </c>
      <c r="P49" s="31" t="n">
        <v>2959.312129595539</v>
      </c>
      <c r="Q49" s="31" t="n">
        <v>479.4401426237368</v>
      </c>
      <c r="R49" s="31" t="n">
        <v>99.66273441372797</v>
      </c>
      <c r="S49" s="31" t="n">
        <v>77.41236122710116</v>
      </c>
      <c r="T49" s="31" t="n">
        <v>41.13672182794099</v>
      </c>
      <c r="U49" s="31" t="n">
        <v>47.46009472777398</v>
      </c>
      <c r="V49" s="31" t="n">
        <v>11.4934178695415</v>
      </c>
      <c r="W49" s="31" t="n">
        <v>446.896256966043</v>
      </c>
      <c r="X49" s="31" t="n">
        <v>192.0689583649738</v>
      </c>
      <c r="Y49" s="31" t="n">
        <v>69.09166988832447</v>
      </c>
      <c r="Z49" s="31" t="n">
        <v>222.4543882783637</v>
      </c>
      <c r="AA49" s="31" t="n">
        <v>445.6253608783206</v>
      </c>
      <c r="AB49" s="31" t="n">
        <v>413.1867834305795</v>
      </c>
      <c r="AC49" s="31" t="n">
        <v>78.92384090713492</v>
      </c>
      <c r="AD49" s="31" t="n">
        <v>46.84437884738068</v>
      </c>
      <c r="AE49" s="31" t="n">
        <v>208.7857304508753</v>
      </c>
      <c r="AF49" s="31" t="n">
        <v>338.6915951578892</v>
      </c>
      <c r="AG49" s="31" t="n">
        <v>187.1126907266342</v>
      </c>
      <c r="AH49" s="31" t="n">
        <v>1669.546477903066</v>
      </c>
      <c r="AI49" s="31" t="n">
        <v>707.4548919375986</v>
      </c>
      <c r="AJ49" s="31" t="n">
        <v>1161.049893052466</v>
      </c>
      <c r="AK49" s="31" t="n">
        <v>146.4708601189921</v>
      </c>
      <c r="AL49" s="31" t="n">
        <v>6688.378102500853</v>
      </c>
      <c r="AM49" s="31" t="n">
        <v>494.7346434090533</v>
      </c>
      <c r="AN49" s="31" t="n">
        <v>142.080876226688</v>
      </c>
      <c r="AO49" s="31" t="n">
        <v>121.5993748555929</v>
      </c>
      <c r="AP49" s="31" t="n">
        <v>2264.658573130178</v>
      </c>
      <c r="AQ49" s="31" t="n">
        <v>129.0298277944523</v>
      </c>
      <c r="AR49" s="31" t="n">
        <v>1359.130678134892</v>
      </c>
      <c r="AS49" s="31" t="n">
        <v>291.4905086888998</v>
      </c>
      <c r="AT49" s="31" t="n">
        <v>292.0867396441252</v>
      </c>
      <c r="AU49" s="31" t="n">
        <v>3.64405930268701</v>
      </c>
      <c r="AV49" s="31" t="n">
        <v>494.883477223603</v>
      </c>
      <c r="AW49" s="31" t="n">
        <v>25.03874902046135</v>
      </c>
      <c r="AX49" s="31" t="n">
        <v>70.88206091640797</v>
      </c>
      <c r="AY49" s="31" t="n">
        <v>5.379815682282637</v>
      </c>
      <c r="AZ49" s="31" t="n">
        <v>96.4276344261902</v>
      </c>
      <c r="BA49" s="31" t="n">
        <v>11.58627358246613</v>
      </c>
      <c r="BB49" s="31" t="n">
        <v>272.897552702472</v>
      </c>
      <c r="BC49" s="31" t="n">
        <v>377.8814481445102</v>
      </c>
      <c r="BD49" s="31" t="n">
        <v>333.7460274244776</v>
      </c>
      <c r="BE49" s="31" t="n">
        <v>599.7016450852542</v>
      </c>
      <c r="BF49" s="31" t="n">
        <v>987.6864609918161</v>
      </c>
      <c r="BG49" s="31" t="n">
        <v>922.8976420490668</v>
      </c>
      <c r="BH49" s="31" t="n">
        <v>1263.777312596445</v>
      </c>
      <c r="BI49" s="31" t="n">
        <v>436.7477345815124</v>
      </c>
      <c r="BJ49" s="31" t="n">
        <v>45.64502950247235</v>
      </c>
      <c r="BK49" s="31" t="n">
        <v>1753.209943218809</v>
      </c>
      <c r="BL49" s="31" t="n">
        <v>2188.461650525182</v>
      </c>
      <c r="BM49" s="31" t="n">
        <v>84.37756068088743</v>
      </c>
      <c r="BN49" s="31" t="n">
        <v>9394.340907610576</v>
      </c>
      <c r="BO49" s="31" t="n">
        <v>30458.02440041741</v>
      </c>
      <c r="BP49" s="31" t="n">
        <v>325.2954054632794</v>
      </c>
      <c r="BQ49" s="31" t="n">
        <v>295.6933462048258</v>
      </c>
      <c r="BR49" s="31" t="n">
        <v>0</v>
      </c>
      <c r="BS49" s="31">
        <f>SUM(C49:BR49)</f>
        <v/>
      </c>
      <c r="BT49" s="31" t="n">
        <v>0</v>
      </c>
      <c r="BU49" s="31" t="n">
        <v>0</v>
      </c>
      <c r="BV49" s="31" t="n">
        <v>82156.4425508643</v>
      </c>
      <c r="BW49" s="31" t="n">
        <v>0</v>
      </c>
      <c r="BX49" s="31">
        <f>SUM(BT49:BW49)</f>
        <v/>
      </c>
      <c r="BY49" s="31">
        <f>BS49+BX49</f>
        <v/>
      </c>
    </row>
    <row r="50">
      <c r="A50" s="28" t="inlineStr">
        <is>
          <t>3300</t>
        </is>
      </c>
      <c r="B50" s="28" t="inlineStr">
        <is>
          <t>Manutenção, reparação e instalação de máquinas e equipamentos</t>
        </is>
      </c>
      <c r="C50" s="29" t="n">
        <v>200.8057467736412</v>
      </c>
      <c r="D50" s="29" t="n">
        <v>77.14280193313702</v>
      </c>
      <c r="E50" s="29" t="n">
        <v>156.5546117035897</v>
      </c>
      <c r="F50" s="29" t="n">
        <v>1301.564166545055</v>
      </c>
      <c r="G50" s="29" t="n">
        <v>4331.008440632459</v>
      </c>
      <c r="H50" s="29" t="n">
        <v>3766.835923805533</v>
      </c>
      <c r="I50" s="29" t="n">
        <v>900.2156354953967</v>
      </c>
      <c r="J50" s="29" t="n">
        <v>1833.278403397706</v>
      </c>
      <c r="K50" s="29" t="n">
        <v>1323.57792436995</v>
      </c>
      <c r="L50" s="29" t="n">
        <v>984.4797990228832</v>
      </c>
      <c r="M50" s="29" t="n">
        <v>640.9015839326319</v>
      </c>
      <c r="N50" s="29" t="n">
        <v>21.05388156624997</v>
      </c>
      <c r="O50" s="29" t="n">
        <v>212.1272101899118</v>
      </c>
      <c r="P50" s="29" t="n">
        <v>326.9867654526523</v>
      </c>
      <c r="Q50" s="29" t="n">
        <v>189.9122632719081</v>
      </c>
      <c r="R50" s="29" t="n">
        <v>1289.481214932505</v>
      </c>
      <c r="S50" s="29" t="n">
        <v>4859.796093716907</v>
      </c>
      <c r="T50" s="29" t="n">
        <v>1541.143927411226</v>
      </c>
      <c r="U50" s="29" t="n">
        <v>1673.691544088645</v>
      </c>
      <c r="V50" s="29" t="n">
        <v>1400.003980935387</v>
      </c>
      <c r="W50" s="29" t="n">
        <v>2922.153395970434</v>
      </c>
      <c r="X50" s="29" t="n">
        <v>1011.672153817022</v>
      </c>
      <c r="Y50" s="29" t="n">
        <v>287.5724486459079</v>
      </c>
      <c r="Z50" s="29" t="n">
        <v>904.0142532654817</v>
      </c>
      <c r="AA50" s="29" t="n">
        <v>854.9386061818769</v>
      </c>
      <c r="AB50" s="29" t="n">
        <v>3546.802056168948</v>
      </c>
      <c r="AC50" s="29" t="n">
        <v>12096.36050378834</v>
      </c>
      <c r="AD50" s="29" t="n">
        <v>3175.630301770216</v>
      </c>
      <c r="AE50" s="29" t="n">
        <v>1098.023432783832</v>
      </c>
      <c r="AF50" s="29" t="n">
        <v>266.997140917178</v>
      </c>
      <c r="AG50" s="29" t="n">
        <v>892.027998748108</v>
      </c>
      <c r="AH50" s="29" t="n">
        <v>3069.732221163211</v>
      </c>
      <c r="AI50" s="29" t="n">
        <v>295.7900945211092</v>
      </c>
      <c r="AJ50" s="29" t="n">
        <v>900.8979284000844</v>
      </c>
      <c r="AK50" s="29" t="n">
        <v>263.0593161774916</v>
      </c>
      <c r="AL50" s="29" t="n">
        <v>1083.189822694302</v>
      </c>
      <c r="AM50" s="29" t="n">
        <v>1411.819621061208</v>
      </c>
      <c r="AN50" s="29" t="n">
        <v>2157.603572434848</v>
      </c>
      <c r="AO50" s="29" t="n">
        <v>1786.424679931506</v>
      </c>
      <c r="AP50" s="29" t="n">
        <v>2865.842434705598</v>
      </c>
      <c r="AQ50" s="29" t="n">
        <v>951.1283306098263</v>
      </c>
      <c r="AR50" s="29" t="n">
        <v>7013.037594771838</v>
      </c>
      <c r="AS50" s="29" t="n">
        <v>797.060106075365</v>
      </c>
      <c r="AT50" s="29" t="n">
        <v>1104.240547697503</v>
      </c>
      <c r="AU50" s="29" t="n">
        <v>242.85662276053</v>
      </c>
      <c r="AV50" s="29" t="n">
        <v>4614.978864881053</v>
      </c>
      <c r="AW50" s="29" t="n">
        <v>10.99389499415985</v>
      </c>
      <c r="AX50" s="29" t="n">
        <v>426.0445369060182</v>
      </c>
      <c r="AY50" s="29" t="n">
        <v>539.4083511179998</v>
      </c>
      <c r="AZ50" s="29" t="n">
        <v>185.7379614809457</v>
      </c>
      <c r="BA50" s="29" t="n">
        <v>544.2991896973733</v>
      </c>
      <c r="BB50" s="29" t="n">
        <v>2428.973832358015</v>
      </c>
      <c r="BC50" s="29" t="n">
        <v>498.2829024474817</v>
      </c>
      <c r="BD50" s="29" t="n">
        <v>239.4979225393209</v>
      </c>
      <c r="BE50" s="29" t="n">
        <v>1288.318772409394</v>
      </c>
      <c r="BF50" s="29" t="n">
        <v>331.3782774985509</v>
      </c>
      <c r="BG50" s="29" t="n">
        <v>373.0284319382116</v>
      </c>
      <c r="BH50" s="29" t="n">
        <v>1629.169147994232</v>
      </c>
      <c r="BI50" s="29" t="n">
        <v>1742.786110892364</v>
      </c>
      <c r="BJ50" s="29" t="n">
        <v>338.5016243466009</v>
      </c>
      <c r="BK50" s="29" t="n">
        <v>1553.025854629767</v>
      </c>
      <c r="BL50" s="29" t="n">
        <v>184.9228367085292</v>
      </c>
      <c r="BM50" s="29" t="n">
        <v>1.716029145910936</v>
      </c>
      <c r="BN50" s="29" t="n">
        <v>1775.773137035868</v>
      </c>
      <c r="BO50" s="29" t="n">
        <v>1065.630352875065</v>
      </c>
      <c r="BP50" s="29" t="n">
        <v>677.1862016792057</v>
      </c>
      <c r="BQ50" s="29" t="n">
        <v>934.9598755505227</v>
      </c>
      <c r="BR50" s="29" t="n">
        <v>0</v>
      </c>
      <c r="BS50" s="29">
        <f>SUM(C50:BR50)</f>
        <v/>
      </c>
      <c r="BT50" s="29" t="n">
        <v>0</v>
      </c>
      <c r="BU50" s="29" t="n">
        <v>0</v>
      </c>
      <c r="BV50" s="29" t="n">
        <v>20539.02802354624</v>
      </c>
      <c r="BW50" s="29" t="n">
        <v>0</v>
      </c>
      <c r="BX50" s="29">
        <f>SUM(BT50:BW50)</f>
        <v/>
      </c>
      <c r="BY50" s="29">
        <f>BS50+BX50</f>
        <v/>
      </c>
    </row>
    <row r="51">
      <c r="A51" s="30" t="inlineStr">
        <is>
          <t>3500</t>
        </is>
      </c>
      <c r="B51" s="30" t="inlineStr">
        <is>
          <t>Energia elétrica, gás natural e outras utilidades</t>
        </is>
      </c>
      <c r="C51" s="31" t="n">
        <v>12404.7590350525</v>
      </c>
      <c r="D51" s="31" t="n">
        <v>7788.267576225278</v>
      </c>
      <c r="E51" s="31" t="n">
        <v>734.3921894140015</v>
      </c>
      <c r="F51" s="31" t="n">
        <v>1126.139749548836</v>
      </c>
      <c r="G51" s="31" t="n">
        <v>484.8915692572074</v>
      </c>
      <c r="H51" s="31" t="n">
        <v>2828.019659014132</v>
      </c>
      <c r="I51" s="31" t="n">
        <v>511.050764873164</v>
      </c>
      <c r="J51" s="31" t="n">
        <v>2636.809467912047</v>
      </c>
      <c r="K51" s="31" t="n">
        <v>138.3824993771329</v>
      </c>
      <c r="L51" s="31" t="n">
        <v>4835.23741454362</v>
      </c>
      <c r="M51" s="31" t="n">
        <v>1020.075153077918</v>
      </c>
      <c r="N51" s="31" t="n">
        <v>93.8848718644591</v>
      </c>
      <c r="O51" s="31" t="n">
        <v>2097.578861399172</v>
      </c>
      <c r="P51" s="31" t="n">
        <v>294.331284778915</v>
      </c>
      <c r="Q51" s="31" t="n">
        <v>321.0461105821022</v>
      </c>
      <c r="R51" s="31" t="n">
        <v>1869.300192996415</v>
      </c>
      <c r="S51" s="31" t="n">
        <v>3782.851700054963</v>
      </c>
      <c r="T51" s="31" t="n">
        <v>166.0542282929956</v>
      </c>
      <c r="U51" s="31" t="n">
        <v>80.33769704686451</v>
      </c>
      <c r="V51" s="31" t="n">
        <v>730.3319217746747</v>
      </c>
      <c r="W51" s="31" t="n">
        <v>9175.760592016735</v>
      </c>
      <c r="X51" s="31" t="n">
        <v>1095.55881034126</v>
      </c>
      <c r="Y51" s="31" t="n">
        <v>293.1965404469387</v>
      </c>
      <c r="Z51" s="31" t="n">
        <v>448.616420512284</v>
      </c>
      <c r="AA51" s="31" t="n">
        <v>3523.185462278965</v>
      </c>
      <c r="AB51" s="31" t="n">
        <v>5818.618301508274</v>
      </c>
      <c r="AC51" s="31" t="n">
        <v>4549.680257483468</v>
      </c>
      <c r="AD51" s="31" t="n">
        <v>4516.613990105522</v>
      </c>
      <c r="AE51" s="31" t="n">
        <v>1864.255620228694</v>
      </c>
      <c r="AF51" s="31" t="n">
        <v>229.4086836316633</v>
      </c>
      <c r="AG51" s="31" t="n">
        <v>854.5439672999231</v>
      </c>
      <c r="AH51" s="31" t="n">
        <v>1060.652414538276</v>
      </c>
      <c r="AI51" s="31" t="n">
        <v>720.2714207971426</v>
      </c>
      <c r="AJ51" s="31" t="n">
        <v>1633.52634203146</v>
      </c>
      <c r="AK51" s="31" t="n">
        <v>259.6958404854169</v>
      </c>
      <c r="AL51" s="31" t="n">
        <v>576.0953060254096</v>
      </c>
      <c r="AM51" s="31" t="n">
        <v>329.0306375589885</v>
      </c>
      <c r="AN51" s="31" t="n">
        <v>195002.5868907651</v>
      </c>
      <c r="AO51" s="31" t="n">
        <v>5975.642116526565</v>
      </c>
      <c r="AP51" s="31" t="n">
        <v>940.281406561671</v>
      </c>
      <c r="AQ51" s="31" t="n">
        <v>2697.822953261621</v>
      </c>
      <c r="AR51" s="31" t="n">
        <v>36192.22623896303</v>
      </c>
      <c r="AS51" s="31" t="n">
        <v>2607.511286277421</v>
      </c>
      <c r="AT51" s="31" t="n">
        <v>104.8295060772678</v>
      </c>
      <c r="AU51" s="31" t="n">
        <v>55.53060007527468</v>
      </c>
      <c r="AV51" s="31" t="n">
        <v>2461.558161913331</v>
      </c>
      <c r="AW51" s="31" t="n">
        <v>2588.443617826129</v>
      </c>
      <c r="AX51" s="31" t="n">
        <v>2680.071983515933</v>
      </c>
      <c r="AY51" s="31" t="n">
        <v>181.3046365020146</v>
      </c>
      <c r="AZ51" s="31" t="n">
        <v>709.5547199865484</v>
      </c>
      <c r="BA51" s="31" t="n">
        <v>3101.173431927755</v>
      </c>
      <c r="BB51" s="31" t="n">
        <v>1720.576228302619</v>
      </c>
      <c r="BC51" s="31" t="n">
        <v>3620.15245066031</v>
      </c>
      <c r="BD51" s="31" t="n">
        <v>1525.359495334963</v>
      </c>
      <c r="BE51" s="31" t="n">
        <v>2334.775435790532</v>
      </c>
      <c r="BF51" s="31" t="n">
        <v>542.1185990939981</v>
      </c>
      <c r="BG51" s="31" t="n">
        <v>640.2879699308982</v>
      </c>
      <c r="BH51" s="31" t="n">
        <v>372.7241332662965</v>
      </c>
      <c r="BI51" s="31" t="n">
        <v>11857.25381826465</v>
      </c>
      <c r="BJ51" s="31" t="n">
        <v>176.6672889374209</v>
      </c>
      <c r="BK51" s="31" t="n">
        <v>7728.164065978934</v>
      </c>
      <c r="BL51" s="31" t="n">
        <v>2412.140138653694</v>
      </c>
      <c r="BM51" s="31" t="n">
        <v>4556.972052978309</v>
      </c>
      <c r="BN51" s="31" t="n">
        <v>2082.398976557682</v>
      </c>
      <c r="BO51" s="31" t="n">
        <v>2743.763224816793</v>
      </c>
      <c r="BP51" s="31" t="n">
        <v>1880.381179809746</v>
      </c>
      <c r="BQ51" s="31" t="n">
        <v>4784.728896773607</v>
      </c>
      <c r="BR51" s="31" t="n">
        <v>0</v>
      </c>
      <c r="BS51" s="31">
        <f>SUM(C51:BR51)</f>
        <v/>
      </c>
      <c r="BT51" s="31" t="n">
        <v>0</v>
      </c>
      <c r="BU51" s="31" t="n">
        <v>0</v>
      </c>
      <c r="BV51" s="31" t="n">
        <v>141724.0303949607</v>
      </c>
      <c r="BW51" s="31" t="n">
        <v>0</v>
      </c>
      <c r="BX51" s="31">
        <f>SUM(BT51:BW51)</f>
        <v/>
      </c>
      <c r="BY51" s="31">
        <f>BS51+BX51</f>
        <v/>
      </c>
    </row>
    <row r="52">
      <c r="A52" s="28" t="inlineStr">
        <is>
          <t>3680</t>
        </is>
      </c>
      <c r="B52" s="28" t="inlineStr">
        <is>
          <t>Água, esgoto e gestão de resíduos</t>
        </is>
      </c>
      <c r="C52" s="29" t="n">
        <v>20.13173281183105</v>
      </c>
      <c r="D52" s="29" t="n">
        <v>2.596190502227271</v>
      </c>
      <c r="E52" s="29" t="n">
        <v>2.209869826735529</v>
      </c>
      <c r="F52" s="29" t="n">
        <v>45.30664586061891</v>
      </c>
      <c r="G52" s="29" t="n">
        <v>116.6868020521356</v>
      </c>
      <c r="H52" s="29" t="n">
        <v>685.4557398959629</v>
      </c>
      <c r="I52" s="29" t="n">
        <v>84.80558179256363</v>
      </c>
      <c r="J52" s="29" t="n">
        <v>275.3561908594332</v>
      </c>
      <c r="K52" s="29" t="n">
        <v>100.4883403840228</v>
      </c>
      <c r="L52" s="29" t="n">
        <v>566.6672854062768</v>
      </c>
      <c r="M52" s="29" t="n">
        <v>736.6903905773835</v>
      </c>
      <c r="N52" s="29" t="n">
        <v>1.288483853899073</v>
      </c>
      <c r="O52" s="29" t="n">
        <v>107.6096866815282</v>
      </c>
      <c r="P52" s="29" t="n">
        <v>39.30016037699135</v>
      </c>
      <c r="Q52" s="29" t="n">
        <v>37.69960786592581</v>
      </c>
      <c r="R52" s="29" t="n">
        <v>506.0572396223678</v>
      </c>
      <c r="S52" s="29" t="n">
        <v>733.7534876724374</v>
      </c>
      <c r="T52" s="29" t="n">
        <v>8.010862213654583</v>
      </c>
      <c r="U52" s="29" t="n">
        <v>692.4311514440751</v>
      </c>
      <c r="V52" s="29" t="n">
        <v>214.6652632241843</v>
      </c>
      <c r="W52" s="29" t="n">
        <v>1391.625924496818</v>
      </c>
      <c r="X52" s="29" t="n">
        <v>689.076300070386</v>
      </c>
      <c r="Y52" s="29" t="n">
        <v>201.9520831998566</v>
      </c>
      <c r="Z52" s="29" t="n">
        <v>118.5413899889762</v>
      </c>
      <c r="AA52" s="29" t="n">
        <v>820.6281463136074</v>
      </c>
      <c r="AB52" s="29" t="n">
        <v>1525.841189467003</v>
      </c>
      <c r="AC52" s="29" t="n">
        <v>6797.23490027626</v>
      </c>
      <c r="AD52" s="29" t="n">
        <v>3106.075683526569</v>
      </c>
      <c r="AE52" s="29" t="n">
        <v>267.4061332499578</v>
      </c>
      <c r="AF52" s="29" t="n">
        <v>29.19896857383465</v>
      </c>
      <c r="AG52" s="29" t="n">
        <v>84.46658128727444</v>
      </c>
      <c r="AH52" s="29" t="n">
        <v>145.8150638566385</v>
      </c>
      <c r="AI52" s="29" t="n">
        <v>147.6200550023795</v>
      </c>
      <c r="AJ52" s="29" t="n">
        <v>459.3248949314888</v>
      </c>
      <c r="AK52" s="29" t="n">
        <v>109.8307442093655</v>
      </c>
      <c r="AL52" s="29" t="n">
        <v>117.5572198883736</v>
      </c>
      <c r="AM52" s="29" t="n">
        <v>31.00878465019401</v>
      </c>
      <c r="AN52" s="29" t="n">
        <v>163.0616197010688</v>
      </c>
      <c r="AO52" s="29" t="n">
        <v>1586.665964943742</v>
      </c>
      <c r="AP52" s="29" t="n">
        <v>381.4308547114196</v>
      </c>
      <c r="AQ52" s="29" t="n">
        <v>684.8727025965537</v>
      </c>
      <c r="AR52" s="29" t="n">
        <v>6567.622545780546</v>
      </c>
      <c r="AS52" s="29" t="n">
        <v>587.5883342329632</v>
      </c>
      <c r="AT52" s="29" t="n">
        <v>15.61493680756213</v>
      </c>
      <c r="AU52" s="29" t="n">
        <v>8.740163513954492</v>
      </c>
      <c r="AV52" s="29" t="n">
        <v>1320.069604763728</v>
      </c>
      <c r="AW52" s="29" t="n">
        <v>755.1879767032975</v>
      </c>
      <c r="AX52" s="29" t="n">
        <v>1315.52260393546</v>
      </c>
      <c r="AY52" s="29" t="n">
        <v>36.28706385413928</v>
      </c>
      <c r="AZ52" s="29" t="n">
        <v>100.1916352781796</v>
      </c>
      <c r="BA52" s="29" t="n">
        <v>72.25975628553402</v>
      </c>
      <c r="BB52" s="29" t="n">
        <v>288.9245960442481</v>
      </c>
      <c r="BC52" s="29" t="n">
        <v>827.9676919277895</v>
      </c>
      <c r="BD52" s="29" t="n">
        <v>572.7317837031762</v>
      </c>
      <c r="BE52" s="29" t="n">
        <v>1088.222927024168</v>
      </c>
      <c r="BF52" s="29" t="n">
        <v>134.2411479968164</v>
      </c>
      <c r="BG52" s="29" t="n">
        <v>99.89386462649341</v>
      </c>
      <c r="BH52" s="29" t="n">
        <v>100.0187785183886</v>
      </c>
      <c r="BI52" s="29" t="n">
        <v>7309.404352186173</v>
      </c>
      <c r="BJ52" s="29" t="n">
        <v>44.75738443938076</v>
      </c>
      <c r="BK52" s="29" t="n">
        <v>12342.86289932421</v>
      </c>
      <c r="BL52" s="29" t="n">
        <v>1657.440241912939</v>
      </c>
      <c r="BM52" s="29" t="n">
        <v>427.0376376736909</v>
      </c>
      <c r="BN52" s="29" t="n">
        <v>2372.329971785686</v>
      </c>
      <c r="BO52" s="29" t="n">
        <v>2718.371705827608</v>
      </c>
      <c r="BP52" s="29" t="n">
        <v>181.730185404965</v>
      </c>
      <c r="BQ52" s="29" t="n">
        <v>2949.97150696824</v>
      </c>
      <c r="BR52" s="29" t="n">
        <v>0</v>
      </c>
      <c r="BS52" s="29">
        <f>SUM(C52:BR52)</f>
        <v/>
      </c>
      <c r="BT52" s="29" t="n">
        <v>0</v>
      </c>
      <c r="BU52" s="29" t="n">
        <v>0</v>
      </c>
      <c r="BV52" s="29" t="n">
        <v>43165.30105703346</v>
      </c>
      <c r="BW52" s="29" t="n">
        <v>0</v>
      </c>
      <c r="BX52" s="29">
        <f>SUM(BT52:BW52)</f>
        <v/>
      </c>
      <c r="BY52" s="29">
        <f>BS52+BX52</f>
        <v/>
      </c>
    </row>
    <row r="53">
      <c r="A53" s="30" t="inlineStr">
        <is>
          <t>4180</t>
        </is>
      </c>
      <c r="B53" s="30" t="inlineStr">
        <is>
          <t>Construção</t>
        </is>
      </c>
      <c r="C53" s="31" t="n">
        <v>123.3848093381387</v>
      </c>
      <c r="D53" s="31" t="n">
        <v>209.3425776597272</v>
      </c>
      <c r="E53" s="31" t="n">
        <v>15.43927260689374</v>
      </c>
      <c r="F53" s="31" t="n">
        <v>10.14840725056052</v>
      </c>
      <c r="G53" s="31" t="n">
        <v>2033.502010404073</v>
      </c>
      <c r="H53" s="31" t="n">
        <v>5313.643522147224</v>
      </c>
      <c r="I53" s="31" t="n">
        <v>374.9479145672424</v>
      </c>
      <c r="J53" s="31" t="n">
        <v>25.29582243212357</v>
      </c>
      <c r="K53" s="31" t="n">
        <v>23.1446616653262</v>
      </c>
      <c r="L53" s="31" t="n">
        <v>46.63137619026405</v>
      </c>
      <c r="M53" s="31" t="n">
        <v>11.2265269791126</v>
      </c>
      <c r="N53" s="31" t="n">
        <v>2.209482809287842</v>
      </c>
      <c r="O53" s="31" t="n">
        <v>35.16704378412779</v>
      </c>
      <c r="P53" s="31" t="n">
        <v>9.023363621060438</v>
      </c>
      <c r="Q53" s="31" t="n">
        <v>2.908006420271411</v>
      </c>
      <c r="R53" s="31" t="n">
        <v>6.040047708413237</v>
      </c>
      <c r="S53" s="31" t="n">
        <v>70.03867562365814</v>
      </c>
      <c r="T53" s="31" t="n">
        <v>21.84640882818514</v>
      </c>
      <c r="U53" s="31" t="n">
        <v>60.21436320406276</v>
      </c>
      <c r="V53" s="31" t="n">
        <v>77.88303906714945</v>
      </c>
      <c r="W53" s="31" t="n">
        <v>122.9901003868662</v>
      </c>
      <c r="X53" s="31" t="n">
        <v>18.58188644993041</v>
      </c>
      <c r="Y53" s="31" t="n">
        <v>5.193489981368589</v>
      </c>
      <c r="Z53" s="31" t="n">
        <v>10.0559240847061</v>
      </c>
      <c r="AA53" s="31" t="n">
        <v>29.71247411820995</v>
      </c>
      <c r="AB53" s="31" t="n">
        <v>50.08091584861895</v>
      </c>
      <c r="AC53" s="31" t="n">
        <v>154.248710131868</v>
      </c>
      <c r="AD53" s="31" t="n">
        <v>2894.807546129387</v>
      </c>
      <c r="AE53" s="31" t="n">
        <v>103.1286119549531</v>
      </c>
      <c r="AF53" s="31" t="n">
        <v>90.92614960662598</v>
      </c>
      <c r="AG53" s="31" t="n">
        <v>16.70325331013782</v>
      </c>
      <c r="AH53" s="31" t="n">
        <v>119.418201532524</v>
      </c>
      <c r="AI53" s="31" t="n">
        <v>265.2683195281821</v>
      </c>
      <c r="AJ53" s="31" t="n">
        <v>53.186641077214</v>
      </c>
      <c r="AK53" s="31" t="n">
        <v>236.2465889935701</v>
      </c>
      <c r="AL53" s="31" t="n">
        <v>28.41798672307284</v>
      </c>
      <c r="AM53" s="31" t="n">
        <v>10.51797185707889</v>
      </c>
      <c r="AN53" s="31" t="n">
        <v>22.34483774713338</v>
      </c>
      <c r="AO53" s="31" t="n">
        <v>4439.300554064928</v>
      </c>
      <c r="AP53" s="31" t="n">
        <v>62909.00813555653</v>
      </c>
      <c r="AQ53" s="31" t="n">
        <v>652.7741202536298</v>
      </c>
      <c r="AR53" s="31" t="n">
        <v>1836.056311786208</v>
      </c>
      <c r="AS53" s="31" t="n">
        <v>407.3331993229982</v>
      </c>
      <c r="AT53" s="31" t="n">
        <v>42.12383536206315</v>
      </c>
      <c r="AU53" s="31" t="n">
        <v>49.23930816822084</v>
      </c>
      <c r="AV53" s="31" t="n">
        <v>2073.583249955645</v>
      </c>
      <c r="AW53" s="31" t="n">
        <v>317.0110125765868</v>
      </c>
      <c r="AX53" s="31" t="n">
        <v>569.3756636218128</v>
      </c>
      <c r="AY53" s="31" t="n">
        <v>22.35089597845555</v>
      </c>
      <c r="AZ53" s="31" t="n">
        <v>249.8620945694861</v>
      </c>
      <c r="BA53" s="31" t="n">
        <v>3883.372256932238</v>
      </c>
      <c r="BB53" s="31" t="n">
        <v>1580.574375287028</v>
      </c>
      <c r="BC53" s="31" t="n">
        <v>1122.11714950892</v>
      </c>
      <c r="BD53" s="31" t="n">
        <v>1696.380839754935</v>
      </c>
      <c r="BE53" s="31" t="n">
        <v>433.6646183786471</v>
      </c>
      <c r="BF53" s="31" t="n">
        <v>970.2104967527011</v>
      </c>
      <c r="BG53" s="31" t="n">
        <v>43.10917443615353</v>
      </c>
      <c r="BH53" s="31" t="n">
        <v>299.788405231876</v>
      </c>
      <c r="BI53" s="31" t="n">
        <v>2970.457276202901</v>
      </c>
      <c r="BJ53" s="31" t="n">
        <v>22.91082666686038</v>
      </c>
      <c r="BK53" s="31" t="n">
        <v>15777.01559896374</v>
      </c>
      <c r="BL53" s="31" t="n">
        <v>1867.691028785888</v>
      </c>
      <c r="BM53" s="31" t="n">
        <v>608.1915163698706</v>
      </c>
      <c r="BN53" s="31" t="n">
        <v>5153.6111182235</v>
      </c>
      <c r="BO53" s="31" t="n">
        <v>62.0411680639635</v>
      </c>
      <c r="BP53" s="31" t="n">
        <v>188.5837297063628</v>
      </c>
      <c r="BQ53" s="31" t="n">
        <v>410.1862434067071</v>
      </c>
      <c r="BR53" s="31" t="n">
        <v>0</v>
      </c>
      <c r="BS53" s="31">
        <f>SUM(C53:BR53)</f>
        <v/>
      </c>
      <c r="BT53" s="31" t="n">
        <v>0</v>
      </c>
      <c r="BU53" s="31" t="n">
        <v>0</v>
      </c>
      <c r="BV53" s="31" t="n">
        <v>588400.4024267221</v>
      </c>
      <c r="BW53" s="31" t="n">
        <v>0</v>
      </c>
      <c r="BX53" s="31">
        <f>SUM(BT53:BW53)</f>
        <v/>
      </c>
      <c r="BY53" s="31">
        <f>BS53+BX53</f>
        <v/>
      </c>
    </row>
    <row r="54">
      <c r="A54" s="28" t="inlineStr">
        <is>
          <t>4500</t>
        </is>
      </c>
      <c r="B54" s="28" t="inlineStr">
        <is>
          <t>Comércio e reparação de veículos automotores e motocicletas</t>
        </is>
      </c>
      <c r="C54" s="29" t="n">
        <v>335.1745852059443</v>
      </c>
      <c r="D54" s="29" t="n">
        <v>63.56328254983228</v>
      </c>
      <c r="E54" s="29" t="n">
        <v>24.5258475065032</v>
      </c>
      <c r="F54" s="29" t="n">
        <v>90.64211091357021</v>
      </c>
      <c r="G54" s="29" t="n">
        <v>264.2214629448837</v>
      </c>
      <c r="H54" s="29" t="n">
        <v>2839.693525031021</v>
      </c>
      <c r="I54" s="29" t="n">
        <v>130.5981957955502</v>
      </c>
      <c r="J54" s="29" t="n">
        <v>35.58701117360665</v>
      </c>
      <c r="K54" s="29" t="n">
        <v>26.11456071341967</v>
      </c>
      <c r="L54" s="29" t="n">
        <v>55.26874586843568</v>
      </c>
      <c r="M54" s="29" t="n">
        <v>53.75804133170821</v>
      </c>
      <c r="N54" s="29" t="n">
        <v>1.010874478965158</v>
      </c>
      <c r="O54" s="29" t="n">
        <v>5.126204689581295</v>
      </c>
      <c r="P54" s="29" t="n">
        <v>1.807442618938554</v>
      </c>
      <c r="Q54" s="29" t="n">
        <v>4.099956366370729</v>
      </c>
      <c r="R54" s="29" t="n">
        <v>4.239463026997295</v>
      </c>
      <c r="S54" s="29" t="n">
        <v>20.70980150892423</v>
      </c>
      <c r="T54" s="29" t="n">
        <v>1.938370956790085</v>
      </c>
      <c r="U54" s="29" t="n">
        <v>11.89111723870761</v>
      </c>
      <c r="V54" s="29" t="n">
        <v>20.14561653460958</v>
      </c>
      <c r="W54" s="29" t="n">
        <v>16.22144756109706</v>
      </c>
      <c r="X54" s="29" t="n">
        <v>23.3567405250855</v>
      </c>
      <c r="Y54" s="29" t="n">
        <v>2.879157250234026</v>
      </c>
      <c r="Z54" s="29" t="n">
        <v>66.5416689332111</v>
      </c>
      <c r="AA54" s="29" t="n">
        <v>323.2518316485193</v>
      </c>
      <c r="AB54" s="29" t="n">
        <v>509.753834620488</v>
      </c>
      <c r="AC54" s="29" t="n">
        <v>27.04826032954873</v>
      </c>
      <c r="AD54" s="29" t="n">
        <v>84.72419021388589</v>
      </c>
      <c r="AE54" s="29" t="n">
        <v>14.47389536124002</v>
      </c>
      <c r="AF54" s="29" t="n">
        <v>547.5391414716657</v>
      </c>
      <c r="AG54" s="29" t="n">
        <v>39.5484231932812</v>
      </c>
      <c r="AH54" s="29" t="n">
        <v>4211.522591807628</v>
      </c>
      <c r="AI54" s="29" t="n">
        <v>1441.86794614712</v>
      </c>
      <c r="AJ54" s="29" t="n">
        <v>295.3018946166237</v>
      </c>
      <c r="AK54" s="29" t="n">
        <v>7.930436657567666</v>
      </c>
      <c r="AL54" s="29" t="n">
        <v>66.26256393150152</v>
      </c>
      <c r="AM54" s="29" t="n">
        <v>83.9497409157096</v>
      </c>
      <c r="AN54" s="29" t="n">
        <v>276.0332418231138</v>
      </c>
      <c r="AO54" s="29" t="n">
        <v>1161.681530527334</v>
      </c>
      <c r="AP54" s="29" t="n">
        <v>538.2533545458277</v>
      </c>
      <c r="AQ54" s="29" t="n">
        <v>2053.905520267663</v>
      </c>
      <c r="AR54" s="29" t="n">
        <v>5168.373955292116</v>
      </c>
      <c r="AS54" s="29" t="n">
        <v>8925.650131604718</v>
      </c>
      <c r="AT54" s="29" t="n">
        <v>34.3032269260482</v>
      </c>
      <c r="AU54" s="29" t="n">
        <v>44.69883119784865</v>
      </c>
      <c r="AV54" s="29" t="n">
        <v>648.1086887752737</v>
      </c>
      <c r="AW54" s="29" t="n">
        <v>1.494293057281557</v>
      </c>
      <c r="AX54" s="29" t="n">
        <v>126.3939244081664</v>
      </c>
      <c r="AY54" s="29" t="n">
        <v>11.12173442674977</v>
      </c>
      <c r="AZ54" s="29" t="n">
        <v>74.27124607173221</v>
      </c>
      <c r="BA54" s="29" t="n">
        <v>60.75836708551255</v>
      </c>
      <c r="BB54" s="29" t="n">
        <v>58.43933069796302</v>
      </c>
      <c r="BC54" s="29" t="n">
        <v>103.7268601179768</v>
      </c>
      <c r="BD54" s="29" t="n">
        <v>30.34086963519795</v>
      </c>
      <c r="BE54" s="29" t="n">
        <v>9.271201478891633</v>
      </c>
      <c r="BF54" s="29" t="n">
        <v>142.1978161875139</v>
      </c>
      <c r="BG54" s="29" t="n">
        <v>46.52131798549127</v>
      </c>
      <c r="BH54" s="29" t="n">
        <v>1260.934675853149</v>
      </c>
      <c r="BI54" s="29" t="n">
        <v>95.00804555295171</v>
      </c>
      <c r="BJ54" s="29" t="n">
        <v>226.2428603309159</v>
      </c>
      <c r="BK54" s="29" t="n">
        <v>1955.13279981651</v>
      </c>
      <c r="BL54" s="29" t="n">
        <v>414.8909977281932</v>
      </c>
      <c r="BM54" s="29" t="n">
        <v>24.25829331487206</v>
      </c>
      <c r="BN54" s="29" t="n">
        <v>1544.51528619006</v>
      </c>
      <c r="BO54" s="29" t="n">
        <v>730.6381657575679</v>
      </c>
      <c r="BP54" s="29" t="n">
        <v>59.65980253140449</v>
      </c>
      <c r="BQ54" s="29" t="n">
        <v>57.19655092495081</v>
      </c>
      <c r="BR54" s="29" t="n">
        <v>0</v>
      </c>
      <c r="BS54" s="29">
        <f>SUM(C54:BR54)</f>
        <v/>
      </c>
      <c r="BT54" s="29" t="n">
        <v>0</v>
      </c>
      <c r="BU54" s="29" t="n">
        <v>0</v>
      </c>
      <c r="BV54" s="29" t="n">
        <v>149968.5290144375</v>
      </c>
      <c r="BW54" s="29" t="n">
        <v>0</v>
      </c>
      <c r="BX54" s="29">
        <f>SUM(BT54:BW54)</f>
        <v/>
      </c>
      <c r="BY54" s="29">
        <f>BS54+BX54</f>
        <v/>
      </c>
    </row>
    <row r="55">
      <c r="A55" s="30" t="inlineStr">
        <is>
          <t>4680</t>
        </is>
      </c>
      <c r="B55" s="30" t="inlineStr">
        <is>
          <t>Comércio por atacado e a varejo, exceto veículos automotores</t>
        </is>
      </c>
      <c r="C55" s="31" t="n">
        <v>3150.671292905609</v>
      </c>
      <c r="D55" s="31" t="n">
        <v>2085.72515004432</v>
      </c>
      <c r="E55" s="31" t="n">
        <v>92.30304615757424</v>
      </c>
      <c r="F55" s="31" t="n">
        <v>202.5915511464153</v>
      </c>
      <c r="G55" s="31" t="n">
        <v>2178.310974778606</v>
      </c>
      <c r="H55" s="31" t="n">
        <v>1296.566480077674</v>
      </c>
      <c r="I55" s="31" t="n">
        <v>205.2660620651957</v>
      </c>
      <c r="J55" s="31" t="n">
        <v>17795.66548107378</v>
      </c>
      <c r="K55" s="31" t="n">
        <v>903.2306794317701</v>
      </c>
      <c r="L55" s="31" t="n">
        <v>13100.46583701232</v>
      </c>
      <c r="M55" s="31" t="n">
        <v>1301.9523646664</v>
      </c>
      <c r="N55" s="31" t="n">
        <v>291.7036626741092</v>
      </c>
      <c r="O55" s="31" t="n">
        <v>801.0186927339237</v>
      </c>
      <c r="P55" s="31" t="n">
        <v>1018.789377401732</v>
      </c>
      <c r="Q55" s="31" t="n">
        <v>987.7304796009121</v>
      </c>
      <c r="R55" s="31" t="n">
        <v>910.8242409626164</v>
      </c>
      <c r="S55" s="31" t="n">
        <v>3712.693674093127</v>
      </c>
      <c r="T55" s="31" t="n">
        <v>267.1978355416168</v>
      </c>
      <c r="U55" s="31" t="n">
        <v>6747.505022967509</v>
      </c>
      <c r="V55" s="31" t="n">
        <v>2120.426011676889</v>
      </c>
      <c r="W55" s="31" t="n">
        <v>2333.749125596416</v>
      </c>
      <c r="X55" s="31" t="n">
        <v>1987.269339438448</v>
      </c>
      <c r="Y55" s="31" t="n">
        <v>501.5847742765277</v>
      </c>
      <c r="Z55" s="31" t="n">
        <v>3504.381286114884</v>
      </c>
      <c r="AA55" s="31" t="n">
        <v>2659.004999501158</v>
      </c>
      <c r="AB55" s="31" t="n">
        <v>2194.189488771877</v>
      </c>
      <c r="AC55" s="31" t="n">
        <v>3209.361790442876</v>
      </c>
      <c r="AD55" s="31" t="n">
        <v>970.8816662544577</v>
      </c>
      <c r="AE55" s="31" t="n">
        <v>2314.750066783483</v>
      </c>
      <c r="AF55" s="31" t="n">
        <v>1872.09583880537</v>
      </c>
      <c r="AG55" s="31" t="n">
        <v>1687.121149256393</v>
      </c>
      <c r="AH55" s="31" t="n">
        <v>5374.987566839642</v>
      </c>
      <c r="AI55" s="31" t="n">
        <v>673.6214298955247</v>
      </c>
      <c r="AJ55" s="31" t="n">
        <v>375.0051761306651</v>
      </c>
      <c r="AK55" s="31" t="n">
        <v>288.8266667569978</v>
      </c>
      <c r="AL55" s="31" t="n">
        <v>1413.298760444777</v>
      </c>
      <c r="AM55" s="31" t="n">
        <v>579.7481514804582</v>
      </c>
      <c r="AN55" s="31" t="n">
        <v>539.7825934188013</v>
      </c>
      <c r="AO55" s="31" t="n">
        <v>459.2953950352908</v>
      </c>
      <c r="AP55" s="31" t="n">
        <v>2951.312349252908</v>
      </c>
      <c r="AQ55" s="31" t="n">
        <v>385.5914996034139</v>
      </c>
      <c r="AR55" s="31" t="n">
        <v>12681.07047919289</v>
      </c>
      <c r="AS55" s="31" t="n">
        <v>1162.31871826183</v>
      </c>
      <c r="AT55" s="31" t="n">
        <v>307.1755167232387</v>
      </c>
      <c r="AU55" s="31" t="n">
        <v>312.9446884608365</v>
      </c>
      <c r="AV55" s="31" t="n">
        <v>926.3629886992184</v>
      </c>
      <c r="AW55" s="31" t="n">
        <v>191.5065335682006</v>
      </c>
      <c r="AX55" s="31" t="n">
        <v>4544.011224145284</v>
      </c>
      <c r="AY55" s="31" t="n">
        <v>489.0837665276404</v>
      </c>
      <c r="AZ55" s="31" t="n">
        <v>821.1323687510958</v>
      </c>
      <c r="BA55" s="31" t="n">
        <v>4153.344442062662</v>
      </c>
      <c r="BB55" s="31" t="n">
        <v>2784.251029070178</v>
      </c>
      <c r="BC55" s="31" t="n">
        <v>1191.180973376996</v>
      </c>
      <c r="BD55" s="31" t="n">
        <v>195.1950510916835</v>
      </c>
      <c r="BE55" s="31" t="n">
        <v>1163.676640521673</v>
      </c>
      <c r="BF55" s="31" t="n">
        <v>480.2424249534844</v>
      </c>
      <c r="BG55" s="31" t="n">
        <v>762.0571775174676</v>
      </c>
      <c r="BH55" s="31" t="n">
        <v>431.4391896289999</v>
      </c>
      <c r="BI55" s="31" t="n">
        <v>1698.509488998212</v>
      </c>
      <c r="BJ55" s="31" t="n">
        <v>175.9476979386916</v>
      </c>
      <c r="BK55" s="31" t="n">
        <v>2588.586891180134</v>
      </c>
      <c r="BL55" s="31" t="n">
        <v>1006.357537376572</v>
      </c>
      <c r="BM55" s="31" t="n">
        <v>713.6952781850583</v>
      </c>
      <c r="BN55" s="31" t="n">
        <v>5495.891908990711</v>
      </c>
      <c r="BO55" s="31" t="n">
        <v>4742.162170438438</v>
      </c>
      <c r="BP55" s="31" t="n">
        <v>221.3045993416638</v>
      </c>
      <c r="BQ55" s="31" t="n">
        <v>1045.43845857585</v>
      </c>
      <c r="BR55" s="31" t="n">
        <v>0</v>
      </c>
      <c r="BS55" s="31">
        <f>SUM(C55:BR55)</f>
        <v/>
      </c>
      <c r="BT55" s="31" t="n">
        <v>0</v>
      </c>
      <c r="BU55" s="31" t="n">
        <v>0</v>
      </c>
      <c r="BV55" s="31" t="n">
        <v>173189.0966544009</v>
      </c>
      <c r="BW55" s="31" t="n">
        <v>0</v>
      </c>
      <c r="BX55" s="31">
        <f>SUM(BT55:BW55)</f>
        <v/>
      </c>
      <c r="BY55" s="31">
        <f>BS55+BX55</f>
        <v/>
      </c>
    </row>
    <row r="56">
      <c r="A56" s="28" t="inlineStr">
        <is>
          <t>4900</t>
        </is>
      </c>
      <c r="B56" s="28" t="inlineStr">
        <is>
          <t>Transporte terrestre</t>
        </is>
      </c>
      <c r="C56" s="29" t="n">
        <v>10314.56339116115</v>
      </c>
      <c r="D56" s="29" t="n">
        <v>1521.352482972232</v>
      </c>
      <c r="E56" s="29" t="n">
        <v>1164.829668525379</v>
      </c>
      <c r="F56" s="29" t="n">
        <v>1314.648287753949</v>
      </c>
      <c r="G56" s="29" t="n">
        <v>7034.647367724428</v>
      </c>
      <c r="H56" s="29" t="n">
        <v>7110.978608934137</v>
      </c>
      <c r="I56" s="29" t="n">
        <v>1030.496754242431</v>
      </c>
      <c r="J56" s="29" t="n">
        <v>19321.43451115806</v>
      </c>
      <c r="K56" s="29" t="n">
        <v>5208.122419037469</v>
      </c>
      <c r="L56" s="29" t="n">
        <v>20360.29561155934</v>
      </c>
      <c r="M56" s="29" t="n">
        <v>5077.527403505183</v>
      </c>
      <c r="N56" s="29" t="n">
        <v>266.0391673914432</v>
      </c>
      <c r="O56" s="29" t="n">
        <v>1307.314914065684</v>
      </c>
      <c r="P56" s="29" t="n">
        <v>1015.338368429926</v>
      </c>
      <c r="Q56" s="29" t="n">
        <v>1094.859961308771</v>
      </c>
      <c r="R56" s="29" t="n">
        <v>2934.028593037764</v>
      </c>
      <c r="S56" s="29" t="n">
        <v>6598.337660283871</v>
      </c>
      <c r="T56" s="29" t="n">
        <v>370.0406897047238</v>
      </c>
      <c r="U56" s="29" t="n">
        <v>5211.293486007566</v>
      </c>
      <c r="V56" s="29" t="n">
        <v>3056.826485758823</v>
      </c>
      <c r="W56" s="29" t="n">
        <v>10466.63395686244</v>
      </c>
      <c r="X56" s="29" t="n">
        <v>3527.409850826237</v>
      </c>
      <c r="Y56" s="29" t="n">
        <v>2147.249574244573</v>
      </c>
      <c r="Z56" s="29" t="n">
        <v>4728.871817316007</v>
      </c>
      <c r="AA56" s="29" t="n">
        <v>4577.52823424968</v>
      </c>
      <c r="AB56" s="29" t="n">
        <v>4405.995057716385</v>
      </c>
      <c r="AC56" s="29" t="n">
        <v>7191.14087187948</v>
      </c>
      <c r="AD56" s="29" t="n">
        <v>1092.336322743404</v>
      </c>
      <c r="AE56" s="29" t="n">
        <v>4101.549138481197</v>
      </c>
      <c r="AF56" s="29" t="n">
        <v>1635.380216536443</v>
      </c>
      <c r="AG56" s="29" t="n">
        <v>1992.127916277825</v>
      </c>
      <c r="AH56" s="29" t="n">
        <v>3632.857947538339</v>
      </c>
      <c r="AI56" s="29" t="n">
        <v>4687.586720539673</v>
      </c>
      <c r="AJ56" s="29" t="n">
        <v>2617.597209920898</v>
      </c>
      <c r="AK56" s="29" t="n">
        <v>732.6369143738867</v>
      </c>
      <c r="AL56" s="29" t="n">
        <v>2073.195780264858</v>
      </c>
      <c r="AM56" s="29" t="n">
        <v>222.0065880684769</v>
      </c>
      <c r="AN56" s="29" t="n">
        <v>5141.795223050177</v>
      </c>
      <c r="AO56" s="29" t="n">
        <v>599.1735900201686</v>
      </c>
      <c r="AP56" s="29" t="n">
        <v>2346.231030855052</v>
      </c>
      <c r="AQ56" s="29" t="n">
        <v>1931.918242474257</v>
      </c>
      <c r="AR56" s="29" t="n">
        <v>69259.73485373725</v>
      </c>
      <c r="AS56" s="29" t="n">
        <v>64544.79295935659</v>
      </c>
      <c r="AT56" s="29" t="n">
        <v>651.3852548609302</v>
      </c>
      <c r="AU56" s="29" t="n">
        <v>285.2834399760922</v>
      </c>
      <c r="AV56" s="29" t="n">
        <v>9682.815219506418</v>
      </c>
      <c r="AW56" s="29" t="n">
        <v>105.0650910984936</v>
      </c>
      <c r="AX56" s="29" t="n">
        <v>1356.179314708503</v>
      </c>
      <c r="AY56" s="29" t="n">
        <v>455.0131254436188</v>
      </c>
      <c r="AZ56" s="29" t="n">
        <v>528.7865122920754</v>
      </c>
      <c r="BA56" s="29" t="n">
        <v>608.5379631500872</v>
      </c>
      <c r="BB56" s="29" t="n">
        <v>1248.863462172846</v>
      </c>
      <c r="BC56" s="29" t="n">
        <v>2306.129989967252</v>
      </c>
      <c r="BD56" s="29" t="n">
        <v>207.6135575025226</v>
      </c>
      <c r="BE56" s="29" t="n">
        <v>1482.994756254988</v>
      </c>
      <c r="BF56" s="29" t="n">
        <v>1618.977943607733</v>
      </c>
      <c r="BG56" s="29" t="n">
        <v>655.3260623365419</v>
      </c>
      <c r="BH56" s="29" t="n">
        <v>814.5564497143685</v>
      </c>
      <c r="BI56" s="29" t="n">
        <v>857.687452275325</v>
      </c>
      <c r="BJ56" s="29" t="n">
        <v>185.6480449675579</v>
      </c>
      <c r="BK56" s="29" t="n">
        <v>3337.505010768547</v>
      </c>
      <c r="BL56" s="29" t="n">
        <v>1707.623716831248</v>
      </c>
      <c r="BM56" s="29" t="n">
        <v>2071.017022730748</v>
      </c>
      <c r="BN56" s="29" t="n">
        <v>1871.101326586921</v>
      </c>
      <c r="BO56" s="29" t="n">
        <v>42.7216258731199</v>
      </c>
      <c r="BP56" s="29" t="n">
        <v>362.3801908432122</v>
      </c>
      <c r="BQ56" s="29" t="n">
        <v>3013.522862649429</v>
      </c>
      <c r="BR56" s="29" t="n">
        <v>0</v>
      </c>
      <c r="BS56" s="29">
        <f>SUM(C56:BR56)</f>
        <v/>
      </c>
      <c r="BT56" s="29" t="n">
        <v>0</v>
      </c>
      <c r="BU56" s="29" t="n">
        <v>0</v>
      </c>
      <c r="BV56" s="29" t="n">
        <v>77994.64749721362</v>
      </c>
      <c r="BW56" s="29" t="n">
        <v>0</v>
      </c>
      <c r="BX56" s="29">
        <f>SUM(BT56:BW56)</f>
        <v/>
      </c>
      <c r="BY56" s="29">
        <f>BS56+BX56</f>
        <v/>
      </c>
    </row>
    <row r="57">
      <c r="A57" s="30" t="inlineStr">
        <is>
          <t>5000</t>
        </is>
      </c>
      <c r="B57" s="30" t="inlineStr">
        <is>
          <t>Transporte aquaviário</t>
        </is>
      </c>
      <c r="C57" s="31" t="n">
        <v>0.03414768901396779</v>
      </c>
      <c r="D57" s="31" t="n">
        <v>0.02793901828415546</v>
      </c>
      <c r="E57" s="31" t="n">
        <v>0.03104335364906162</v>
      </c>
      <c r="F57" s="31" t="n">
        <v>0.1210690792313403</v>
      </c>
      <c r="G57" s="31" t="n">
        <v>9930.833348938671</v>
      </c>
      <c r="H57" s="31" t="n">
        <v>0.3942505913430825</v>
      </c>
      <c r="I57" s="31" t="n">
        <v>24.32132104336385</v>
      </c>
      <c r="J57" s="31" t="n">
        <v>3305.602001321779</v>
      </c>
      <c r="K57" s="31" t="n">
        <v>320.1893721882157</v>
      </c>
      <c r="L57" s="31" t="n">
        <v>990.0265854348766</v>
      </c>
      <c r="M57" s="31" t="n">
        <v>2.127649525244502</v>
      </c>
      <c r="N57" s="31" t="n">
        <v>1.020364067513565</v>
      </c>
      <c r="O57" s="31" t="n">
        <v>15.77325338526374</v>
      </c>
      <c r="P57" s="31" t="n">
        <v>23.22527312680875</v>
      </c>
      <c r="Q57" s="31" t="n">
        <v>9.3220094315023</v>
      </c>
      <c r="R57" s="31" t="n">
        <v>548.726339420686</v>
      </c>
      <c r="S57" s="31" t="n">
        <v>3782.031064981031</v>
      </c>
      <c r="T57" s="31" t="n">
        <v>27.11544040452261</v>
      </c>
      <c r="U57" s="31" t="n">
        <v>143.5684138501112</v>
      </c>
      <c r="V57" s="31" t="n">
        <v>33.88953523623429</v>
      </c>
      <c r="W57" s="31" t="n">
        <v>2047.241890420835</v>
      </c>
      <c r="X57" s="31" t="n">
        <v>25.62417962908386</v>
      </c>
      <c r="Y57" s="31" t="n">
        <v>70.68205910414228</v>
      </c>
      <c r="Z57" s="31" t="n">
        <v>3.955140787633669</v>
      </c>
      <c r="AA57" s="31" t="n">
        <v>88.24458945987575</v>
      </c>
      <c r="AB57" s="31" t="n">
        <v>263.6579613410318</v>
      </c>
      <c r="AC57" s="31" t="n">
        <v>720.3250103404266</v>
      </c>
      <c r="AD57" s="31" t="n">
        <v>25.15542498898304</v>
      </c>
      <c r="AE57" s="31" t="n">
        <v>68.50880681596475</v>
      </c>
      <c r="AF57" s="31" t="n">
        <v>56.35232166355991</v>
      </c>
      <c r="AG57" s="31" t="n">
        <v>75.86362989365711</v>
      </c>
      <c r="AH57" s="31" t="n">
        <v>631.3537888724196</v>
      </c>
      <c r="AI57" s="31" t="n">
        <v>248.7011481567384</v>
      </c>
      <c r="AJ57" s="31" t="n">
        <v>145.255247753539</v>
      </c>
      <c r="AK57" s="31" t="n">
        <v>165.9939482530579</v>
      </c>
      <c r="AL57" s="31" t="n">
        <v>2.057212079392223</v>
      </c>
      <c r="AM57" s="31" t="n">
        <v>17.27286489925664</v>
      </c>
      <c r="AN57" s="31" t="n">
        <v>3.008100968594071</v>
      </c>
      <c r="AO57" s="31" t="n">
        <v>1.623567395845922</v>
      </c>
      <c r="AP57" s="31" t="n">
        <v>9.977768928294841</v>
      </c>
      <c r="AQ57" s="31" t="n">
        <v>18.42541019100185</v>
      </c>
      <c r="AR57" s="31" t="n">
        <v>2345.557414485573</v>
      </c>
      <c r="AS57" s="31" t="n">
        <v>1414.731673926901</v>
      </c>
      <c r="AT57" s="31" t="n">
        <v>2880.847243463916</v>
      </c>
      <c r="AU57" s="31" t="n">
        <v>0.3942505913430825</v>
      </c>
      <c r="AV57" s="31" t="n">
        <v>132.2695621297854</v>
      </c>
      <c r="AW57" s="31" t="n">
        <v>4.718589754657366</v>
      </c>
      <c r="AX57" s="31" t="n">
        <v>43.34040402386012</v>
      </c>
      <c r="AY57" s="31" t="n">
        <v>0.7357274814827603</v>
      </c>
      <c r="AZ57" s="31" t="n">
        <v>5.583954586668842</v>
      </c>
      <c r="BA57" s="31" t="n">
        <v>8.75112139367047</v>
      </c>
      <c r="BB57" s="31" t="n">
        <v>48.05076843613886</v>
      </c>
      <c r="BC57" s="31" t="n">
        <v>20.60968248761201</v>
      </c>
      <c r="BD57" s="31" t="n">
        <v>8.822521107063311</v>
      </c>
      <c r="BE57" s="31" t="n">
        <v>24.86165966999289</v>
      </c>
      <c r="BF57" s="31" t="n">
        <v>7.741467665278624</v>
      </c>
      <c r="BG57" s="31" t="n">
        <v>7.177223363663046</v>
      </c>
      <c r="BH57" s="31" t="n">
        <v>5.128362022824979</v>
      </c>
      <c r="BI57" s="31" t="n">
        <v>391.528462726002</v>
      </c>
      <c r="BJ57" s="31" t="n">
        <v>2.224846189097156</v>
      </c>
      <c r="BK57" s="31" t="n">
        <v>10.06425525302578</v>
      </c>
      <c r="BL57" s="31" t="n">
        <v>2.430694590721524</v>
      </c>
      <c r="BM57" s="31" t="n">
        <v>23.29493257825584</v>
      </c>
      <c r="BN57" s="31" t="n">
        <v>2.064383017662597</v>
      </c>
      <c r="BO57" s="31" t="n">
        <v>12.27143769747405</v>
      </c>
      <c r="BP57" s="31" t="n">
        <v>17.69685364778947</v>
      </c>
      <c r="BQ57" s="31" t="n">
        <v>15.92213608660371</v>
      </c>
      <c r="BR57" s="31" t="n">
        <v>0</v>
      </c>
      <c r="BS57" s="31">
        <f>SUM(C57:BR57)</f>
        <v/>
      </c>
      <c r="BT57" s="31" t="n">
        <v>0</v>
      </c>
      <c r="BU57" s="31" t="n">
        <v>0</v>
      </c>
      <c r="BV57" s="31" t="n">
        <v>9600.900921909762</v>
      </c>
      <c r="BW57" s="31" t="n">
        <v>0</v>
      </c>
      <c r="BX57" s="31">
        <f>SUM(BT57:BW57)</f>
        <v/>
      </c>
      <c r="BY57" s="31">
        <f>BS57+BX57</f>
        <v/>
      </c>
    </row>
    <row r="58">
      <c r="A58" s="28" t="inlineStr">
        <is>
          <t>5100</t>
        </is>
      </c>
      <c r="B58" s="28" t="inlineStr">
        <is>
          <t>Transporte aéreo</t>
        </is>
      </c>
      <c r="C58" s="29" t="n">
        <v>2.015155312167388</v>
      </c>
      <c r="D58" s="29" t="n">
        <v>0.01234318952359825</v>
      </c>
      <c r="E58" s="29" t="n">
        <v>4.013491860715126</v>
      </c>
      <c r="F58" s="29" t="n">
        <v>2.055466209548023</v>
      </c>
      <c r="G58" s="29" t="n">
        <v>2584.780323446406</v>
      </c>
      <c r="H58" s="29" t="n">
        <v>24.1828428776816</v>
      </c>
      <c r="I58" s="29" t="n">
        <v>31.05669448858645</v>
      </c>
      <c r="J58" s="29" t="n">
        <v>362.2594619043884</v>
      </c>
      <c r="K58" s="29" t="n">
        <v>6.533530836127988</v>
      </c>
      <c r="L58" s="29" t="n">
        <v>278.344119189996</v>
      </c>
      <c r="M58" s="29" t="n">
        <v>51.15672040949693</v>
      </c>
      <c r="N58" s="29" t="n">
        <v>28.06712231125682</v>
      </c>
      <c r="O58" s="29" t="n">
        <v>28.66519828194349</v>
      </c>
      <c r="P58" s="29" t="n">
        <v>27.79469792602927</v>
      </c>
      <c r="Q58" s="29" t="n">
        <v>30.20242942980151</v>
      </c>
      <c r="R58" s="29" t="n">
        <v>72.14466950399003</v>
      </c>
      <c r="S58" s="29" t="n">
        <v>123.5826337233912</v>
      </c>
      <c r="T58" s="29" t="n">
        <v>11.1037159320547</v>
      </c>
      <c r="U58" s="29" t="n">
        <v>58.50652777840745</v>
      </c>
      <c r="V58" s="29" t="n">
        <v>15.76331534843088</v>
      </c>
      <c r="W58" s="29" t="n">
        <v>410.6130857232723</v>
      </c>
      <c r="X58" s="29" t="n">
        <v>317.2994151202452</v>
      </c>
      <c r="Y58" s="29" t="n">
        <v>12.34627281774853</v>
      </c>
      <c r="Z58" s="29" t="n">
        <v>143.6326500350571</v>
      </c>
      <c r="AA58" s="29" t="n">
        <v>50.07181392274806</v>
      </c>
      <c r="AB58" s="29" t="n">
        <v>123.545269124036</v>
      </c>
      <c r="AC58" s="29" t="n">
        <v>96.7870071726599</v>
      </c>
      <c r="AD58" s="29" t="n">
        <v>15.05717353385212</v>
      </c>
      <c r="AE58" s="29" t="n">
        <v>53.65635953869972</v>
      </c>
      <c r="AF58" s="29" t="n">
        <v>174.385657550699</v>
      </c>
      <c r="AG58" s="29" t="n">
        <v>162.3155098061784</v>
      </c>
      <c r="AH58" s="29" t="n">
        <v>204.7847882241068</v>
      </c>
      <c r="AI58" s="29" t="n">
        <v>152.2027815921909</v>
      </c>
      <c r="AJ58" s="29" t="n">
        <v>81.42386174974831</v>
      </c>
      <c r="AK58" s="29" t="n">
        <v>21.09386598051215</v>
      </c>
      <c r="AL58" s="29" t="n">
        <v>38.5536110962251</v>
      </c>
      <c r="AM58" s="29" t="n">
        <v>58.10662563620141</v>
      </c>
      <c r="AN58" s="29" t="n">
        <v>413.3066698892975</v>
      </c>
      <c r="AO58" s="29" t="n">
        <v>52.71076835594526</v>
      </c>
      <c r="AP58" s="29" t="n">
        <v>908.9906396374109</v>
      </c>
      <c r="AQ58" s="29" t="n">
        <v>177.2848528277815</v>
      </c>
      <c r="AR58" s="29" t="n">
        <v>3581.199356029129</v>
      </c>
      <c r="AS58" s="29" t="n">
        <v>202.5888456989584</v>
      </c>
      <c r="AT58" s="29" t="n">
        <v>129.2113068484347</v>
      </c>
      <c r="AU58" s="29" t="n">
        <v>9.172531102603788</v>
      </c>
      <c r="AV58" s="29" t="n">
        <v>690.2825608183786</v>
      </c>
      <c r="AW58" s="29" t="n">
        <v>53.0665463367752</v>
      </c>
      <c r="AX58" s="29" t="n">
        <v>55.17404829898191</v>
      </c>
      <c r="AY58" s="29" t="n">
        <v>12.33973540584907</v>
      </c>
      <c r="AZ58" s="29" t="n">
        <v>112.8999422093785</v>
      </c>
      <c r="BA58" s="29" t="n">
        <v>137.9731088521089</v>
      </c>
      <c r="BB58" s="29" t="n">
        <v>888.3551499427865</v>
      </c>
      <c r="BC58" s="29" t="n">
        <v>1689.988458576129</v>
      </c>
      <c r="BD58" s="29" t="n">
        <v>54.86515473816334</v>
      </c>
      <c r="BE58" s="29" t="n">
        <v>756.5036530335714</v>
      </c>
      <c r="BF58" s="29" t="n">
        <v>288.8161657157226</v>
      </c>
      <c r="BG58" s="29" t="n">
        <v>601.1452748659242</v>
      </c>
      <c r="BH58" s="29" t="n">
        <v>104.2446899041656</v>
      </c>
      <c r="BI58" s="29" t="n">
        <v>324.0418031192366</v>
      </c>
      <c r="BJ58" s="29" t="n">
        <v>24.58467638424511</v>
      </c>
      <c r="BK58" s="29" t="n">
        <v>1075.380459656992</v>
      </c>
      <c r="BL58" s="29" t="n">
        <v>210.0593653718068</v>
      </c>
      <c r="BM58" s="29" t="n">
        <v>1848.15800356643</v>
      </c>
      <c r="BN58" s="29" t="n">
        <v>529.8897562014266</v>
      </c>
      <c r="BO58" s="29" t="n">
        <v>5.378138434710544</v>
      </c>
      <c r="BP58" s="29" t="n">
        <v>90.36182051594363</v>
      </c>
      <c r="BQ58" s="29" t="n">
        <v>5579.821077246054</v>
      </c>
      <c r="BR58" s="29" t="n">
        <v>0</v>
      </c>
      <c r="BS58" s="29">
        <f>SUM(C58:BR58)</f>
        <v/>
      </c>
      <c r="BT58" s="29" t="n">
        <v>0</v>
      </c>
      <c r="BU58" s="29" t="n">
        <v>0</v>
      </c>
      <c r="BV58" s="29" t="n">
        <v>13175.78058371744</v>
      </c>
      <c r="BW58" s="29" t="n">
        <v>0</v>
      </c>
      <c r="BX58" s="29">
        <f>SUM(BT58:BW58)</f>
        <v/>
      </c>
      <c r="BY58" s="29">
        <f>BS58+BX58</f>
        <v/>
      </c>
    </row>
    <row r="59">
      <c r="A59" s="30" t="inlineStr">
        <is>
          <t>5280</t>
        </is>
      </c>
      <c r="B59" s="30" t="inlineStr">
        <is>
          <t>Armazenamento, atividades auxiliares dos transportes e correio</t>
        </is>
      </c>
      <c r="C59" s="31" t="n">
        <v>4320.917949527901</v>
      </c>
      <c r="D59" s="31" t="n">
        <v>91.76994573177194</v>
      </c>
      <c r="E59" s="31" t="n">
        <v>435.1490872127995</v>
      </c>
      <c r="F59" s="31" t="n">
        <v>64.97808961375084</v>
      </c>
      <c r="G59" s="31" t="n">
        <v>5816.128783429167</v>
      </c>
      <c r="H59" s="31" t="n">
        <v>6726.079176572221</v>
      </c>
      <c r="I59" s="31" t="n">
        <v>689.1796285621776</v>
      </c>
      <c r="J59" s="31" t="n">
        <v>5376.002194369455</v>
      </c>
      <c r="K59" s="31" t="n">
        <v>4725.658458777708</v>
      </c>
      <c r="L59" s="31" t="n">
        <v>5428.429615040845</v>
      </c>
      <c r="M59" s="31" t="n">
        <v>3132.761592970859</v>
      </c>
      <c r="N59" s="31" t="n">
        <v>54.72056475715831</v>
      </c>
      <c r="O59" s="31" t="n">
        <v>264.3442848468405</v>
      </c>
      <c r="P59" s="31" t="n">
        <v>166.8608205370133</v>
      </c>
      <c r="Q59" s="31" t="n">
        <v>196.9922719841144</v>
      </c>
      <c r="R59" s="31" t="n">
        <v>601.4009113240353</v>
      </c>
      <c r="S59" s="31" t="n">
        <v>2960.436704703695</v>
      </c>
      <c r="T59" s="31" t="n">
        <v>222.4420407131644</v>
      </c>
      <c r="U59" s="31" t="n">
        <v>1399.429255537733</v>
      </c>
      <c r="V59" s="31" t="n">
        <v>2626.205785098967</v>
      </c>
      <c r="W59" s="31" t="n">
        <v>2270.029601872762</v>
      </c>
      <c r="X59" s="31" t="n">
        <v>1316.902051915719</v>
      </c>
      <c r="Y59" s="31" t="n">
        <v>549.6330069632181</v>
      </c>
      <c r="Z59" s="31" t="n">
        <v>969.2209227469037</v>
      </c>
      <c r="AA59" s="31" t="n">
        <v>412.0210145261797</v>
      </c>
      <c r="AB59" s="31" t="n">
        <v>590.2686668341906</v>
      </c>
      <c r="AC59" s="31" t="n">
        <v>4705.584027403741</v>
      </c>
      <c r="AD59" s="31" t="n">
        <v>248.8262420088319</v>
      </c>
      <c r="AE59" s="31" t="n">
        <v>1502.554979479379</v>
      </c>
      <c r="AF59" s="31" t="n">
        <v>879.6104846206398</v>
      </c>
      <c r="AG59" s="31" t="n">
        <v>1324.20309847199</v>
      </c>
      <c r="AH59" s="31" t="n">
        <v>587.5056729432912</v>
      </c>
      <c r="AI59" s="31" t="n">
        <v>3673.594851987536</v>
      </c>
      <c r="AJ59" s="31" t="n">
        <v>939.8541437451054</v>
      </c>
      <c r="AK59" s="31" t="n">
        <v>333.8003073665599</v>
      </c>
      <c r="AL59" s="31" t="n">
        <v>583.2825774479115</v>
      </c>
      <c r="AM59" s="31" t="n">
        <v>287.2572756944667</v>
      </c>
      <c r="AN59" s="31" t="n">
        <v>584.2537414433988</v>
      </c>
      <c r="AO59" s="31" t="n">
        <v>37.46815356894091</v>
      </c>
      <c r="AP59" s="31" t="n">
        <v>802.4049193104993</v>
      </c>
      <c r="AQ59" s="31" t="n">
        <v>1005.390215028175</v>
      </c>
      <c r="AR59" s="31" t="n">
        <v>26516.04929724399</v>
      </c>
      <c r="AS59" s="31" t="n">
        <v>12866.4017589296</v>
      </c>
      <c r="AT59" s="31" t="n">
        <v>5261.85154744824</v>
      </c>
      <c r="AU59" s="31" t="n">
        <v>6538.506424429059</v>
      </c>
      <c r="AV59" s="31" t="n">
        <v>8640.746456357299</v>
      </c>
      <c r="AW59" s="31" t="n">
        <v>86.48221356862291</v>
      </c>
      <c r="AX59" s="31" t="n">
        <v>367.4575281255861</v>
      </c>
      <c r="AY59" s="31" t="n">
        <v>66.4591203821866</v>
      </c>
      <c r="AZ59" s="31" t="n">
        <v>104.1862627769602</v>
      </c>
      <c r="BA59" s="31" t="n">
        <v>644.6956291239392</v>
      </c>
      <c r="BB59" s="31" t="n">
        <v>357.0946617090472</v>
      </c>
      <c r="BC59" s="31" t="n">
        <v>4384.830039062769</v>
      </c>
      <c r="BD59" s="31" t="n">
        <v>238.2871850722682</v>
      </c>
      <c r="BE59" s="31" t="n">
        <v>939.1368485625371</v>
      </c>
      <c r="BF59" s="31" t="n">
        <v>343.551148371037</v>
      </c>
      <c r="BG59" s="31" t="n">
        <v>483.4118284936832</v>
      </c>
      <c r="BH59" s="31" t="n">
        <v>365.0913369987014</v>
      </c>
      <c r="BI59" s="31" t="n">
        <v>1255.133620172786</v>
      </c>
      <c r="BJ59" s="31" t="n">
        <v>119.0336177759432</v>
      </c>
      <c r="BK59" s="31" t="n">
        <v>4293.277144145928</v>
      </c>
      <c r="BL59" s="31" t="n">
        <v>408.7198351197117</v>
      </c>
      <c r="BM59" s="31" t="n">
        <v>722.0774200393304</v>
      </c>
      <c r="BN59" s="31" t="n">
        <v>646.2671427270362</v>
      </c>
      <c r="BO59" s="31" t="n">
        <v>403.7619152844449</v>
      </c>
      <c r="BP59" s="31" t="n">
        <v>111.0012698157761</v>
      </c>
      <c r="BQ59" s="31" t="n">
        <v>1967.398804908073</v>
      </c>
      <c r="BR59" s="31" t="n">
        <v>0</v>
      </c>
      <c r="BS59" s="31">
        <f>SUM(C59:BR59)</f>
        <v/>
      </c>
      <c r="BT59" s="31" t="n">
        <v>0</v>
      </c>
      <c r="BU59" s="31" t="n">
        <v>0</v>
      </c>
      <c r="BV59" s="31" t="n">
        <v>53307.52779678385</v>
      </c>
      <c r="BW59" s="31" t="n">
        <v>0</v>
      </c>
      <c r="BX59" s="31">
        <f>SUM(BT59:BW59)</f>
        <v/>
      </c>
      <c r="BY59" s="31">
        <f>BS59+BX59</f>
        <v/>
      </c>
    </row>
    <row r="60">
      <c r="A60" s="28" t="inlineStr">
        <is>
          <t>5500</t>
        </is>
      </c>
      <c r="B60" s="28" t="inlineStr">
        <is>
          <t>Alojamento</t>
        </is>
      </c>
      <c r="C60" s="29" t="n">
        <v>5.804421639687964</v>
      </c>
      <c r="D60" s="29" t="n">
        <v>0.9704776138044653</v>
      </c>
      <c r="E60" s="29" t="n">
        <v>4.837173211461206</v>
      </c>
      <c r="F60" s="29" t="n">
        <v>18.38403012080621</v>
      </c>
      <c r="G60" s="29" t="n">
        <v>453.5989381347016</v>
      </c>
      <c r="H60" s="29" t="n">
        <v>253.3108777050531</v>
      </c>
      <c r="I60" s="29" t="n">
        <v>27.0844383545712</v>
      </c>
      <c r="J60" s="29" t="n">
        <v>581.9477193122714</v>
      </c>
      <c r="K60" s="29" t="n">
        <v>75.57986353193084</v>
      </c>
      <c r="L60" s="29" t="n">
        <v>517.7320314128178</v>
      </c>
      <c r="M60" s="29" t="n">
        <v>89.94928096486203</v>
      </c>
      <c r="N60" s="29" t="n">
        <v>59.95844197397346</v>
      </c>
      <c r="O60" s="29" t="n">
        <v>44.69359611914552</v>
      </c>
      <c r="P60" s="29" t="n">
        <v>34.10482593729296</v>
      </c>
      <c r="Q60" s="29" t="n">
        <v>36.82276032754778</v>
      </c>
      <c r="R60" s="29" t="n">
        <v>21.33224274277863</v>
      </c>
      <c r="S60" s="29" t="n">
        <v>166.5299157108817</v>
      </c>
      <c r="T60" s="29" t="n">
        <v>11.63347647648704</v>
      </c>
      <c r="U60" s="29" t="n">
        <v>54.31064873519973</v>
      </c>
      <c r="V60" s="29" t="n">
        <v>47.63227909114119</v>
      </c>
      <c r="W60" s="29" t="n">
        <v>272.8251935068521</v>
      </c>
      <c r="X60" s="29" t="n">
        <v>250.4916945542756</v>
      </c>
      <c r="Y60" s="29" t="n">
        <v>60.03933945672691</v>
      </c>
      <c r="Z60" s="29" t="n">
        <v>347.2563405906353</v>
      </c>
      <c r="AA60" s="29" t="n">
        <v>187.9185758042754</v>
      </c>
      <c r="AB60" s="29" t="n">
        <v>152.9417800737428</v>
      </c>
      <c r="AC60" s="29" t="n">
        <v>322.1823984766845</v>
      </c>
      <c r="AD60" s="29" t="n">
        <v>73.49843100780123</v>
      </c>
      <c r="AE60" s="29" t="n">
        <v>282.5069716239933</v>
      </c>
      <c r="AF60" s="29" t="n">
        <v>189.6020232121361</v>
      </c>
      <c r="AG60" s="29" t="n">
        <v>195.3922003943524</v>
      </c>
      <c r="AH60" s="29" t="n">
        <v>530.0706922664875</v>
      </c>
      <c r="AI60" s="29" t="n">
        <v>190.4873387087015</v>
      </c>
      <c r="AJ60" s="29" t="n">
        <v>130.6229688198012</v>
      </c>
      <c r="AK60" s="29" t="n">
        <v>55.12976262885969</v>
      </c>
      <c r="AL60" s="29" t="n">
        <v>194.4863362200309</v>
      </c>
      <c r="AM60" s="29" t="n">
        <v>93.79346553786826</v>
      </c>
      <c r="AN60" s="29" t="n">
        <v>277.820147144586</v>
      </c>
      <c r="AO60" s="29" t="n">
        <v>25.35238081267197</v>
      </c>
      <c r="AP60" s="29" t="n">
        <v>1547.171719090668</v>
      </c>
      <c r="AQ60" s="29" t="n">
        <v>548.3817362439311</v>
      </c>
      <c r="AR60" s="29" t="n">
        <v>5153.449508544159</v>
      </c>
      <c r="AS60" s="29" t="n">
        <v>321.7119497846799</v>
      </c>
      <c r="AT60" s="29" t="n">
        <v>8.765890699465096</v>
      </c>
      <c r="AU60" s="29" t="n">
        <v>73.51450086441839</v>
      </c>
      <c r="AV60" s="29" t="n">
        <v>374.3989522102569</v>
      </c>
      <c r="AW60" s="29" t="n">
        <v>0.6403425473506102</v>
      </c>
      <c r="AX60" s="29" t="n">
        <v>47.30433474608537</v>
      </c>
      <c r="AY60" s="29" t="n">
        <v>82.27700079739846</v>
      </c>
      <c r="AZ60" s="29" t="n">
        <v>195.5486204545612</v>
      </c>
      <c r="BA60" s="29" t="n">
        <v>129.8794918951839</v>
      </c>
      <c r="BB60" s="29" t="n">
        <v>1160.63046656726</v>
      </c>
      <c r="BC60" s="29" t="n">
        <v>1267.102745412095</v>
      </c>
      <c r="BD60" s="29" t="n">
        <v>95.92329651061972</v>
      </c>
      <c r="BE60" s="29" t="n">
        <v>523.2994001298694</v>
      </c>
      <c r="BF60" s="29" t="n">
        <v>474.1966581870431</v>
      </c>
      <c r="BG60" s="29" t="n">
        <v>346.0633068632277</v>
      </c>
      <c r="BH60" s="29" t="n">
        <v>276.1746958402844</v>
      </c>
      <c r="BI60" s="29" t="n">
        <v>299.9115147870534</v>
      </c>
      <c r="BJ60" s="29" t="n">
        <v>71.71103615998054</v>
      </c>
      <c r="BK60" s="29" t="n">
        <v>2504.839286789033</v>
      </c>
      <c r="BL60" s="29" t="n">
        <v>246.8108426762496</v>
      </c>
      <c r="BM60" s="29" t="n">
        <v>558.9524248689396</v>
      </c>
      <c r="BN60" s="29" t="n">
        <v>574.4358491319438</v>
      </c>
      <c r="BO60" s="29" t="n">
        <v>1.665311901103265</v>
      </c>
      <c r="BP60" s="29" t="n">
        <v>203.3320977116997</v>
      </c>
      <c r="BQ60" s="29" t="n">
        <v>8355.450390930837</v>
      </c>
      <c r="BR60" s="29" t="n">
        <v>0</v>
      </c>
      <c r="BS60" s="29">
        <f>SUM(C60:BR60)</f>
        <v/>
      </c>
      <c r="BT60" s="29" t="n">
        <v>0</v>
      </c>
      <c r="BU60" s="29" t="n">
        <v>0</v>
      </c>
      <c r="BV60" s="29" t="n">
        <v>8486.160211948245</v>
      </c>
      <c r="BW60" s="29" t="n">
        <v>0</v>
      </c>
      <c r="BX60" s="29">
        <f>SUM(BT60:BW60)</f>
        <v/>
      </c>
      <c r="BY60" s="29">
        <f>BS60+BX60</f>
        <v/>
      </c>
    </row>
    <row r="61">
      <c r="A61" s="30" t="inlineStr">
        <is>
          <t>5600</t>
        </is>
      </c>
      <c r="B61" s="30" t="inlineStr">
        <is>
          <t>Alimentação</t>
        </is>
      </c>
      <c r="C61" s="31" t="n">
        <v>11.88191414994759</v>
      </c>
      <c r="D61" s="31" t="n">
        <v>1.569561649065412</v>
      </c>
      <c r="E61" s="31" t="n">
        <v>3.877305995104474</v>
      </c>
      <c r="F61" s="31" t="n">
        <v>4.905870437705612</v>
      </c>
      <c r="G61" s="31" t="n">
        <v>513.322070273452</v>
      </c>
      <c r="H61" s="31" t="n">
        <v>60.94390741468398</v>
      </c>
      <c r="I61" s="31" t="n">
        <v>17.19193853124172</v>
      </c>
      <c r="J61" s="31" t="n">
        <v>14.97662249697329</v>
      </c>
      <c r="K61" s="31" t="n">
        <v>12.41537043158773</v>
      </c>
      <c r="L61" s="31" t="n">
        <v>246.7633122637367</v>
      </c>
      <c r="M61" s="31" t="n">
        <v>8.098244956576645</v>
      </c>
      <c r="N61" s="31" t="n">
        <v>1.342999804347544</v>
      </c>
      <c r="O61" s="31" t="n">
        <v>16.78708668769678</v>
      </c>
      <c r="P61" s="31" t="n">
        <v>6.359919740032036</v>
      </c>
      <c r="Q61" s="31" t="n">
        <v>1.588325253817018</v>
      </c>
      <c r="R61" s="31" t="n">
        <v>3.768739448929791</v>
      </c>
      <c r="S61" s="31" t="n">
        <v>22.37398978906827</v>
      </c>
      <c r="T61" s="31" t="n">
        <v>23.89918267940854</v>
      </c>
      <c r="U61" s="31" t="n">
        <v>11.76497541083258</v>
      </c>
      <c r="V61" s="31" t="n">
        <v>8.563328694070647</v>
      </c>
      <c r="W61" s="31" t="n">
        <v>213.1173802731415</v>
      </c>
      <c r="X61" s="31" t="n">
        <v>191.5636506922314</v>
      </c>
      <c r="Y61" s="31" t="n">
        <v>3.682365831313867</v>
      </c>
      <c r="Z61" s="31" t="n">
        <v>400.8038065308971</v>
      </c>
      <c r="AA61" s="31" t="n">
        <v>34.40622276652581</v>
      </c>
      <c r="AB61" s="31" t="n">
        <v>8.733217557812393</v>
      </c>
      <c r="AC61" s="31" t="n">
        <v>53.3924719522721</v>
      </c>
      <c r="AD61" s="31" t="n">
        <v>95.71117335463568</v>
      </c>
      <c r="AE61" s="31" t="n">
        <v>61.23314840480813</v>
      </c>
      <c r="AF61" s="31" t="n">
        <v>11.08296347935238</v>
      </c>
      <c r="AG61" s="31" t="n">
        <v>4.734160681093086</v>
      </c>
      <c r="AH61" s="31" t="n">
        <v>182.28606597525</v>
      </c>
      <c r="AI61" s="31" t="n">
        <v>456.5797100212415</v>
      </c>
      <c r="AJ61" s="31" t="n">
        <v>28.96256671842234</v>
      </c>
      <c r="AK61" s="31" t="n">
        <v>9.384323797922372</v>
      </c>
      <c r="AL61" s="31" t="n">
        <v>5.979252734843492</v>
      </c>
      <c r="AM61" s="31" t="n">
        <v>111.6150006753514</v>
      </c>
      <c r="AN61" s="31" t="n">
        <v>353.3353313591364</v>
      </c>
      <c r="AO61" s="31" t="n">
        <v>31.49975266482642</v>
      </c>
      <c r="AP61" s="31" t="n">
        <v>46.57734042642296</v>
      </c>
      <c r="AQ61" s="31" t="n">
        <v>258.6146545908093</v>
      </c>
      <c r="AR61" s="31" t="n">
        <v>1401.001412586388</v>
      </c>
      <c r="AS61" s="31" t="n">
        <v>88.76585578439074</v>
      </c>
      <c r="AT61" s="31" t="n">
        <v>24.25486186115955</v>
      </c>
      <c r="AU61" s="31" t="n">
        <v>803.8426221490971</v>
      </c>
      <c r="AV61" s="31" t="n">
        <v>113.6156557789397</v>
      </c>
      <c r="AW61" s="31" t="n">
        <v>382.9331850943063</v>
      </c>
      <c r="AX61" s="31" t="n">
        <v>53.33674097368434</v>
      </c>
      <c r="AY61" s="31" t="n">
        <v>10.87177998486644</v>
      </c>
      <c r="AZ61" s="31" t="n">
        <v>922.0510204454987</v>
      </c>
      <c r="BA61" s="31" t="n">
        <v>119.5029403022112</v>
      </c>
      <c r="BB61" s="31" t="n">
        <v>128.708149585809</v>
      </c>
      <c r="BC61" s="31" t="n">
        <v>3473.169673568789</v>
      </c>
      <c r="BD61" s="31" t="n">
        <v>110.8154264567853</v>
      </c>
      <c r="BE61" s="31" t="n">
        <v>2095.157825823933</v>
      </c>
      <c r="BF61" s="31" t="n">
        <v>22.23913023055545</v>
      </c>
      <c r="BG61" s="31" t="n">
        <v>415.8891740027005</v>
      </c>
      <c r="BH61" s="31" t="n">
        <v>35.85204639996425</v>
      </c>
      <c r="BI61" s="31" t="n">
        <v>1981.097760464506</v>
      </c>
      <c r="BJ61" s="31" t="n">
        <v>12.57239513681165</v>
      </c>
      <c r="BK61" s="31" t="n">
        <v>12011.27525912221</v>
      </c>
      <c r="BL61" s="31" t="n">
        <v>2181.170671125711</v>
      </c>
      <c r="BM61" s="31" t="n">
        <v>436.3592940495363</v>
      </c>
      <c r="BN61" s="31" t="n">
        <v>7264.978416231279</v>
      </c>
      <c r="BO61" s="31" t="n">
        <v>5089.395784722338</v>
      </c>
      <c r="BP61" s="31" t="n">
        <v>87.81663120660187</v>
      </c>
      <c r="BQ61" s="31" t="n">
        <v>13327.78129497551</v>
      </c>
      <c r="BR61" s="31" t="n">
        <v>0</v>
      </c>
      <c r="BS61" s="31">
        <f>SUM(C61:BR61)</f>
        <v/>
      </c>
      <c r="BT61" s="31" t="n">
        <v>0</v>
      </c>
      <c r="BU61" s="31" t="n">
        <v>0</v>
      </c>
      <c r="BV61" s="31" t="n">
        <v>238302.3539515435</v>
      </c>
      <c r="BW61" s="31" t="n">
        <v>0</v>
      </c>
      <c r="BX61" s="31">
        <f>SUM(BT61:BW61)</f>
        <v/>
      </c>
      <c r="BY61" s="31">
        <f>BS61+BX61</f>
        <v/>
      </c>
    </row>
    <row r="62">
      <c r="A62" s="28" t="inlineStr">
        <is>
          <t>5800</t>
        </is>
      </c>
      <c r="B62" s="28" t="inlineStr">
        <is>
          <t>Edição e edição integrada à impressão</t>
        </is>
      </c>
      <c r="C62" s="29" t="n">
        <v>0.2983756326718964</v>
      </c>
      <c r="D62" s="29" t="n">
        <v>0.004262411574894012</v>
      </c>
      <c r="E62" s="29" t="n">
        <v>0.07797627604373286</v>
      </c>
      <c r="F62" s="29" t="n">
        <v>0.02009614767382911</v>
      </c>
      <c r="G62" s="29" t="n">
        <v>0.6794296567313207</v>
      </c>
      <c r="H62" s="29" t="n">
        <v>1.11855992817803</v>
      </c>
      <c r="I62" s="29" t="n">
        <v>0.1664911959211155</v>
      </c>
      <c r="J62" s="29" t="n">
        <v>2.823044056857094</v>
      </c>
      <c r="K62" s="29" t="n">
        <v>0.9255756964115546</v>
      </c>
      <c r="L62" s="29" t="n">
        <v>2.85521553584923</v>
      </c>
      <c r="M62" s="29" t="n">
        <v>8.52318229689503</v>
      </c>
      <c r="N62" s="29" t="n">
        <v>0.03476000284713315</v>
      </c>
      <c r="O62" s="29" t="n">
        <v>0.5420166576450021</v>
      </c>
      <c r="P62" s="29" t="n">
        <v>0.557697956674016</v>
      </c>
      <c r="Q62" s="29" t="n">
        <v>0.1727892235225205</v>
      </c>
      <c r="R62" s="29" t="n">
        <v>1.012759719230135</v>
      </c>
      <c r="S62" s="29" t="n">
        <v>5.958224270635192</v>
      </c>
      <c r="T62" s="29" t="n">
        <v>31.08883898017376</v>
      </c>
      <c r="U62" s="29" t="n">
        <v>0.3043404230683967</v>
      </c>
      <c r="V62" s="29" t="n">
        <v>0.7042447116197706</v>
      </c>
      <c r="W62" s="29" t="n">
        <v>351.4552355372365</v>
      </c>
      <c r="X62" s="29" t="n">
        <v>0.8172923517147322</v>
      </c>
      <c r="Y62" s="29" t="n">
        <v>0.1489568444226844</v>
      </c>
      <c r="Z62" s="29" t="n">
        <v>0.6224248187890823</v>
      </c>
      <c r="AA62" s="29" t="n">
        <v>1.140761230999654</v>
      </c>
      <c r="AB62" s="29" t="n">
        <v>0.4462839915630312</v>
      </c>
      <c r="AC62" s="29" t="n">
        <v>0.8207236988702241</v>
      </c>
      <c r="AD62" s="29" t="n">
        <v>0.1177348422109727</v>
      </c>
      <c r="AE62" s="29" t="n">
        <v>0.8935831723812537</v>
      </c>
      <c r="AF62" s="29" t="n">
        <v>5.06356878051206</v>
      </c>
      <c r="AG62" s="29" t="n">
        <v>0.4175746019333277</v>
      </c>
      <c r="AH62" s="29" t="n">
        <v>0.9373227791146514</v>
      </c>
      <c r="AI62" s="29" t="n">
        <v>0.7788840366833205</v>
      </c>
      <c r="AJ62" s="29" t="n">
        <v>6.563155492088365</v>
      </c>
      <c r="AK62" s="29" t="n">
        <v>0.1546156475032744</v>
      </c>
      <c r="AL62" s="29" t="n">
        <v>0.9361807918772387</v>
      </c>
      <c r="AM62" s="29" t="n">
        <v>24.22301244434504</v>
      </c>
      <c r="AN62" s="29" t="n">
        <v>107.4647948638738</v>
      </c>
      <c r="AO62" s="29" t="n">
        <v>8.264348695069335</v>
      </c>
      <c r="AP62" s="29" t="n">
        <v>1.548014537304743</v>
      </c>
      <c r="AQ62" s="29" t="n">
        <v>4.989433393376483</v>
      </c>
      <c r="AR62" s="29" t="n">
        <v>663.857076236294</v>
      </c>
      <c r="AS62" s="29" t="n">
        <v>2.049728930606315</v>
      </c>
      <c r="AT62" s="29" t="n">
        <v>0.09252019169951554</v>
      </c>
      <c r="AU62" s="29" t="n">
        <v>0.8107625529586815</v>
      </c>
      <c r="AV62" s="29" t="n">
        <v>4.114299237294307</v>
      </c>
      <c r="AW62" s="29" t="n">
        <v>80.09618504727113</v>
      </c>
      <c r="AX62" s="29" t="n">
        <v>4.614407735984652</v>
      </c>
      <c r="AY62" s="29" t="n">
        <v>52.13133161359764</v>
      </c>
      <c r="AZ62" s="29" t="n">
        <v>8.563899252824399</v>
      </c>
      <c r="BA62" s="29" t="n">
        <v>159.3468003153233</v>
      </c>
      <c r="BB62" s="29" t="n">
        <v>22.66457186048081</v>
      </c>
      <c r="BC62" s="29" t="n">
        <v>1703.602595363406</v>
      </c>
      <c r="BD62" s="29" t="n">
        <v>75.27432236176907</v>
      </c>
      <c r="BE62" s="29" t="n">
        <v>456.4586783099152</v>
      </c>
      <c r="BF62" s="29" t="n">
        <v>216.0503587315541</v>
      </c>
      <c r="BG62" s="29" t="n">
        <v>5060.130239079494</v>
      </c>
      <c r="BH62" s="29" t="n">
        <v>39.36735483864337</v>
      </c>
      <c r="BI62" s="29" t="n">
        <v>53.45918147097106</v>
      </c>
      <c r="BJ62" s="29" t="n">
        <v>0.2387483738027825</v>
      </c>
      <c r="BK62" s="29" t="n">
        <v>1933.496690417931</v>
      </c>
      <c r="BL62" s="29" t="n">
        <v>4303.167435964747</v>
      </c>
      <c r="BM62" s="29" t="n">
        <v>2487.115829574671</v>
      </c>
      <c r="BN62" s="29" t="n">
        <v>97.90641177880016</v>
      </c>
      <c r="BO62" s="29" t="n">
        <v>182.3477603402162</v>
      </c>
      <c r="BP62" s="29" t="n">
        <v>12.0134150054721</v>
      </c>
      <c r="BQ62" s="29" t="n">
        <v>224.2373026822308</v>
      </c>
      <c r="BR62" s="29" t="n">
        <v>0</v>
      </c>
      <c r="BS62" s="29">
        <f>SUM(C62:BR62)</f>
        <v/>
      </c>
      <c r="BT62" s="29" t="n">
        <v>0</v>
      </c>
      <c r="BU62" s="29" t="n">
        <v>0</v>
      </c>
      <c r="BV62" s="29" t="n">
        <v>7490.023915252969</v>
      </c>
      <c r="BW62" s="29" t="n">
        <v>0</v>
      </c>
      <c r="BX62" s="29">
        <f>SUM(BT62:BW62)</f>
        <v/>
      </c>
      <c r="BY62" s="29">
        <f>BS62+BX62</f>
        <v/>
      </c>
    </row>
    <row r="63">
      <c r="A63" s="30" t="inlineStr">
        <is>
          <t>5980</t>
        </is>
      </c>
      <c r="B63" s="30" t="inlineStr">
        <is>
          <t>Atividades de televisão, rádio, cinema e  gravação/edição de som e imagem</t>
        </is>
      </c>
      <c r="C63" s="31" t="n">
        <v>0.001654357839114834</v>
      </c>
      <c r="D63" s="31" t="n">
        <v>0.001312997473600663</v>
      </c>
      <c r="E63" s="31" t="n">
        <v>0.001415770299901587</v>
      </c>
      <c r="F63" s="31" t="n">
        <v>0.006491609261847067</v>
      </c>
      <c r="G63" s="31" t="n">
        <v>0.09014846218540842</v>
      </c>
      <c r="H63" s="31" t="n">
        <v>0.02220994101087673</v>
      </c>
      <c r="I63" s="31" t="n">
        <v>0.006904815717661879</v>
      </c>
      <c r="J63" s="31" t="n">
        <v>0.3814083189506547</v>
      </c>
      <c r="K63" s="31" t="n">
        <v>0.06471747555245749</v>
      </c>
      <c r="L63" s="31" t="n">
        <v>0.2245784108612856</v>
      </c>
      <c r="M63" s="31" t="n">
        <v>0.01971399845950997</v>
      </c>
      <c r="N63" s="31" t="n">
        <v>0.01097925710503153</v>
      </c>
      <c r="O63" s="31" t="n">
        <v>0.08015418525736245</v>
      </c>
      <c r="P63" s="31" t="n">
        <v>0.09526893669859798</v>
      </c>
      <c r="Q63" s="31" t="n">
        <v>0.03433107548144043</v>
      </c>
      <c r="R63" s="31" t="n">
        <v>0.02506073535459075</v>
      </c>
      <c r="S63" s="31" t="n">
        <v>0.1035088399800923</v>
      </c>
      <c r="T63" s="31" t="n">
        <v>0.01179604314470574</v>
      </c>
      <c r="U63" s="31" t="n">
        <v>0.06373124977850414</v>
      </c>
      <c r="V63" s="31" t="n">
        <v>0.09420933281848842</v>
      </c>
      <c r="W63" s="31" t="n">
        <v>0.08873552823182762</v>
      </c>
      <c r="X63" s="31" t="n">
        <v>0.05405010476533889</v>
      </c>
      <c r="Y63" s="31" t="n">
        <v>0.03755365311937004</v>
      </c>
      <c r="Z63" s="31" t="n">
        <v>0.08991271099251608</v>
      </c>
      <c r="AA63" s="31" t="n">
        <v>0.1419741054672712</v>
      </c>
      <c r="AB63" s="31" t="n">
        <v>0.07971858169846913</v>
      </c>
      <c r="AC63" s="31" t="n">
        <v>0.1103624573062656</v>
      </c>
      <c r="AD63" s="31" t="n">
        <v>0.01480263743793211</v>
      </c>
      <c r="AE63" s="31" t="n">
        <v>0.09469868469630305</v>
      </c>
      <c r="AF63" s="31" t="n">
        <v>0.0536940867034808</v>
      </c>
      <c r="AG63" s="31" t="n">
        <v>0.0519556266472202</v>
      </c>
      <c r="AH63" s="31" t="n">
        <v>0.1422447757150163</v>
      </c>
      <c r="AI63" s="31" t="n">
        <v>0.02360572607417825</v>
      </c>
      <c r="AJ63" s="31" t="n">
        <v>0.0448317048196465</v>
      </c>
      <c r="AK63" s="31" t="n">
        <v>0.01197124519606279</v>
      </c>
      <c r="AL63" s="31" t="n">
        <v>0.07101316603365837</v>
      </c>
      <c r="AM63" s="31" t="n">
        <v>0.01149501899873641</v>
      </c>
      <c r="AN63" s="31" t="n">
        <v>0.1371881420604637</v>
      </c>
      <c r="AO63" s="31" t="n">
        <v>0.07431641611067763</v>
      </c>
      <c r="AP63" s="31" t="n">
        <v>0.2098365605472598</v>
      </c>
      <c r="AQ63" s="31" t="n">
        <v>0.7585697266872702</v>
      </c>
      <c r="AR63" s="31" t="n">
        <v>8.980910193010345</v>
      </c>
      <c r="AS63" s="31" t="n">
        <v>1.269301098552525</v>
      </c>
      <c r="AT63" s="31" t="n">
        <v>0.02236917073844507</v>
      </c>
      <c r="AU63" s="31" t="n">
        <v>0.01798028280875015</v>
      </c>
      <c r="AV63" s="31" t="n">
        <v>0.7598439199571816</v>
      </c>
      <c r="AW63" s="31" t="n">
        <v>3.213138192668919</v>
      </c>
      <c r="AX63" s="31" t="n">
        <v>0.9547954902536301</v>
      </c>
      <c r="AY63" s="31" t="n">
        <v>9.034323029819674</v>
      </c>
      <c r="AZ63" s="31" t="n">
        <v>6885.373197826329</v>
      </c>
      <c r="BA63" s="31" t="n">
        <v>5102.950650947107</v>
      </c>
      <c r="BB63" s="31" t="n">
        <v>1.568444971349763</v>
      </c>
      <c r="BC63" s="31" t="n">
        <v>2.939973660261906</v>
      </c>
      <c r="BD63" s="31" t="n">
        <v>0.402361919232031</v>
      </c>
      <c r="BE63" s="31" t="n">
        <v>1.101472792131967</v>
      </c>
      <c r="BF63" s="31" t="n">
        <v>0.1905805524527426</v>
      </c>
      <c r="BG63" s="31" t="n">
        <v>33236.5083302401</v>
      </c>
      <c r="BH63" s="31" t="n">
        <v>0.2338852535437421</v>
      </c>
      <c r="BI63" s="31" t="n">
        <v>42.71293891342386</v>
      </c>
      <c r="BJ63" s="31" t="n">
        <v>3.059739006234033</v>
      </c>
      <c r="BK63" s="31" t="n">
        <v>0.4589927312280944</v>
      </c>
      <c r="BL63" s="31" t="n">
        <v>0.1108548144822942</v>
      </c>
      <c r="BM63" s="31" t="n">
        <v>1.06268506457382</v>
      </c>
      <c r="BN63" s="31" t="n">
        <v>0.09414872494345551</v>
      </c>
      <c r="BO63" s="31" t="n">
        <v>0.5596539995510973</v>
      </c>
      <c r="BP63" s="31" t="n">
        <v>116.6870118043555</v>
      </c>
      <c r="BQ63" s="31" t="n">
        <v>0.7264978246527271</v>
      </c>
      <c r="BR63" s="31" t="n">
        <v>0</v>
      </c>
      <c r="BS63" s="31">
        <f>SUM(C63:BR63)</f>
        <v/>
      </c>
      <c r="BT63" s="31" t="n">
        <v>0</v>
      </c>
      <c r="BU63" s="31" t="n">
        <v>0</v>
      </c>
      <c r="BV63" s="31" t="n">
        <v>3173.415218543139</v>
      </c>
      <c r="BW63" s="31" t="n">
        <v>0</v>
      </c>
      <c r="BX63" s="31">
        <f>SUM(BT63:BW63)</f>
        <v/>
      </c>
      <c r="BY63" s="31">
        <f>BS63+BX63</f>
        <v/>
      </c>
    </row>
    <row r="64">
      <c r="A64" s="28" t="inlineStr">
        <is>
          <t>6100</t>
        </is>
      </c>
      <c r="B64" s="28" t="inlineStr">
        <is>
          <t>Telecomunicações</t>
        </is>
      </c>
      <c r="C64" s="29" t="n">
        <v>8.030017855496245</v>
      </c>
      <c r="D64" s="29" t="n">
        <v>4.02265956317688</v>
      </c>
      <c r="E64" s="29" t="n">
        <v>9.021662108630641</v>
      </c>
      <c r="F64" s="29" t="n">
        <v>36.16091189363699</v>
      </c>
      <c r="G64" s="29" t="n">
        <v>925.3849290140566</v>
      </c>
      <c r="H64" s="29" t="n">
        <v>266.4226040868677</v>
      </c>
      <c r="I64" s="29" t="n">
        <v>37.16066000807069</v>
      </c>
      <c r="J64" s="29" t="n">
        <v>1001.739920472426</v>
      </c>
      <c r="K64" s="29" t="n">
        <v>343.7106403397137</v>
      </c>
      <c r="L64" s="29" t="n">
        <v>1698.721852852979</v>
      </c>
      <c r="M64" s="29" t="n">
        <v>457.2908733323058</v>
      </c>
      <c r="N64" s="29" t="n">
        <v>25.63956485564123</v>
      </c>
      <c r="O64" s="29" t="n">
        <v>258.9148262470865</v>
      </c>
      <c r="P64" s="29" t="n">
        <v>634.343325984642</v>
      </c>
      <c r="Q64" s="29" t="n">
        <v>157.5252842474513</v>
      </c>
      <c r="R64" s="29" t="n">
        <v>194.1372772447541</v>
      </c>
      <c r="S64" s="29" t="n">
        <v>592.4924935218742</v>
      </c>
      <c r="T64" s="29" t="n">
        <v>339.1923730211781</v>
      </c>
      <c r="U64" s="29" t="n">
        <v>298.6338075577505</v>
      </c>
      <c r="V64" s="29" t="n">
        <v>299.3678096736599</v>
      </c>
      <c r="W64" s="29" t="n">
        <v>470.8408065590748</v>
      </c>
      <c r="X64" s="29" t="n">
        <v>340.395536338152</v>
      </c>
      <c r="Y64" s="29" t="n">
        <v>38.31810037239198</v>
      </c>
      <c r="Z64" s="29" t="n">
        <v>303.0927784553157</v>
      </c>
      <c r="AA64" s="29" t="n">
        <v>441.4084233359531</v>
      </c>
      <c r="AB64" s="29" t="n">
        <v>594.8919401675515</v>
      </c>
      <c r="AC64" s="29" t="n">
        <v>249.7521823933131</v>
      </c>
      <c r="AD64" s="29" t="n">
        <v>93.02012559616549</v>
      </c>
      <c r="AE64" s="29" t="n">
        <v>505.1204467179795</v>
      </c>
      <c r="AF64" s="29" t="n">
        <v>864.8614539409</v>
      </c>
      <c r="AG64" s="29" t="n">
        <v>517.2761322282373</v>
      </c>
      <c r="AH64" s="29" t="n">
        <v>630.3173377141206</v>
      </c>
      <c r="AI64" s="29" t="n">
        <v>1280.410852773863</v>
      </c>
      <c r="AJ64" s="29" t="n">
        <v>1348.799989850044</v>
      </c>
      <c r="AK64" s="29" t="n">
        <v>150.5450955119824</v>
      </c>
      <c r="AL64" s="29" t="n">
        <v>589.0711348726338</v>
      </c>
      <c r="AM64" s="29" t="n">
        <v>122.188518809528</v>
      </c>
      <c r="AN64" s="29" t="n">
        <v>302.7851723640758</v>
      </c>
      <c r="AO64" s="29" t="n">
        <v>219.2943681839725</v>
      </c>
      <c r="AP64" s="29" t="n">
        <v>1167.44209547094</v>
      </c>
      <c r="AQ64" s="29" t="n">
        <v>1246.345523968351</v>
      </c>
      <c r="AR64" s="29" t="n">
        <v>8730.500887686401</v>
      </c>
      <c r="AS64" s="29" t="n">
        <v>1138.250884966799</v>
      </c>
      <c r="AT64" s="29" t="n">
        <v>55.36021958220925</v>
      </c>
      <c r="AU64" s="29" t="n">
        <v>57.28690933732617</v>
      </c>
      <c r="AV64" s="29" t="n">
        <v>1180.380280273218</v>
      </c>
      <c r="AW64" s="29" t="n">
        <v>258.5218555334815</v>
      </c>
      <c r="AX64" s="29" t="n">
        <v>767.7040507675913</v>
      </c>
      <c r="AY64" s="29" t="n">
        <v>102.9701002961484</v>
      </c>
      <c r="AZ64" s="29" t="n">
        <v>324.0824186599858</v>
      </c>
      <c r="BA64" s="29" t="n">
        <v>20436.29595843465</v>
      </c>
      <c r="BB64" s="29" t="n">
        <v>3066.885786632445</v>
      </c>
      <c r="BC64" s="29" t="n">
        <v>7815.145993944297</v>
      </c>
      <c r="BD64" s="29" t="n">
        <v>660.5484463475523</v>
      </c>
      <c r="BE64" s="29" t="n">
        <v>3243.997595387643</v>
      </c>
      <c r="BF64" s="29" t="n">
        <v>495.3077008015982</v>
      </c>
      <c r="BG64" s="29" t="n">
        <v>4062.994209104138</v>
      </c>
      <c r="BH64" s="29" t="n">
        <v>171.1950872683503</v>
      </c>
      <c r="BI64" s="29" t="n">
        <v>2437.3585955246</v>
      </c>
      <c r="BJ64" s="29" t="n">
        <v>354.0056678469342</v>
      </c>
      <c r="BK64" s="29" t="n">
        <v>5477.497040889203</v>
      </c>
      <c r="BL64" s="29" t="n">
        <v>1235.587137255873</v>
      </c>
      <c r="BM64" s="29" t="n">
        <v>1707.324772418443</v>
      </c>
      <c r="BN64" s="29" t="n">
        <v>635.4332192326818</v>
      </c>
      <c r="BO64" s="29" t="n">
        <v>1231.127900205294</v>
      </c>
      <c r="BP64" s="29" t="n">
        <v>289.6939486764927</v>
      </c>
      <c r="BQ64" s="29" t="n">
        <v>1982.67611012205</v>
      </c>
      <c r="BR64" s="29" t="n">
        <v>0</v>
      </c>
      <c r="BS64" s="29">
        <f>SUM(C64:BR64)</f>
        <v/>
      </c>
      <c r="BT64" s="29" t="n">
        <v>0</v>
      </c>
      <c r="BU64" s="29" t="n">
        <v>0</v>
      </c>
      <c r="BV64" s="29" t="n">
        <v>113484.8454765336</v>
      </c>
      <c r="BW64" s="29" t="n">
        <v>0</v>
      </c>
      <c r="BX64" s="29">
        <f>SUM(BT64:BW64)</f>
        <v/>
      </c>
      <c r="BY64" s="29">
        <f>BS64+BX64</f>
        <v/>
      </c>
    </row>
    <row r="65">
      <c r="A65" s="30" t="inlineStr">
        <is>
          <t>6280</t>
        </is>
      </c>
      <c r="B65" s="30" t="inlineStr">
        <is>
          <t>Desenvolvimento de sistemas e outros serviços de informação</t>
        </is>
      </c>
      <c r="C65" s="31" t="n">
        <v>34.41018805740571</v>
      </c>
      <c r="D65" s="31" t="n">
        <v>12.82146950632145</v>
      </c>
      <c r="E65" s="31" t="n">
        <v>1.007796845068406</v>
      </c>
      <c r="F65" s="31" t="n">
        <v>1.318297294905999</v>
      </c>
      <c r="G65" s="31" t="n">
        <v>163.2687078917252</v>
      </c>
      <c r="H65" s="31" t="n">
        <v>923.4199823180413</v>
      </c>
      <c r="I65" s="31" t="n">
        <v>59.03512205243261</v>
      </c>
      <c r="J65" s="31" t="n">
        <v>880.8469367235202</v>
      </c>
      <c r="K65" s="31" t="n">
        <v>52.88517616134979</v>
      </c>
      <c r="L65" s="31" t="n">
        <v>1638.09430507255</v>
      </c>
      <c r="M65" s="31" t="n">
        <v>124.5110239207444</v>
      </c>
      <c r="N65" s="31" t="n">
        <v>76.54462657548159</v>
      </c>
      <c r="O65" s="31" t="n">
        <v>67.98515247758256</v>
      </c>
      <c r="P65" s="31" t="n">
        <v>69.29354744502209</v>
      </c>
      <c r="Q65" s="31" t="n">
        <v>19.79031581640338</v>
      </c>
      <c r="R65" s="31" t="n">
        <v>35.9930209126729</v>
      </c>
      <c r="S65" s="31" t="n">
        <v>464.7142564491822</v>
      </c>
      <c r="T65" s="31" t="n">
        <v>2.277851255678574</v>
      </c>
      <c r="U65" s="31" t="n">
        <v>83.47361764928006</v>
      </c>
      <c r="V65" s="31" t="n">
        <v>6.727154479720994</v>
      </c>
      <c r="W65" s="31" t="n">
        <v>900.4563558216605</v>
      </c>
      <c r="X65" s="31" t="n">
        <v>463.1540292856775</v>
      </c>
      <c r="Y65" s="31" t="n">
        <v>39.63001270416432</v>
      </c>
      <c r="Z65" s="31" t="n">
        <v>732.8006456317954</v>
      </c>
      <c r="AA65" s="31" t="n">
        <v>289.0755115559101</v>
      </c>
      <c r="AB65" s="31" t="n">
        <v>176.4025227637779</v>
      </c>
      <c r="AC65" s="31" t="n">
        <v>353.8375997741165</v>
      </c>
      <c r="AD65" s="31" t="n">
        <v>60.70669017636022</v>
      </c>
      <c r="AE65" s="31" t="n">
        <v>227.5986080303064</v>
      </c>
      <c r="AF65" s="31" t="n">
        <v>323.0097460457045</v>
      </c>
      <c r="AG65" s="31" t="n">
        <v>578.123930300597</v>
      </c>
      <c r="AH65" s="31" t="n">
        <v>420.3842886190279</v>
      </c>
      <c r="AI65" s="31" t="n">
        <v>1199.824930251951</v>
      </c>
      <c r="AJ65" s="31" t="n">
        <v>235.1741485849778</v>
      </c>
      <c r="AK65" s="31" t="n">
        <v>87.9356443974181</v>
      </c>
      <c r="AL65" s="31" t="n">
        <v>257.9925033270342</v>
      </c>
      <c r="AM65" s="31" t="n">
        <v>192.8788814447618</v>
      </c>
      <c r="AN65" s="31" t="n">
        <v>1610.645362774549</v>
      </c>
      <c r="AO65" s="31" t="n">
        <v>734.2493423246127</v>
      </c>
      <c r="AP65" s="31" t="n">
        <v>671.0829896451343</v>
      </c>
      <c r="AQ65" s="31" t="n">
        <v>737.0944067738975</v>
      </c>
      <c r="AR65" s="31" t="n">
        <v>16367.9848062525</v>
      </c>
      <c r="AS65" s="31" t="n">
        <v>1671.691889487947</v>
      </c>
      <c r="AT65" s="31" t="n">
        <v>1.575048449848694</v>
      </c>
      <c r="AU65" s="31" t="n">
        <v>993.7953072943476</v>
      </c>
      <c r="AV65" s="31" t="n">
        <v>2821.888373708679</v>
      </c>
      <c r="AW65" s="31" t="n">
        <v>102.0510830898766</v>
      </c>
      <c r="AX65" s="31" t="n">
        <v>169.8686673249791</v>
      </c>
      <c r="AY65" s="31" t="n">
        <v>642.2839230700049</v>
      </c>
      <c r="AZ65" s="31" t="n">
        <v>1715.485139328552</v>
      </c>
      <c r="BA65" s="31" t="n">
        <v>4076.264877483741</v>
      </c>
      <c r="BB65" s="31" t="n">
        <v>26050.56377074532</v>
      </c>
      <c r="BC65" s="31" t="n">
        <v>24262.71455887359</v>
      </c>
      <c r="BD65" s="31" t="n">
        <v>543.4033551799459</v>
      </c>
      <c r="BE65" s="31" t="n">
        <v>4841.643800525329</v>
      </c>
      <c r="BF65" s="31" t="n">
        <v>112.1811700832085</v>
      </c>
      <c r="BG65" s="31" t="n">
        <v>18951.5380564857</v>
      </c>
      <c r="BH65" s="31" t="n">
        <v>724.6231733084833</v>
      </c>
      <c r="BI65" s="31" t="n">
        <v>1962.402140248867</v>
      </c>
      <c r="BJ65" s="31" t="n">
        <v>370.5361803804095</v>
      </c>
      <c r="BK65" s="31" t="n">
        <v>21103.36889861058</v>
      </c>
      <c r="BL65" s="31" t="n">
        <v>2097.797178676948</v>
      </c>
      <c r="BM65" s="31" t="n">
        <v>699.7863170221536</v>
      </c>
      <c r="BN65" s="31" t="n">
        <v>3258.200437524377</v>
      </c>
      <c r="BO65" s="31" t="n">
        <v>9.16826076724171</v>
      </c>
      <c r="BP65" s="31" t="n">
        <v>271.5172498047334</v>
      </c>
      <c r="BQ65" s="31" t="n">
        <v>2674.058024434996</v>
      </c>
      <c r="BR65" s="31" t="n">
        <v>0</v>
      </c>
      <c r="BS65" s="31">
        <f>SUM(C65:BR65)</f>
        <v/>
      </c>
      <c r="BT65" s="31" t="n">
        <v>0</v>
      </c>
      <c r="BU65" s="31" t="n">
        <v>0</v>
      </c>
      <c r="BV65" s="31" t="n">
        <v>136522.0299238582</v>
      </c>
      <c r="BW65" s="31" t="n">
        <v>0</v>
      </c>
      <c r="BX65" s="31">
        <f>SUM(BT65:BW65)</f>
        <v/>
      </c>
      <c r="BY65" s="31">
        <f>BS65+BX65</f>
        <v/>
      </c>
    </row>
    <row r="66">
      <c r="A66" s="28" t="inlineStr">
        <is>
          <t>6480</t>
        </is>
      </c>
      <c r="B66" s="28" t="inlineStr">
        <is>
          <t>Intermediação financeira, seguros e previdência complementar</t>
        </is>
      </c>
      <c r="C66" s="29" t="n">
        <v>9356.542236681997</v>
      </c>
      <c r="D66" s="29" t="n">
        <v>3010.296983904941</v>
      </c>
      <c r="E66" s="29" t="n">
        <v>762.8050928551509</v>
      </c>
      <c r="F66" s="29" t="n">
        <v>1095.453385171258</v>
      </c>
      <c r="G66" s="29" t="n">
        <v>5745.799080296263</v>
      </c>
      <c r="H66" s="29" t="n">
        <v>1811.328479803449</v>
      </c>
      <c r="I66" s="29" t="n">
        <v>644.4807550157993</v>
      </c>
      <c r="J66" s="29" t="n">
        <v>6906.934093421928</v>
      </c>
      <c r="K66" s="29" t="n">
        <v>2482.484460119379</v>
      </c>
      <c r="L66" s="29" t="n">
        <v>7239.965555493869</v>
      </c>
      <c r="M66" s="29" t="n">
        <v>1924.894961814635</v>
      </c>
      <c r="N66" s="29" t="n">
        <v>350.6734465422878</v>
      </c>
      <c r="O66" s="29" t="n">
        <v>1035.262754978608</v>
      </c>
      <c r="P66" s="29" t="n">
        <v>1092.117185168848</v>
      </c>
      <c r="Q66" s="29" t="n">
        <v>793.4469070409027</v>
      </c>
      <c r="R66" s="29" t="n">
        <v>781.8487189619121</v>
      </c>
      <c r="S66" s="29" t="n">
        <v>2998.110357915928</v>
      </c>
      <c r="T66" s="29" t="n">
        <v>384.0907975492338</v>
      </c>
      <c r="U66" s="29" t="n">
        <v>4437.277805560308</v>
      </c>
      <c r="V66" s="29" t="n">
        <v>1587.972159410034</v>
      </c>
      <c r="W66" s="29" t="n">
        <v>5479.054239479112</v>
      </c>
      <c r="X66" s="29" t="n">
        <v>1982.573361793259</v>
      </c>
      <c r="Y66" s="29" t="n">
        <v>1027.275223994196</v>
      </c>
      <c r="Z66" s="29" t="n">
        <v>1439.746808774285</v>
      </c>
      <c r="AA66" s="29" t="n">
        <v>2408.271905280705</v>
      </c>
      <c r="AB66" s="29" t="n">
        <v>2943.524345789523</v>
      </c>
      <c r="AC66" s="29" t="n">
        <v>4597.276247107116</v>
      </c>
      <c r="AD66" s="29" t="n">
        <v>1633.545757378283</v>
      </c>
      <c r="AE66" s="29" t="n">
        <v>2126.41675659354</v>
      </c>
      <c r="AF66" s="29" t="n">
        <v>2522.24228983009</v>
      </c>
      <c r="AG66" s="29" t="n">
        <v>1785.024786501825</v>
      </c>
      <c r="AH66" s="29" t="n">
        <v>3298.302564941375</v>
      </c>
      <c r="AI66" s="29" t="n">
        <v>3502.500301573484</v>
      </c>
      <c r="AJ66" s="29" t="n">
        <v>1387.504009487544</v>
      </c>
      <c r="AK66" s="29" t="n">
        <v>772.3035358909242</v>
      </c>
      <c r="AL66" s="29" t="n">
        <v>1283.739114014695</v>
      </c>
      <c r="AM66" s="29" t="n">
        <v>796.0384703972493</v>
      </c>
      <c r="AN66" s="29" t="n">
        <v>9749.032941962309</v>
      </c>
      <c r="AO66" s="29" t="n">
        <v>1691.687626914975</v>
      </c>
      <c r="AP66" s="29" t="n">
        <v>9973.071846466091</v>
      </c>
      <c r="AQ66" s="29" t="n">
        <v>3474.712405037762</v>
      </c>
      <c r="AR66" s="29" t="n">
        <v>39092.84139626016</v>
      </c>
      <c r="AS66" s="29" t="n">
        <v>10794.71321105327</v>
      </c>
      <c r="AT66" s="29" t="n">
        <v>888.3708895424595</v>
      </c>
      <c r="AU66" s="29" t="n">
        <v>1171.773191694811</v>
      </c>
      <c r="AV66" s="29" t="n">
        <v>4296.125477378155</v>
      </c>
      <c r="AW66" s="29" t="n">
        <v>788.9453619063688</v>
      </c>
      <c r="AX66" s="29" t="n">
        <v>3204.647164502808</v>
      </c>
      <c r="AY66" s="29" t="n">
        <v>463.2679079676362</v>
      </c>
      <c r="AZ66" s="29" t="n">
        <v>1179.485080663541</v>
      </c>
      <c r="BA66" s="29" t="n">
        <v>9969.582213415128</v>
      </c>
      <c r="BB66" s="29" t="n">
        <v>4281.559922433124</v>
      </c>
      <c r="BC66" s="29" t="n">
        <v>127190.782478444</v>
      </c>
      <c r="BD66" s="29" t="n">
        <v>31892.78295229474</v>
      </c>
      <c r="BE66" s="29" t="n">
        <v>5694.12781218074</v>
      </c>
      <c r="BF66" s="29" t="n">
        <v>1750.029737234649</v>
      </c>
      <c r="BG66" s="29" t="n">
        <v>1300.578900619224</v>
      </c>
      <c r="BH66" s="29" t="n">
        <v>2018.309070504104</v>
      </c>
      <c r="BI66" s="29" t="n">
        <v>6321.730549103928</v>
      </c>
      <c r="BJ66" s="29" t="n">
        <v>1051.511430439152</v>
      </c>
      <c r="BK66" s="29" t="n">
        <v>72244.14323091353</v>
      </c>
      <c r="BL66" s="29" t="n">
        <v>975.04450935721</v>
      </c>
      <c r="BM66" s="29" t="n">
        <v>2049.638548531976</v>
      </c>
      <c r="BN66" s="29" t="n">
        <v>723.6691576097103</v>
      </c>
      <c r="BO66" s="29" t="n">
        <v>6448.217128146256</v>
      </c>
      <c r="BP66" s="29" t="n">
        <v>1009.162283127769</v>
      </c>
      <c r="BQ66" s="29" t="n">
        <v>2984.770135054448</v>
      </c>
      <c r="BR66" s="29" t="n">
        <v>0</v>
      </c>
      <c r="BS66" s="29">
        <f>SUM(C66:BR66)</f>
        <v/>
      </c>
      <c r="BT66" s="29" t="n">
        <v>0</v>
      </c>
      <c r="BU66" s="29" t="n">
        <v>0</v>
      </c>
      <c r="BV66" s="29" t="n">
        <v>342064.3485714918</v>
      </c>
      <c r="BW66" s="29" t="n">
        <v>0</v>
      </c>
      <c r="BX66" s="29">
        <f>SUM(BT66:BW66)</f>
        <v/>
      </c>
      <c r="BY66" s="29">
        <f>BS66+BX66</f>
        <v/>
      </c>
    </row>
    <row r="67">
      <c r="A67" s="30" t="inlineStr">
        <is>
          <t>6800</t>
        </is>
      </c>
      <c r="B67" s="30" t="inlineStr">
        <is>
          <t>Atividades imobiliárias</t>
        </is>
      </c>
      <c r="C67" s="31" t="n">
        <v>8.011135927275719</v>
      </c>
      <c r="D67" s="31" t="n">
        <v>6.554625345299672</v>
      </c>
      <c r="E67" s="31" t="n">
        <v>7.282799018600013</v>
      </c>
      <c r="F67" s="31" t="n">
        <v>28.40288930148595</v>
      </c>
      <c r="G67" s="31" t="n">
        <v>454.4478109512595</v>
      </c>
      <c r="H67" s="31" t="n">
        <v>92.4936517657743</v>
      </c>
      <c r="I67" s="31" t="n">
        <v>29.13129401562527</v>
      </c>
      <c r="J67" s="31" t="n">
        <v>946.7628930057493</v>
      </c>
      <c r="K67" s="31" t="n">
        <v>268.7350057839396</v>
      </c>
      <c r="L67" s="31" t="n">
        <v>568.7860249971695</v>
      </c>
      <c r="M67" s="31" t="n">
        <v>78.6541480343238</v>
      </c>
      <c r="N67" s="31" t="n">
        <v>29.13116593863844</v>
      </c>
      <c r="O67" s="31" t="n">
        <v>336.464966591274</v>
      </c>
      <c r="P67" s="31" t="n">
        <v>402.7383691016765</v>
      </c>
      <c r="Q67" s="31" t="n">
        <v>84.48038122205149</v>
      </c>
      <c r="R67" s="31" t="n">
        <v>60.44716932267477</v>
      </c>
      <c r="S67" s="31" t="n">
        <v>235.2342151807748</v>
      </c>
      <c r="T67" s="31" t="n">
        <v>53.89265698648113</v>
      </c>
      <c r="U67" s="31" t="n">
        <v>251.9845853692225</v>
      </c>
      <c r="V67" s="31" t="n">
        <v>381.6184470767928</v>
      </c>
      <c r="W67" s="31" t="n">
        <v>290.5836313692652</v>
      </c>
      <c r="X67" s="31" t="n">
        <v>124.5357343876793</v>
      </c>
      <c r="Y67" s="31" t="n">
        <v>182.7980662649562</v>
      </c>
      <c r="Z67" s="31" t="n">
        <v>297.1378925741121</v>
      </c>
      <c r="AA67" s="31" t="n">
        <v>518.5347537077643</v>
      </c>
      <c r="AB67" s="31" t="n">
        <v>251.9845929031629</v>
      </c>
      <c r="AC67" s="31" t="n">
        <v>370.6941518633243</v>
      </c>
      <c r="AD67" s="31" t="n">
        <v>14.56561812770776</v>
      </c>
      <c r="AE67" s="31" t="n">
        <v>303.6925279646657</v>
      </c>
      <c r="AF67" s="31" t="n">
        <v>184.9830920588641</v>
      </c>
      <c r="AG67" s="31" t="n">
        <v>136.9164849342276</v>
      </c>
      <c r="AH67" s="31" t="n">
        <v>312.4319003480784</v>
      </c>
      <c r="AI67" s="31" t="n">
        <v>107.0575822908322</v>
      </c>
      <c r="AJ67" s="31" t="n">
        <v>227.2231495702761</v>
      </c>
      <c r="AK67" s="31" t="n">
        <v>46.61042552472469</v>
      </c>
      <c r="AL67" s="31" t="n">
        <v>272.3764391959714</v>
      </c>
      <c r="AM67" s="31" t="n">
        <v>57.53405272881093</v>
      </c>
      <c r="AN67" s="31" t="n">
        <v>705.7024948635163</v>
      </c>
      <c r="AO67" s="31" t="n">
        <v>380.8899946476977</v>
      </c>
      <c r="AP67" s="31" t="n">
        <v>1079.392960624558</v>
      </c>
      <c r="AQ67" s="31" t="n">
        <v>3902.121086327474</v>
      </c>
      <c r="AR67" s="31" t="n">
        <v>45466.46932060882</v>
      </c>
      <c r="AS67" s="31" t="n">
        <v>1388.828396396111</v>
      </c>
      <c r="AT67" s="31" t="n">
        <v>115.0681180141892</v>
      </c>
      <c r="AU67" s="31" t="n">
        <v>92.49145436649052</v>
      </c>
      <c r="AV67" s="31" t="n">
        <v>3908.675257125037</v>
      </c>
      <c r="AW67" s="31" t="n">
        <v>1106.984946053195</v>
      </c>
      <c r="AX67" s="31" t="n">
        <v>4911.514577254441</v>
      </c>
      <c r="AY67" s="31" t="n">
        <v>172.6021707430001</v>
      </c>
      <c r="AZ67" s="31" t="n">
        <v>469.0123115444744</v>
      </c>
      <c r="BA67" s="31" t="n">
        <v>2053.018924548172</v>
      </c>
      <c r="BB67" s="31" t="n">
        <v>2862.868928820578</v>
      </c>
      <c r="BC67" s="31" t="n">
        <v>4835.046017548243</v>
      </c>
      <c r="BD67" s="31" t="n">
        <v>2069.770472542635</v>
      </c>
      <c r="BE67" s="31" t="n">
        <v>5622.315214505729</v>
      </c>
      <c r="BF67" s="31" t="n">
        <v>975.1662368549729</v>
      </c>
      <c r="BG67" s="31" t="n">
        <v>1683.781391253302</v>
      </c>
      <c r="BH67" s="31" t="n">
        <v>1203.117750958373</v>
      </c>
      <c r="BI67" s="31" t="n">
        <v>3759.381851397298</v>
      </c>
      <c r="BJ67" s="31" t="n">
        <v>311.7034755434314</v>
      </c>
      <c r="BK67" s="31" t="n">
        <v>2361.091597069477</v>
      </c>
      <c r="BL67" s="31" t="n">
        <v>570.2460991329555</v>
      </c>
      <c r="BM67" s="31" t="n">
        <v>5465.007922962469</v>
      </c>
      <c r="BN67" s="31" t="n">
        <v>484.3117990044261</v>
      </c>
      <c r="BO67" s="31" t="n">
        <v>2878.887473885945</v>
      </c>
      <c r="BP67" s="31" t="n">
        <v>3941.446774099602</v>
      </c>
      <c r="BQ67" s="31" t="n">
        <v>3735.344425513924</v>
      </c>
      <c r="BR67" s="31" t="n">
        <v>0</v>
      </c>
      <c r="BS67" s="31">
        <f>SUM(C67:BR67)</f>
        <v/>
      </c>
      <c r="BT67" s="31" t="n">
        <v>0</v>
      </c>
      <c r="BU67" s="31" t="n">
        <v>0</v>
      </c>
      <c r="BV67" s="31" t="n">
        <v>645030.0338456302</v>
      </c>
      <c r="BW67" s="31" t="n">
        <v>0</v>
      </c>
      <c r="BX67" s="31">
        <f>SUM(BT67:BW67)</f>
        <v/>
      </c>
      <c r="BY67" s="31">
        <f>BS67+BX67</f>
        <v/>
      </c>
    </row>
    <row r="68">
      <c r="A68" s="28" t="inlineStr">
        <is>
          <t>6980</t>
        </is>
      </c>
      <c r="B68" s="28" t="inlineStr">
        <is>
          <t>Atividades jurídicas, contábeis, consultoria e sedes de empresas</t>
        </is>
      </c>
      <c r="C68" s="29" t="n">
        <v>36.926582546333</v>
      </c>
      <c r="D68" s="29" t="n">
        <v>12.63820308463411</v>
      </c>
      <c r="E68" s="29" t="n">
        <v>42.75391126970469</v>
      </c>
      <c r="F68" s="29" t="n">
        <v>615.9395871959482</v>
      </c>
      <c r="G68" s="29" t="n">
        <v>9374.124257147178</v>
      </c>
      <c r="H68" s="29" t="n">
        <v>2815.392665368196</v>
      </c>
      <c r="I68" s="29" t="n">
        <v>249.7066660540778</v>
      </c>
      <c r="J68" s="29" t="n">
        <v>7514.157575738466</v>
      </c>
      <c r="K68" s="29" t="n">
        <v>1384.730145286216</v>
      </c>
      <c r="L68" s="29" t="n">
        <v>11458.39438253943</v>
      </c>
      <c r="M68" s="29" t="n">
        <v>3818.876505430268</v>
      </c>
      <c r="N68" s="29" t="n">
        <v>829.6724261966773</v>
      </c>
      <c r="O68" s="29" t="n">
        <v>481.3894247663009</v>
      </c>
      <c r="P68" s="29" t="n">
        <v>414.4607877255276</v>
      </c>
      <c r="Q68" s="29" t="n">
        <v>261.4956803284186</v>
      </c>
      <c r="R68" s="29" t="n">
        <v>499.4509906505867</v>
      </c>
      <c r="S68" s="29" t="n">
        <v>3366.575377018708</v>
      </c>
      <c r="T68" s="29" t="n">
        <v>226.4273344526108</v>
      </c>
      <c r="U68" s="29" t="n">
        <v>7745.736473197155</v>
      </c>
      <c r="V68" s="29" t="n">
        <v>1490.801793922563</v>
      </c>
      <c r="W68" s="29" t="n">
        <v>6733.601217982405</v>
      </c>
      <c r="X68" s="29" t="n">
        <v>4898.298248811958</v>
      </c>
      <c r="Y68" s="29" t="n">
        <v>2294.819032315287</v>
      </c>
      <c r="Z68" s="29" t="n">
        <v>4337.055020813563</v>
      </c>
      <c r="AA68" s="29" t="n">
        <v>2802.514360945939</v>
      </c>
      <c r="AB68" s="29" t="n">
        <v>3236.339133316837</v>
      </c>
      <c r="AC68" s="29" t="n">
        <v>2143.655791243374</v>
      </c>
      <c r="AD68" s="29" t="n">
        <v>895.7312912786078</v>
      </c>
      <c r="AE68" s="29" t="n">
        <v>1089.534394491038</v>
      </c>
      <c r="AF68" s="29" t="n">
        <v>3455.74925079431</v>
      </c>
      <c r="AG68" s="29" t="n">
        <v>1744.019036316231</v>
      </c>
      <c r="AH68" s="29" t="n">
        <v>2834.408628025853</v>
      </c>
      <c r="AI68" s="29" t="n">
        <v>3600.336410992875</v>
      </c>
      <c r="AJ68" s="29" t="n">
        <v>1482.749534141119</v>
      </c>
      <c r="AK68" s="29" t="n">
        <v>583.913902974223</v>
      </c>
      <c r="AL68" s="29" t="n">
        <v>719.3132193784677</v>
      </c>
      <c r="AM68" s="29" t="n">
        <v>1031.757303661032</v>
      </c>
      <c r="AN68" s="29" t="n">
        <v>997.7031913250347</v>
      </c>
      <c r="AO68" s="29" t="n">
        <v>2535.041243041361</v>
      </c>
      <c r="AP68" s="29" t="n">
        <v>5356.135846947227</v>
      </c>
      <c r="AQ68" s="29" t="n">
        <v>9131.287727485116</v>
      </c>
      <c r="AR68" s="29" t="n">
        <v>42101.28606475723</v>
      </c>
      <c r="AS68" s="29" t="n">
        <v>3584.658637779851</v>
      </c>
      <c r="AT68" s="29" t="n">
        <v>287.7108950358916</v>
      </c>
      <c r="AU68" s="29" t="n">
        <v>582.9982132170536</v>
      </c>
      <c r="AV68" s="29" t="n">
        <v>3691.204191760405</v>
      </c>
      <c r="AW68" s="29" t="n">
        <v>303.6888050961994</v>
      </c>
      <c r="AX68" s="29" t="n">
        <v>1398.072472504939</v>
      </c>
      <c r="AY68" s="29" t="n">
        <v>458.7889803113682</v>
      </c>
      <c r="AZ68" s="29" t="n">
        <v>3236.582582115204</v>
      </c>
      <c r="BA68" s="29" t="n">
        <v>3657.665267440637</v>
      </c>
      <c r="BB68" s="29" t="n">
        <v>7038.333177760108</v>
      </c>
      <c r="BC68" s="29" t="n">
        <v>19501.82035942639</v>
      </c>
      <c r="BD68" s="29" t="n">
        <v>3387.449193040676</v>
      </c>
      <c r="BE68" s="29" t="n">
        <v>24328.12712300046</v>
      </c>
      <c r="BF68" s="29" t="n">
        <v>7050.191699501626</v>
      </c>
      <c r="BG68" s="29" t="n">
        <v>940.8240950498631</v>
      </c>
      <c r="BH68" s="29" t="n">
        <v>1391.843657582049</v>
      </c>
      <c r="BI68" s="29" t="n">
        <v>6239.128089673713</v>
      </c>
      <c r="BJ68" s="29" t="n">
        <v>2203.683335363324</v>
      </c>
      <c r="BK68" s="29" t="n">
        <v>5862.132975194151</v>
      </c>
      <c r="BL68" s="29" t="n">
        <v>164.9826590011577</v>
      </c>
      <c r="BM68" s="29" t="n">
        <v>3432.092778092665</v>
      </c>
      <c r="BN68" s="29" t="n">
        <v>414.5222297870502</v>
      </c>
      <c r="BO68" s="29" t="n">
        <v>4909.879375857047</v>
      </c>
      <c r="BP68" s="29" t="n">
        <v>1522.014938715115</v>
      </c>
      <c r="BQ68" s="29" t="n">
        <v>4709.034092210911</v>
      </c>
      <c r="BR68" s="29" t="n">
        <v>0</v>
      </c>
      <c r="BS68" s="29">
        <f>SUM(C68:BR68)</f>
        <v/>
      </c>
      <c r="BT68" s="29" t="n">
        <v>0</v>
      </c>
      <c r="BU68" s="29" t="n">
        <v>0</v>
      </c>
      <c r="BV68" s="29" t="n">
        <v>40937.4867906339</v>
      </c>
      <c r="BW68" s="29" t="n">
        <v>0</v>
      </c>
      <c r="BX68" s="29">
        <f>SUM(BT68:BW68)</f>
        <v/>
      </c>
      <c r="BY68" s="29">
        <f>BS68+BX68</f>
        <v/>
      </c>
    </row>
    <row r="69">
      <c r="A69" s="30" t="inlineStr">
        <is>
          <t>7180</t>
        </is>
      </c>
      <c r="B69" s="30" t="inlineStr">
        <is>
          <t>Serviços de arquitetura, engenharia, testes/análises técnicas e P &amp; D</t>
        </is>
      </c>
      <c r="C69" s="31" t="n">
        <v>1403.268508567211</v>
      </c>
      <c r="D69" s="31" t="n">
        <v>47.93584865553947</v>
      </c>
      <c r="E69" s="31" t="n">
        <v>0.3179800654561348</v>
      </c>
      <c r="F69" s="31" t="n">
        <v>89.62964463433229</v>
      </c>
      <c r="G69" s="31" t="n">
        <v>2815.908957134745</v>
      </c>
      <c r="H69" s="31" t="n">
        <v>1629.695834520582</v>
      </c>
      <c r="I69" s="31" t="n">
        <v>248.1245392823162</v>
      </c>
      <c r="J69" s="31" t="n">
        <v>2073.74789610099</v>
      </c>
      <c r="K69" s="31" t="n">
        <v>925.9662110192637</v>
      </c>
      <c r="L69" s="31" t="n">
        <v>1844.678392568622</v>
      </c>
      <c r="M69" s="31" t="n">
        <v>359.4031676432988</v>
      </c>
      <c r="N69" s="31" t="n">
        <v>209.3386841706858</v>
      </c>
      <c r="O69" s="31" t="n">
        <v>107.3338302750603</v>
      </c>
      <c r="P69" s="31" t="n">
        <v>237.8226814002249</v>
      </c>
      <c r="Q69" s="31" t="n">
        <v>136.5518379742337</v>
      </c>
      <c r="R69" s="31" t="n">
        <v>151.9765292407438</v>
      </c>
      <c r="S69" s="31" t="n">
        <v>1057.779926033876</v>
      </c>
      <c r="T69" s="31" t="n">
        <v>54.2497738994459</v>
      </c>
      <c r="U69" s="31" t="n">
        <v>359.9733431154415</v>
      </c>
      <c r="V69" s="31" t="n">
        <v>773.929215260119</v>
      </c>
      <c r="W69" s="31" t="n">
        <v>1824.888662659479</v>
      </c>
      <c r="X69" s="31" t="n">
        <v>1059.747223910109</v>
      </c>
      <c r="Y69" s="31" t="n">
        <v>598.6685779471613</v>
      </c>
      <c r="Z69" s="31" t="n">
        <v>1463.353600691659</v>
      </c>
      <c r="AA69" s="31" t="n">
        <v>1509.550342048854</v>
      </c>
      <c r="AB69" s="31" t="n">
        <v>958.7490574611494</v>
      </c>
      <c r="AC69" s="31" t="n">
        <v>718.5214409611746</v>
      </c>
      <c r="AD69" s="31" t="n">
        <v>499.2203730075054</v>
      </c>
      <c r="AE69" s="31" t="n">
        <v>789.1313769169404</v>
      </c>
      <c r="AF69" s="31" t="n">
        <v>806.6899257153832</v>
      </c>
      <c r="AG69" s="31" t="n">
        <v>572.1889833550468</v>
      </c>
      <c r="AH69" s="31" t="n">
        <v>3404.90570765655</v>
      </c>
      <c r="AI69" s="31" t="n">
        <v>2106.81894446634</v>
      </c>
      <c r="AJ69" s="31" t="n">
        <v>1061.026610992221</v>
      </c>
      <c r="AK69" s="31" t="n">
        <v>167.8508977269235</v>
      </c>
      <c r="AL69" s="31" t="n">
        <v>420.9399374944399</v>
      </c>
      <c r="AM69" s="31" t="n">
        <v>351.9910517721718</v>
      </c>
      <c r="AN69" s="31" t="n">
        <v>2826.488270212074</v>
      </c>
      <c r="AO69" s="31" t="n">
        <v>823.8452038745229</v>
      </c>
      <c r="AP69" s="31" t="n">
        <v>4089.495276084593</v>
      </c>
      <c r="AQ69" s="31" t="n">
        <v>145.3128823654059</v>
      </c>
      <c r="AR69" s="31" t="n">
        <v>2741.13778446997</v>
      </c>
      <c r="AS69" s="31" t="n">
        <v>625.9548061763172</v>
      </c>
      <c r="AT69" s="31" t="n">
        <v>32.43967297018662</v>
      </c>
      <c r="AU69" s="31" t="n">
        <v>0.507747536666634</v>
      </c>
      <c r="AV69" s="31" t="n">
        <v>8575.96541505397</v>
      </c>
      <c r="AW69" s="31" t="n">
        <v>12.25867539947347</v>
      </c>
      <c r="AX69" s="31" t="n">
        <v>32.60322045537555</v>
      </c>
      <c r="AY69" s="31" t="n">
        <v>1.204476146263538</v>
      </c>
      <c r="AZ69" s="31" t="n">
        <v>2.647448334642384</v>
      </c>
      <c r="BA69" s="31" t="n">
        <v>21.04319037832193</v>
      </c>
      <c r="BB69" s="31" t="n">
        <v>753.7579393525756</v>
      </c>
      <c r="BC69" s="31" t="n">
        <v>691.134854862746</v>
      </c>
      <c r="BD69" s="31" t="n">
        <v>33.51145094048903</v>
      </c>
      <c r="BE69" s="31" t="n">
        <v>30.9809733394023</v>
      </c>
      <c r="BF69" s="31" t="n">
        <v>4286.488623606791</v>
      </c>
      <c r="BG69" s="31" t="n">
        <v>9.178786878360389</v>
      </c>
      <c r="BH69" s="31" t="n">
        <v>131.1139636218212</v>
      </c>
      <c r="BI69" s="31" t="n">
        <v>59.74817252239662</v>
      </c>
      <c r="BJ69" s="31" t="n">
        <v>2.072269849070645</v>
      </c>
      <c r="BK69" s="31" t="n">
        <v>6901.112820473474</v>
      </c>
      <c r="BL69" s="31" t="n">
        <v>1993.203390619226</v>
      </c>
      <c r="BM69" s="31" t="n">
        <v>195.5390738383005</v>
      </c>
      <c r="BN69" s="31" t="n">
        <v>3108.737462452516</v>
      </c>
      <c r="BO69" s="31" t="n">
        <v>16.98519606924895</v>
      </c>
      <c r="BP69" s="31" t="n">
        <v>21.37333124999331</v>
      </c>
      <c r="BQ69" s="31" t="n">
        <v>20.57733710158172</v>
      </c>
      <c r="BR69" s="31" t="n">
        <v>0</v>
      </c>
      <c r="BS69" s="31">
        <f>SUM(C69:BR69)</f>
        <v/>
      </c>
      <c r="BT69" s="31" t="n">
        <v>0</v>
      </c>
      <c r="BU69" s="31" t="n">
        <v>0</v>
      </c>
      <c r="BV69" s="31" t="n">
        <v>30873.62675384463</v>
      </c>
      <c r="BW69" s="31" t="n">
        <v>0</v>
      </c>
      <c r="BX69" s="31">
        <f>SUM(BT69:BW69)</f>
        <v/>
      </c>
      <c r="BY69" s="31">
        <f>BS69+BX69</f>
        <v/>
      </c>
    </row>
    <row r="70">
      <c r="A70" s="28" t="inlineStr">
        <is>
          <t>7380</t>
        </is>
      </c>
      <c r="B70" s="28" t="inlineStr">
        <is>
          <t>Outras atividades profissionais, científicas e técnicas</t>
        </is>
      </c>
      <c r="C70" s="29" t="n">
        <v>24.10461846967664</v>
      </c>
      <c r="D70" s="29" t="n">
        <v>593.0752201106478</v>
      </c>
      <c r="E70" s="29" t="n">
        <v>138.587100307671</v>
      </c>
      <c r="F70" s="29" t="n">
        <v>68.01235218268029</v>
      </c>
      <c r="G70" s="29" t="n">
        <v>1042.560291773976</v>
      </c>
      <c r="H70" s="29" t="n">
        <v>39.63350823923195</v>
      </c>
      <c r="I70" s="29" t="n">
        <v>0.8726131815381885</v>
      </c>
      <c r="J70" s="29" t="n">
        <v>4356.945948755148</v>
      </c>
      <c r="K70" s="29" t="n">
        <v>575.9678150531322</v>
      </c>
      <c r="L70" s="29" t="n">
        <v>5852.736250894572</v>
      </c>
      <c r="M70" s="29" t="n">
        <v>8072.365786833858</v>
      </c>
      <c r="N70" s="29" t="n">
        <v>454.5050303311011</v>
      </c>
      <c r="O70" s="29" t="n">
        <v>152.4941153416857</v>
      </c>
      <c r="P70" s="29" t="n">
        <v>595.8186219414251</v>
      </c>
      <c r="Q70" s="29" t="n">
        <v>1004.573901637613</v>
      </c>
      <c r="R70" s="29" t="n">
        <v>101.608621094805</v>
      </c>
      <c r="S70" s="29" t="n">
        <v>1064.068411505275</v>
      </c>
      <c r="T70" s="29" t="n">
        <v>82.65498003438695</v>
      </c>
      <c r="U70" s="29" t="n">
        <v>415.860720641754</v>
      </c>
      <c r="V70" s="29" t="n">
        <v>365.1274836892857</v>
      </c>
      <c r="W70" s="29" t="n">
        <v>272.1461622955548</v>
      </c>
      <c r="X70" s="29" t="n">
        <v>897.0057030019673</v>
      </c>
      <c r="Y70" s="29" t="n">
        <v>1929.060503569747</v>
      </c>
      <c r="Z70" s="29" t="n">
        <v>3182.423097633512</v>
      </c>
      <c r="AA70" s="29" t="n">
        <v>979.7935645740895</v>
      </c>
      <c r="AB70" s="29" t="n">
        <v>537.2488258036697</v>
      </c>
      <c r="AC70" s="29" t="n">
        <v>434.8680324195145</v>
      </c>
      <c r="AD70" s="29" t="n">
        <v>31.86806708888172</v>
      </c>
      <c r="AE70" s="29" t="n">
        <v>887.6078457205707</v>
      </c>
      <c r="AF70" s="29" t="n">
        <v>1966.954046179736</v>
      </c>
      <c r="AG70" s="29" t="n">
        <v>985.6643945578734</v>
      </c>
      <c r="AH70" s="29" t="n">
        <v>928.9827385765843</v>
      </c>
      <c r="AI70" s="29" t="n">
        <v>4920.22191045912</v>
      </c>
      <c r="AJ70" s="29" t="n">
        <v>241.0981290034924</v>
      </c>
      <c r="AK70" s="29" t="n">
        <v>336.5824274669779</v>
      </c>
      <c r="AL70" s="29" t="n">
        <v>717.1426029033528</v>
      </c>
      <c r="AM70" s="29" t="n">
        <v>223.8219025710134</v>
      </c>
      <c r="AN70" s="29" t="n">
        <v>3309.063738392381</v>
      </c>
      <c r="AO70" s="29" t="n">
        <v>362.5213549615531</v>
      </c>
      <c r="AP70" s="29" t="n">
        <v>2273.686270959514</v>
      </c>
      <c r="AQ70" s="29" t="n">
        <v>4023.78152501159</v>
      </c>
      <c r="AR70" s="29" t="n">
        <v>32564.76083252781</v>
      </c>
      <c r="AS70" s="29" t="n">
        <v>1322.641755801598</v>
      </c>
      <c r="AT70" s="29" t="n">
        <v>107.6375888451627</v>
      </c>
      <c r="AU70" s="29" t="n">
        <v>220.3908701642892</v>
      </c>
      <c r="AV70" s="29" t="n">
        <v>2676.673552080363</v>
      </c>
      <c r="AW70" s="29" t="n">
        <v>457.4643057952662</v>
      </c>
      <c r="AX70" s="29" t="n">
        <v>1125.916581414708</v>
      </c>
      <c r="AY70" s="29" t="n">
        <v>924.5402459990705</v>
      </c>
      <c r="AZ70" s="29" t="n">
        <v>2665.133751954781</v>
      </c>
      <c r="BA70" s="29" t="n">
        <v>3778.730843535409</v>
      </c>
      <c r="BB70" s="29" t="n">
        <v>4916.048941916271</v>
      </c>
      <c r="BC70" s="29" t="n">
        <v>13796.47489267034</v>
      </c>
      <c r="BD70" s="29" t="n">
        <v>1285.009876609457</v>
      </c>
      <c r="BE70" s="29" t="n">
        <v>6877.00627898976</v>
      </c>
      <c r="BF70" s="29" t="n">
        <v>823.2473096596113</v>
      </c>
      <c r="BG70" s="29" t="n">
        <v>4772.734100871608</v>
      </c>
      <c r="BH70" s="29" t="n">
        <v>1872.609890447347</v>
      </c>
      <c r="BI70" s="29" t="n">
        <v>2839.319672342534</v>
      </c>
      <c r="BJ70" s="29" t="n">
        <v>336.6746613221372</v>
      </c>
      <c r="BK70" s="29" t="n">
        <v>4671.395856166094</v>
      </c>
      <c r="BL70" s="29" t="n">
        <v>847.2037665277111</v>
      </c>
      <c r="BM70" s="29" t="n">
        <v>4306.67130929105</v>
      </c>
      <c r="BN70" s="29" t="n">
        <v>1693.313416581268</v>
      </c>
      <c r="BO70" s="29" t="n">
        <v>51.80938538179952</v>
      </c>
      <c r="BP70" s="29" t="n">
        <v>2221.33658621004</v>
      </c>
      <c r="BQ70" s="29" t="n">
        <v>2638.738302964898</v>
      </c>
      <c r="BR70" s="29" t="n">
        <v>0</v>
      </c>
      <c r="BS70" s="29">
        <f>SUM(C70:BR70)</f>
        <v/>
      </c>
      <c r="BT70" s="29" t="n">
        <v>0</v>
      </c>
      <c r="BU70" s="29" t="n">
        <v>0</v>
      </c>
      <c r="BV70" s="29" t="n">
        <v>7907.261810675356</v>
      </c>
      <c r="BW70" s="29" t="n">
        <v>0</v>
      </c>
      <c r="BX70" s="29">
        <f>SUM(BT70:BW70)</f>
        <v/>
      </c>
      <c r="BY70" s="29">
        <f>BS70+BX70</f>
        <v/>
      </c>
    </row>
    <row r="71">
      <c r="A71" s="30" t="inlineStr">
        <is>
          <t>7700</t>
        </is>
      </c>
      <c r="B71" s="30" t="inlineStr">
        <is>
          <t>Aluguéis não-imobiliários e gestão de ativos de propriedade intelectual</t>
        </is>
      </c>
      <c r="C71" s="31" t="n">
        <v>969.2063309311968</v>
      </c>
      <c r="D71" s="31" t="n">
        <v>137.3393152024614</v>
      </c>
      <c r="E71" s="31" t="n">
        <v>169.910441329018</v>
      </c>
      <c r="F71" s="31" t="n">
        <v>377.7384717791944</v>
      </c>
      <c r="G71" s="31" t="n">
        <v>16257.23066976892</v>
      </c>
      <c r="H71" s="31" t="n">
        <v>5459.372149227618</v>
      </c>
      <c r="I71" s="31" t="n">
        <v>403.9482634266495</v>
      </c>
      <c r="J71" s="31" t="n">
        <v>670.7961593064679</v>
      </c>
      <c r="K71" s="31" t="n">
        <v>989.5765905392327</v>
      </c>
      <c r="L71" s="31" t="n">
        <v>1954.048941441227</v>
      </c>
      <c r="M71" s="31" t="n">
        <v>604.7963162489013</v>
      </c>
      <c r="N71" s="31" t="n">
        <v>102.4138434934929</v>
      </c>
      <c r="O71" s="31" t="n">
        <v>113.7120531514861</v>
      </c>
      <c r="P71" s="31" t="n">
        <v>172.5998277508388</v>
      </c>
      <c r="Q71" s="31" t="n">
        <v>105.5348659152176</v>
      </c>
      <c r="R71" s="31" t="n">
        <v>343.9642458632266</v>
      </c>
      <c r="S71" s="31" t="n">
        <v>1667.229183440936</v>
      </c>
      <c r="T71" s="31" t="n">
        <v>223.7338526018203</v>
      </c>
      <c r="U71" s="31" t="n">
        <v>952.7014528186137</v>
      </c>
      <c r="V71" s="31" t="n">
        <v>239.8419224534983</v>
      </c>
      <c r="W71" s="31" t="n">
        <v>1210.89362756011</v>
      </c>
      <c r="X71" s="31" t="n">
        <v>898.0920338792945</v>
      </c>
      <c r="Y71" s="31" t="n">
        <v>143.3981734443402</v>
      </c>
      <c r="Z71" s="31" t="n">
        <v>339.010217570256</v>
      </c>
      <c r="AA71" s="31" t="n">
        <v>1298.020909765285</v>
      </c>
      <c r="AB71" s="31" t="n">
        <v>755.0831015775331</v>
      </c>
      <c r="AC71" s="31" t="n">
        <v>1202.938859363137</v>
      </c>
      <c r="AD71" s="31" t="n">
        <v>480.1992525874891</v>
      </c>
      <c r="AE71" s="31" t="n">
        <v>1098.7711851173</v>
      </c>
      <c r="AF71" s="31" t="n">
        <v>789.3453252607273</v>
      </c>
      <c r="AG71" s="31" t="n">
        <v>359.205916928851</v>
      </c>
      <c r="AH71" s="31" t="n">
        <v>1261.013825513475</v>
      </c>
      <c r="AI71" s="31" t="n">
        <v>2768.395798710855</v>
      </c>
      <c r="AJ71" s="31" t="n">
        <v>978.879026543709</v>
      </c>
      <c r="AK71" s="31" t="n">
        <v>808.2205820298448</v>
      </c>
      <c r="AL71" s="31" t="n">
        <v>412.9439900112781</v>
      </c>
      <c r="AM71" s="31" t="n">
        <v>483.984776420816</v>
      </c>
      <c r="AN71" s="31" t="n">
        <v>730.1662759792036</v>
      </c>
      <c r="AO71" s="31" t="n">
        <v>2539.212861131504</v>
      </c>
      <c r="AP71" s="31" t="n">
        <v>3577.359600815493</v>
      </c>
      <c r="AQ71" s="31" t="n">
        <v>1090.964813578528</v>
      </c>
      <c r="AR71" s="31" t="n">
        <v>14794.46069246157</v>
      </c>
      <c r="AS71" s="31" t="n">
        <v>5710.142494616261</v>
      </c>
      <c r="AT71" s="31" t="n">
        <v>2110.523443212996</v>
      </c>
      <c r="AU71" s="31" t="n">
        <v>2750.209552710032</v>
      </c>
      <c r="AV71" s="31" t="n">
        <v>3691.492572114572</v>
      </c>
      <c r="AW71" s="31" t="n">
        <v>175.5181274067148</v>
      </c>
      <c r="AX71" s="31" t="n">
        <v>1899.310703819222</v>
      </c>
      <c r="AY71" s="31" t="n">
        <v>878.3064203587368</v>
      </c>
      <c r="AZ71" s="31" t="n">
        <v>1682.002527229805</v>
      </c>
      <c r="BA71" s="31" t="n">
        <v>4435.247202679285</v>
      </c>
      <c r="BB71" s="31" t="n">
        <v>6581.855485302314</v>
      </c>
      <c r="BC71" s="31" t="n">
        <v>1503.780831040312</v>
      </c>
      <c r="BD71" s="31" t="n">
        <v>438.6037062897397</v>
      </c>
      <c r="BE71" s="31" t="n">
        <v>1078.111172725148</v>
      </c>
      <c r="BF71" s="31" t="n">
        <v>1325.390388335036</v>
      </c>
      <c r="BG71" s="31" t="n">
        <v>592.9819481277206</v>
      </c>
      <c r="BH71" s="31" t="n">
        <v>2533.002807256042</v>
      </c>
      <c r="BI71" s="31" t="n">
        <v>1648.092459127212</v>
      </c>
      <c r="BJ71" s="31" t="n">
        <v>508.7882261472681</v>
      </c>
      <c r="BK71" s="31" t="n">
        <v>5009.018700373406</v>
      </c>
      <c r="BL71" s="31" t="n">
        <v>1983.097020111998</v>
      </c>
      <c r="BM71" s="31" t="n">
        <v>2900.883299491498</v>
      </c>
      <c r="BN71" s="31" t="n">
        <v>2929.207071715138</v>
      </c>
      <c r="BO71" s="31" t="n">
        <v>1017.611333453619</v>
      </c>
      <c r="BP71" s="31" t="n">
        <v>648.0928711850579</v>
      </c>
      <c r="BQ71" s="31" t="n">
        <v>424.8700307682021</v>
      </c>
      <c r="BR71" s="31" t="n">
        <v>0</v>
      </c>
      <c r="BS71" s="31">
        <f>SUM(C71:BR71)</f>
        <v/>
      </c>
      <c r="BT71" s="31" t="n">
        <v>0</v>
      </c>
      <c r="BU71" s="31" t="n">
        <v>0</v>
      </c>
      <c r="BV71" s="31" t="n">
        <v>9679.478452680112</v>
      </c>
      <c r="BW71" s="31" t="n">
        <v>0</v>
      </c>
      <c r="BX71" s="31">
        <f>SUM(BT71:BW71)</f>
        <v/>
      </c>
      <c r="BY71" s="31">
        <f>BS71+BX71</f>
        <v/>
      </c>
    </row>
    <row r="72">
      <c r="A72" s="28" t="inlineStr">
        <is>
          <t>7880</t>
        </is>
      </c>
      <c r="B72" s="28" t="inlineStr">
        <is>
          <t>Outras atividades administrativas e serviços complementares</t>
        </is>
      </c>
      <c r="C72" s="29" t="n">
        <v>48.02829370454732</v>
      </c>
      <c r="D72" s="29" t="n">
        <v>24.03685192814886</v>
      </c>
      <c r="E72" s="29" t="n">
        <v>35.83117278176269</v>
      </c>
      <c r="F72" s="29" t="n">
        <v>1046.318643248867</v>
      </c>
      <c r="G72" s="29" t="n">
        <v>1241.537981534914</v>
      </c>
      <c r="H72" s="29" t="n">
        <v>2410.848233584514</v>
      </c>
      <c r="I72" s="29" t="n">
        <v>405.8999774026249</v>
      </c>
      <c r="J72" s="29" t="n">
        <v>1436.339822962436</v>
      </c>
      <c r="K72" s="29" t="n">
        <v>1226.527785477357</v>
      </c>
      <c r="L72" s="29" t="n">
        <v>2028.755451148491</v>
      </c>
      <c r="M72" s="29" t="n">
        <v>1740.600381124</v>
      </c>
      <c r="N72" s="29" t="n">
        <v>345.6149443385647</v>
      </c>
      <c r="O72" s="29" t="n">
        <v>263.8828494758964</v>
      </c>
      <c r="P72" s="29" t="n">
        <v>348.2097943032361</v>
      </c>
      <c r="Q72" s="29" t="n">
        <v>379.7179537893812</v>
      </c>
      <c r="R72" s="29" t="n">
        <v>114.2297861740064</v>
      </c>
      <c r="S72" s="29" t="n">
        <v>1163.921691463398</v>
      </c>
      <c r="T72" s="29" t="n">
        <v>40.34021826853014</v>
      </c>
      <c r="U72" s="29" t="n">
        <v>457.3785187775161</v>
      </c>
      <c r="V72" s="29" t="n">
        <v>1206.091580513879</v>
      </c>
      <c r="W72" s="29" t="n">
        <v>873.8731339022967</v>
      </c>
      <c r="X72" s="29" t="n">
        <v>1200.588798992386</v>
      </c>
      <c r="Y72" s="29" t="n">
        <v>478.8610481794392</v>
      </c>
      <c r="Z72" s="29" t="n">
        <v>1333.637170753435</v>
      </c>
      <c r="AA72" s="29" t="n">
        <v>1047.98752484355</v>
      </c>
      <c r="AB72" s="29" t="n">
        <v>1649.219192627596</v>
      </c>
      <c r="AC72" s="29" t="n">
        <v>895.7224962245335</v>
      </c>
      <c r="AD72" s="29" t="n">
        <v>1113.255277878852</v>
      </c>
      <c r="AE72" s="29" t="n">
        <v>1356.630404975133</v>
      </c>
      <c r="AF72" s="29" t="n">
        <v>1251.444151661726</v>
      </c>
      <c r="AG72" s="29" t="n">
        <v>1039.062528579291</v>
      </c>
      <c r="AH72" s="29" t="n">
        <v>3612.431273943748</v>
      </c>
      <c r="AI72" s="29" t="n">
        <v>1630.490303208705</v>
      </c>
      <c r="AJ72" s="29" t="n">
        <v>510.5401273479366</v>
      </c>
      <c r="AK72" s="29" t="n">
        <v>144.1200524100127</v>
      </c>
      <c r="AL72" s="29" t="n">
        <v>433.3089900593526</v>
      </c>
      <c r="AM72" s="29" t="n">
        <v>495.3876628232339</v>
      </c>
      <c r="AN72" s="29" t="n">
        <v>2981.860839931495</v>
      </c>
      <c r="AO72" s="29" t="n">
        <v>661.279231413556</v>
      </c>
      <c r="AP72" s="29" t="n">
        <v>2629.768094183021</v>
      </c>
      <c r="AQ72" s="29" t="n">
        <v>2706.956201324439</v>
      </c>
      <c r="AR72" s="29" t="n">
        <v>53314.20622000093</v>
      </c>
      <c r="AS72" s="29" t="n">
        <v>3398.618348297782</v>
      </c>
      <c r="AT72" s="29" t="n">
        <v>183.0977573973979</v>
      </c>
      <c r="AU72" s="29" t="n">
        <v>1162.434210179262</v>
      </c>
      <c r="AV72" s="29" t="n">
        <v>5086.240297077606</v>
      </c>
      <c r="AW72" s="29" t="n">
        <v>1156.67750929411</v>
      </c>
      <c r="AX72" s="29" t="n">
        <v>2698.1657133667</v>
      </c>
      <c r="AY72" s="29" t="n">
        <v>270.5048568943096</v>
      </c>
      <c r="AZ72" s="29" t="n">
        <v>1155.492901559674</v>
      </c>
      <c r="BA72" s="29" t="n">
        <v>26385.73103456107</v>
      </c>
      <c r="BB72" s="29" t="n">
        <v>14603.68690987645</v>
      </c>
      <c r="BC72" s="29" t="n">
        <v>26351.43826076964</v>
      </c>
      <c r="BD72" s="29" t="n">
        <v>1882.16961967784</v>
      </c>
      <c r="BE72" s="29" t="n">
        <v>6640.118577346084</v>
      </c>
      <c r="BF72" s="29" t="n">
        <v>916.0003890789919</v>
      </c>
      <c r="BG72" s="29" t="n">
        <v>1481.708003712464</v>
      </c>
      <c r="BH72" s="29" t="n">
        <v>1087.068440448818</v>
      </c>
      <c r="BI72" s="29" t="n">
        <v>9016.150134734755</v>
      </c>
      <c r="BJ72" s="29" t="n">
        <v>726.4031188434346</v>
      </c>
      <c r="BK72" s="29" t="n">
        <v>28512.45714510861</v>
      </c>
      <c r="BL72" s="29" t="n">
        <v>14275.67586219709</v>
      </c>
      <c r="BM72" s="29" t="n">
        <v>6633.281454107257</v>
      </c>
      <c r="BN72" s="29" t="n">
        <v>15842.42150927347</v>
      </c>
      <c r="BO72" s="29" t="n">
        <v>4874.345795105192</v>
      </c>
      <c r="BP72" s="29" t="n">
        <v>1491.377743670041</v>
      </c>
      <c r="BQ72" s="29" t="n">
        <v>7824.201526192992</v>
      </c>
      <c r="BR72" s="29" t="n">
        <v>0</v>
      </c>
      <c r="BS72" s="29">
        <f>SUM(C72:BR72)</f>
        <v/>
      </c>
      <c r="BT72" s="29" t="n">
        <v>0</v>
      </c>
      <c r="BU72" s="29" t="n">
        <v>0</v>
      </c>
      <c r="BV72" s="29" t="n">
        <v>58385.29832636271</v>
      </c>
      <c r="BW72" s="29" t="n">
        <v>0</v>
      </c>
      <c r="BX72" s="29">
        <f>SUM(BT72:BW72)</f>
        <v/>
      </c>
      <c r="BY72" s="29">
        <f>BS72+BX72</f>
        <v/>
      </c>
    </row>
    <row r="73">
      <c r="A73" s="30" t="inlineStr">
        <is>
          <t>8000</t>
        </is>
      </c>
      <c r="B73" s="30" t="inlineStr">
        <is>
          <t>Atividades de vigilância, segurança e investigação</t>
        </is>
      </c>
      <c r="C73" s="31" t="n">
        <v>1.003097147109416</v>
      </c>
      <c r="D73" s="31" t="n">
        <v>0.002303103737497173</v>
      </c>
      <c r="E73" s="31" t="n">
        <v>2.002313575855937</v>
      </c>
      <c r="F73" s="31" t="n">
        <v>10.014545082517</v>
      </c>
      <c r="G73" s="31" t="n">
        <v>149.1546383076331</v>
      </c>
      <c r="H73" s="31" t="n">
        <v>196.0534589292902</v>
      </c>
      <c r="I73" s="31" t="n">
        <v>25.01632263837268</v>
      </c>
      <c r="J73" s="31" t="n">
        <v>541.4241883472176</v>
      </c>
      <c r="K73" s="31" t="n">
        <v>248.1563856267741</v>
      </c>
      <c r="L73" s="31" t="n">
        <v>415.8296517768474</v>
      </c>
      <c r="M73" s="31" t="n">
        <v>152.0501675624997</v>
      </c>
      <c r="N73" s="31" t="n">
        <v>183.0395156124239</v>
      </c>
      <c r="O73" s="31" t="n">
        <v>38.19082368206283</v>
      </c>
      <c r="P73" s="31" t="n">
        <v>36.22457813671321</v>
      </c>
      <c r="Q73" s="31" t="n">
        <v>38.12877612302049</v>
      </c>
      <c r="R73" s="31" t="n">
        <v>104.0949663948381</v>
      </c>
      <c r="S73" s="31" t="n">
        <v>751.4036269607392</v>
      </c>
      <c r="T73" s="31" t="n">
        <v>16.02463056721717</v>
      </c>
      <c r="U73" s="31" t="n">
        <v>180.163986202134</v>
      </c>
      <c r="V73" s="31" t="n">
        <v>4.235208275902604</v>
      </c>
      <c r="W73" s="31" t="n">
        <v>473.2758674998569</v>
      </c>
      <c r="X73" s="31" t="n">
        <v>232.209423071378</v>
      </c>
      <c r="Y73" s="31" t="n">
        <v>40.06955679827603</v>
      </c>
      <c r="Z73" s="31" t="n">
        <v>293.2773975044594</v>
      </c>
      <c r="AA73" s="31" t="n">
        <v>273.3990860815932</v>
      </c>
      <c r="AB73" s="31" t="n">
        <v>573.2549910146014</v>
      </c>
      <c r="AC73" s="31" t="n">
        <v>103.3357749671483</v>
      </c>
      <c r="AD73" s="31" t="n">
        <v>93.07277031832892</v>
      </c>
      <c r="AE73" s="31" t="n">
        <v>250.2994698575072</v>
      </c>
      <c r="AF73" s="31" t="n">
        <v>142.1597094852302</v>
      </c>
      <c r="AG73" s="31" t="n">
        <v>113.1877334361433</v>
      </c>
      <c r="AH73" s="31" t="n">
        <v>356.5632223279768</v>
      </c>
      <c r="AI73" s="31" t="n">
        <v>496.0499133187174</v>
      </c>
      <c r="AJ73" s="31" t="n">
        <v>334.0759386196468</v>
      </c>
      <c r="AK73" s="31" t="n">
        <v>80.03137329551456</v>
      </c>
      <c r="AL73" s="31" t="n">
        <v>62.18934992197227</v>
      </c>
      <c r="AM73" s="31" t="n">
        <v>206.0200443329992</v>
      </c>
      <c r="AN73" s="31" t="n">
        <v>269.2241855004403</v>
      </c>
      <c r="AO73" s="31" t="n">
        <v>670.1225462155356</v>
      </c>
      <c r="AP73" s="31" t="n">
        <v>616.3429823845834</v>
      </c>
      <c r="AQ73" s="31" t="n">
        <v>767.2396139436108</v>
      </c>
      <c r="AR73" s="31" t="n">
        <v>6435.2534201912</v>
      </c>
      <c r="AS73" s="31" t="n">
        <v>1970.441198915727</v>
      </c>
      <c r="AT73" s="31" t="n">
        <v>43.03655449852381</v>
      </c>
      <c r="AU73" s="31" t="n">
        <v>176.0293824133704</v>
      </c>
      <c r="AV73" s="31" t="n">
        <v>4029.241696161881</v>
      </c>
      <c r="AW73" s="31" t="n">
        <v>97.35166353010239</v>
      </c>
      <c r="AX73" s="31" t="n">
        <v>640.5602755572438</v>
      </c>
      <c r="AY73" s="31" t="n">
        <v>29.09437024640629</v>
      </c>
      <c r="AZ73" s="31" t="n">
        <v>275.209406460389</v>
      </c>
      <c r="BA73" s="31" t="n">
        <v>531.9697198928226</v>
      </c>
      <c r="BB73" s="31" t="n">
        <v>919.9811440030602</v>
      </c>
      <c r="BC73" s="31" t="n">
        <v>4254.544045330307</v>
      </c>
      <c r="BD73" s="31" t="n">
        <v>201.6575182582572</v>
      </c>
      <c r="BE73" s="31" t="n">
        <v>924.8344544780899</v>
      </c>
      <c r="BF73" s="31" t="n">
        <v>17.31553082925594</v>
      </c>
      <c r="BG73" s="31" t="n">
        <v>330.5723388245752</v>
      </c>
      <c r="BH73" s="31" t="n">
        <v>155.3822027314007</v>
      </c>
      <c r="BI73" s="31" t="n">
        <v>900.256557558572</v>
      </c>
      <c r="BJ73" s="31" t="n">
        <v>58.10586849611587</v>
      </c>
      <c r="BK73" s="31" t="n">
        <v>8601.750061292494</v>
      </c>
      <c r="BL73" s="31" t="n">
        <v>4068.18115298952</v>
      </c>
      <c r="BM73" s="31" t="n">
        <v>1657.737763963298</v>
      </c>
      <c r="BN73" s="31" t="n">
        <v>1935.15385279442</v>
      </c>
      <c r="BO73" s="31" t="n">
        <v>0.9145565358517931</v>
      </c>
      <c r="BP73" s="31" t="n">
        <v>166.2544265506381</v>
      </c>
      <c r="BQ73" s="31" t="n">
        <v>3.18862102571434</v>
      </c>
      <c r="BR73" s="31" t="n">
        <v>0</v>
      </c>
      <c r="BS73" s="31">
        <f>SUM(C73:BR73)</f>
        <v/>
      </c>
      <c r="BT73" s="31" t="n">
        <v>0</v>
      </c>
      <c r="BU73" s="31" t="n">
        <v>0</v>
      </c>
      <c r="BV73" s="31" t="n">
        <v>560.5603185020369</v>
      </c>
      <c r="BW73" s="31" t="n">
        <v>0</v>
      </c>
      <c r="BX73" s="31">
        <f>SUM(BT73:BW73)</f>
        <v/>
      </c>
      <c r="BY73" s="31">
        <f>BS73+BX73</f>
        <v/>
      </c>
    </row>
    <row r="74">
      <c r="A74" s="28" t="inlineStr">
        <is>
          <t>8400</t>
        </is>
      </c>
      <c r="B74" s="28" t="inlineStr">
        <is>
          <t>Administração pública, defesa e seguridade social</t>
        </is>
      </c>
      <c r="C74" s="29" t="n">
        <v>691.7073598059453</v>
      </c>
      <c r="D74" s="29" t="n">
        <v>204.1159785074886</v>
      </c>
      <c r="E74" s="29" t="n">
        <v>25.13505310960689</v>
      </c>
      <c r="F74" s="29" t="n">
        <v>45.34342308315581</v>
      </c>
      <c r="G74" s="29" t="n">
        <v>661.975239141261</v>
      </c>
      <c r="H74" s="29" t="n">
        <v>481.3777305919131</v>
      </c>
      <c r="I74" s="29" t="n">
        <v>53.37159042764272</v>
      </c>
      <c r="J74" s="29" t="n">
        <v>717.7447634004265</v>
      </c>
      <c r="K74" s="29" t="n">
        <v>211.5167936864034</v>
      </c>
      <c r="L74" s="29" t="n">
        <v>1066.317053484149</v>
      </c>
      <c r="M74" s="29" t="n">
        <v>704.0439662026604</v>
      </c>
      <c r="N74" s="29" t="n">
        <v>86.47827832298375</v>
      </c>
      <c r="O74" s="29" t="n">
        <v>53.56352307274864</v>
      </c>
      <c r="P74" s="29" t="n">
        <v>72.0765200851604</v>
      </c>
      <c r="Q74" s="29" t="n">
        <v>87.04006699016095</v>
      </c>
      <c r="R74" s="29" t="n">
        <v>135.7916045320498</v>
      </c>
      <c r="S74" s="29" t="n">
        <v>550.1627298103593</v>
      </c>
      <c r="T74" s="29" t="n">
        <v>17.66570452087945</v>
      </c>
      <c r="U74" s="29" t="n">
        <v>297.5727499635452</v>
      </c>
      <c r="V74" s="29" t="n">
        <v>162.2942565664756</v>
      </c>
      <c r="W74" s="29" t="n">
        <v>2733.522860681547</v>
      </c>
      <c r="X74" s="29" t="n">
        <v>516.1106387139432</v>
      </c>
      <c r="Y74" s="29" t="n">
        <v>278.7946119218641</v>
      </c>
      <c r="Z74" s="29" t="n">
        <v>494.6991968409461</v>
      </c>
      <c r="AA74" s="29" t="n">
        <v>307.5069394427548</v>
      </c>
      <c r="AB74" s="29" t="n">
        <v>416.3387193546099</v>
      </c>
      <c r="AC74" s="29" t="n">
        <v>783.8964791199928</v>
      </c>
      <c r="AD74" s="29" t="n">
        <v>367.9556025494392</v>
      </c>
      <c r="AE74" s="29" t="n">
        <v>243.2761779910217</v>
      </c>
      <c r="AF74" s="29" t="n">
        <v>257.0771274816125</v>
      </c>
      <c r="AG74" s="29" t="n">
        <v>213.1986174995858</v>
      </c>
      <c r="AH74" s="29" t="n">
        <v>476.0025965080709</v>
      </c>
      <c r="AI74" s="29" t="n">
        <v>589.0629751846712</v>
      </c>
      <c r="AJ74" s="29" t="n">
        <v>190.1378405508255</v>
      </c>
      <c r="AK74" s="29" t="n">
        <v>68.30020703141163</v>
      </c>
      <c r="AL74" s="29" t="n">
        <v>119.2984097231155</v>
      </c>
      <c r="AM74" s="29" t="n">
        <v>129.3532803258921</v>
      </c>
      <c r="AN74" s="29" t="n">
        <v>678.7485945022059</v>
      </c>
      <c r="AO74" s="29" t="n">
        <v>303.6580441867455</v>
      </c>
      <c r="AP74" s="29" t="n">
        <v>597.2507795658324</v>
      </c>
      <c r="AQ74" s="29" t="n">
        <v>580.6332084994311</v>
      </c>
      <c r="AR74" s="29" t="n">
        <v>4972.939962495303</v>
      </c>
      <c r="AS74" s="29" t="n">
        <v>566.2495852650558</v>
      </c>
      <c r="AT74" s="29" t="n">
        <v>117.4154941007531</v>
      </c>
      <c r="AU74" s="29" t="n">
        <v>156.4267101969021</v>
      </c>
      <c r="AV74" s="29" t="n">
        <v>867.6007723951476</v>
      </c>
      <c r="AW74" s="29" t="n">
        <v>118.8451739820896</v>
      </c>
      <c r="AX74" s="29" t="n">
        <v>290.6051828220767</v>
      </c>
      <c r="AY74" s="29" t="n">
        <v>76.26683721905113</v>
      </c>
      <c r="AZ74" s="29" t="n">
        <v>322.7627783620571</v>
      </c>
      <c r="BA74" s="29" t="n">
        <v>538.0868503179299</v>
      </c>
      <c r="BB74" s="29" t="n">
        <v>857.6447195839955</v>
      </c>
      <c r="BC74" s="29" t="n">
        <v>1946.867436596458</v>
      </c>
      <c r="BD74" s="29" t="n">
        <v>252.7767856161546</v>
      </c>
      <c r="BE74" s="29" t="n">
        <v>1317.655418752235</v>
      </c>
      <c r="BF74" s="29" t="n">
        <v>613.9419973099638</v>
      </c>
      <c r="BG74" s="29" t="n">
        <v>724.9441278438278</v>
      </c>
      <c r="BH74" s="29" t="n">
        <v>194.7706458782117</v>
      </c>
      <c r="BI74" s="29" t="n">
        <v>1105.878441527254</v>
      </c>
      <c r="BJ74" s="29" t="n">
        <v>96.06824999463885</v>
      </c>
      <c r="BK74" s="29" t="n">
        <v>2235.711138591452</v>
      </c>
      <c r="BL74" s="29" t="n">
        <v>557.5079604454513</v>
      </c>
      <c r="BM74" s="29" t="n">
        <v>613.4479694985895</v>
      </c>
      <c r="BN74" s="29" t="n">
        <v>750.0124045185798</v>
      </c>
      <c r="BO74" s="29" t="n">
        <v>652.2651909106168</v>
      </c>
      <c r="BP74" s="29" t="n">
        <v>258.0496690658034</v>
      </c>
      <c r="BQ74" s="29" t="n">
        <v>1048.324022410266</v>
      </c>
      <c r="BR74" s="29" t="n">
        <v>0</v>
      </c>
      <c r="BS74" s="29">
        <f>SUM(C74:BR74)</f>
        <v/>
      </c>
      <c r="BT74" s="29" t="n">
        <v>0</v>
      </c>
      <c r="BU74" s="29" t="n">
        <v>0</v>
      </c>
      <c r="BV74" s="29" t="n">
        <v>961605.6716198378</v>
      </c>
      <c r="BW74" s="29" t="n">
        <v>0</v>
      </c>
      <c r="BX74" s="29">
        <f>SUM(BT74:BW74)</f>
        <v/>
      </c>
      <c r="BY74" s="29">
        <f>BS74+BX74</f>
        <v/>
      </c>
    </row>
    <row r="75">
      <c r="A75" s="30" t="inlineStr">
        <is>
          <t>8591</t>
        </is>
      </c>
      <c r="B75" s="30" t="inlineStr">
        <is>
          <t>Educação pública</t>
        </is>
      </c>
      <c r="C75" s="31" t="n">
        <v>2.279931402978736</v>
      </c>
      <c r="D75" s="31" t="n">
        <v>0.301925633530613</v>
      </c>
      <c r="E75" s="31" t="n">
        <v>0.06203844631198421</v>
      </c>
      <c r="F75" s="31" t="n">
        <v>1.917729541724727</v>
      </c>
      <c r="G75" s="31" t="n">
        <v>6.284282753741307</v>
      </c>
      <c r="H75" s="31" t="n">
        <v>91.21928410342947</v>
      </c>
      <c r="I75" s="31" t="n">
        <v>0.968146153243123</v>
      </c>
      <c r="J75" s="31" t="n">
        <v>36.81010619415723</v>
      </c>
      <c r="K75" s="31" t="n">
        <v>6.719541062322373</v>
      </c>
      <c r="L75" s="31" t="n">
        <v>18.9854178326687</v>
      </c>
      <c r="M75" s="31" t="n">
        <v>28.23175670001164</v>
      </c>
      <c r="N75" s="31" t="n">
        <v>7.437561520617499</v>
      </c>
      <c r="O75" s="31" t="n">
        <v>0.6494289495878917</v>
      </c>
      <c r="P75" s="31" t="n">
        <v>5.460081283559815</v>
      </c>
      <c r="Q75" s="31" t="n">
        <v>6.815376456382175</v>
      </c>
      <c r="R75" s="31" t="n">
        <v>5.680815982314811</v>
      </c>
      <c r="S75" s="31" t="n">
        <v>14.6287158883003</v>
      </c>
      <c r="T75" s="31" t="n">
        <v>0.4184470279259757</v>
      </c>
      <c r="U75" s="31" t="n">
        <v>2.51710706533285</v>
      </c>
      <c r="V75" s="31" t="n">
        <v>1.397748176430753</v>
      </c>
      <c r="W75" s="31" t="n">
        <v>39.3298993357779</v>
      </c>
      <c r="X75" s="31" t="n">
        <v>11.39271150552766</v>
      </c>
      <c r="Y75" s="31" t="n">
        <v>19.33922072861384</v>
      </c>
      <c r="Z75" s="31" t="n">
        <v>68.87137132343807</v>
      </c>
      <c r="AA75" s="31" t="n">
        <v>13.05330243750366</v>
      </c>
      <c r="AB75" s="31" t="n">
        <v>13.93361586252445</v>
      </c>
      <c r="AC75" s="31" t="n">
        <v>13.44230713930554</v>
      </c>
      <c r="AD75" s="31" t="n">
        <v>39.23235978165737</v>
      </c>
      <c r="AE75" s="31" t="n">
        <v>6.341931870963073</v>
      </c>
      <c r="AF75" s="31" t="n">
        <v>13.95166036462667</v>
      </c>
      <c r="AG75" s="31" t="n">
        <v>42.87124562936798</v>
      </c>
      <c r="AH75" s="31" t="n">
        <v>52.33537689286718</v>
      </c>
      <c r="AI75" s="31" t="n">
        <v>66.64236657142786</v>
      </c>
      <c r="AJ75" s="31" t="n">
        <v>39.15938908344257</v>
      </c>
      <c r="AK75" s="31" t="n">
        <v>7.608373682059388</v>
      </c>
      <c r="AL75" s="31" t="n">
        <v>7.754156830870683</v>
      </c>
      <c r="AM75" s="31" t="n">
        <v>1.418585628034658</v>
      </c>
      <c r="AN75" s="31" t="n">
        <v>22.8014958612799</v>
      </c>
      <c r="AO75" s="31" t="n">
        <v>4.52255118486282</v>
      </c>
      <c r="AP75" s="31" t="n">
        <v>13.44807838006322</v>
      </c>
      <c r="AQ75" s="31" t="n">
        <v>7.181541228178354</v>
      </c>
      <c r="AR75" s="31" t="n">
        <v>152.7653138504542</v>
      </c>
      <c r="AS75" s="31" t="n">
        <v>15.81457020772423</v>
      </c>
      <c r="AT75" s="31" t="n">
        <v>1.41535447186595</v>
      </c>
      <c r="AU75" s="31" t="n">
        <v>1.125980270121454</v>
      </c>
      <c r="AV75" s="31" t="n">
        <v>16.24483898714738</v>
      </c>
      <c r="AW75" s="31" t="n">
        <v>1.703005502863783</v>
      </c>
      <c r="AX75" s="31" t="n">
        <v>4.605925761421346</v>
      </c>
      <c r="AY75" s="31" t="n">
        <v>1.05299753627118</v>
      </c>
      <c r="AZ75" s="31" t="n">
        <v>1.747734516712578</v>
      </c>
      <c r="BA75" s="31" t="n">
        <v>45.47932253051629</v>
      </c>
      <c r="BB75" s="31" t="n">
        <v>60.95656201466683</v>
      </c>
      <c r="BC75" s="31" t="n">
        <v>52.5673572970098</v>
      </c>
      <c r="BD75" s="31" t="n">
        <v>2.940779745613791</v>
      </c>
      <c r="BE75" s="31" t="n">
        <v>36.7606754624243</v>
      </c>
      <c r="BF75" s="31" t="n">
        <v>243.6973290311616</v>
      </c>
      <c r="BG75" s="31" t="n">
        <v>10.94597458968915</v>
      </c>
      <c r="BH75" s="31" t="n">
        <v>12.81357862978387</v>
      </c>
      <c r="BI75" s="31" t="n">
        <v>30.95617547939409</v>
      </c>
      <c r="BJ75" s="31" t="n">
        <v>2.863300816910541</v>
      </c>
      <c r="BK75" s="31" t="n">
        <v>34.96403126948285</v>
      </c>
      <c r="BL75" s="31" t="n">
        <v>14.51861977306603</v>
      </c>
      <c r="BM75" s="31" t="n">
        <v>9.244209475763366</v>
      </c>
      <c r="BN75" s="31" t="n">
        <v>21.15620105186738</v>
      </c>
      <c r="BO75" s="31" t="n">
        <v>34.0115683530452</v>
      </c>
      <c r="BP75" s="31" t="n">
        <v>3.782847168152808</v>
      </c>
      <c r="BQ75" s="31" t="n">
        <v>18.01370342728152</v>
      </c>
      <c r="BR75" s="31" t="n">
        <v>0</v>
      </c>
      <c r="BS75" s="31">
        <f>SUM(C75:BR75)</f>
        <v/>
      </c>
      <c r="BT75" s="31" t="n">
        <v>0</v>
      </c>
      <c r="BU75" s="31" t="n">
        <v>0</v>
      </c>
      <c r="BV75" s="31" t="n">
        <v>402819.180679907</v>
      </c>
      <c r="BW75" s="31" t="n">
        <v>0</v>
      </c>
      <c r="BX75" s="31">
        <f>SUM(BT75:BW75)</f>
        <v/>
      </c>
      <c r="BY75" s="31">
        <f>BS75+BX75</f>
        <v/>
      </c>
    </row>
    <row r="76">
      <c r="A76" s="28" t="inlineStr">
        <is>
          <t>8592</t>
        </is>
      </c>
      <c r="B76" s="28" t="inlineStr">
        <is>
          <t>Educação privada</t>
        </is>
      </c>
      <c r="C76" s="29" t="n">
        <v>4.825453557353701</v>
      </c>
      <c r="D76" s="29" t="n">
        <v>0.9750390262729208</v>
      </c>
      <c r="E76" s="29" t="n">
        <v>0.01439941987948687</v>
      </c>
      <c r="F76" s="29" t="n">
        <v>1.057596411931493</v>
      </c>
      <c r="G76" s="29" t="n">
        <v>76.89262201914079</v>
      </c>
      <c r="H76" s="29" t="n">
        <v>564.9633444276044</v>
      </c>
      <c r="I76" s="29" t="n">
        <v>48.15593356435841</v>
      </c>
      <c r="J76" s="29" t="n">
        <v>8.2137390142796</v>
      </c>
      <c r="K76" s="29" t="n">
        <v>0.9186363866854195</v>
      </c>
      <c r="L76" s="29" t="n">
        <v>39.30886568762471</v>
      </c>
      <c r="M76" s="29" t="n">
        <v>1.671667689237938</v>
      </c>
      <c r="N76" s="29" t="n">
        <v>0.4984995281430959</v>
      </c>
      <c r="O76" s="29" t="n">
        <v>1.746118384183915</v>
      </c>
      <c r="P76" s="29" t="n">
        <v>1.204023726195099</v>
      </c>
      <c r="Q76" s="29" t="n">
        <v>0.6778023642454181</v>
      </c>
      <c r="R76" s="29" t="n">
        <v>0.5453885577315578</v>
      </c>
      <c r="S76" s="29" t="n">
        <v>87.21346429182401</v>
      </c>
      <c r="T76" s="29" t="n">
        <v>0.1331304786199614</v>
      </c>
      <c r="U76" s="29" t="n">
        <v>19.85264158003121</v>
      </c>
      <c r="V76" s="29" t="n">
        <v>0.9162535829068625</v>
      </c>
      <c r="W76" s="29" t="n">
        <v>29.59507144014111</v>
      </c>
      <c r="X76" s="29" t="n">
        <v>55.78547456400695</v>
      </c>
      <c r="Y76" s="29" t="n">
        <v>1.428346857127002</v>
      </c>
      <c r="Z76" s="29" t="n">
        <v>4.731287421476516</v>
      </c>
      <c r="AA76" s="29" t="n">
        <v>3.902131123415602</v>
      </c>
      <c r="AB76" s="29" t="n">
        <v>1.36727050133841</v>
      </c>
      <c r="AC76" s="29" t="n">
        <v>368.0164004240299</v>
      </c>
      <c r="AD76" s="29" t="n">
        <v>143.6859495567556</v>
      </c>
      <c r="AE76" s="29" t="n">
        <v>115.5296794032578</v>
      </c>
      <c r="AF76" s="29" t="n">
        <v>2.123403828275312</v>
      </c>
      <c r="AG76" s="29" t="n">
        <v>2.910908068022274</v>
      </c>
      <c r="AH76" s="29" t="n">
        <v>44.34456301968847</v>
      </c>
      <c r="AI76" s="29" t="n">
        <v>176.0834761699915</v>
      </c>
      <c r="AJ76" s="29" t="n">
        <v>4.606717902259012</v>
      </c>
      <c r="AK76" s="29" t="n">
        <v>0.5454632650036849</v>
      </c>
      <c r="AL76" s="29" t="n">
        <v>1.082398151791107</v>
      </c>
      <c r="AM76" s="29" t="n">
        <v>11.67337486354245</v>
      </c>
      <c r="AN76" s="29" t="n">
        <v>124.5106332242366</v>
      </c>
      <c r="AO76" s="29" t="n">
        <v>1.876235121397556</v>
      </c>
      <c r="AP76" s="29" t="n">
        <v>4.391972339060186</v>
      </c>
      <c r="AQ76" s="29" t="n">
        <v>44.26232210432775</v>
      </c>
      <c r="AR76" s="29" t="n">
        <v>1583.201433169688</v>
      </c>
      <c r="AS76" s="29" t="n">
        <v>1958.978277410911</v>
      </c>
      <c r="AT76" s="29" t="n">
        <v>180.07777710915</v>
      </c>
      <c r="AU76" s="29" t="n">
        <v>10.76230006041384</v>
      </c>
      <c r="AV76" s="29" t="n">
        <v>508.8083222819579</v>
      </c>
      <c r="AW76" s="29" t="n">
        <v>3.150477951495127</v>
      </c>
      <c r="AX76" s="29" t="n">
        <v>9.710968766725944</v>
      </c>
      <c r="AY76" s="29" t="n">
        <v>0.4292052552441272</v>
      </c>
      <c r="AZ76" s="29" t="n">
        <v>1.013042618657847</v>
      </c>
      <c r="BA76" s="29" t="n">
        <v>69.87134168445407</v>
      </c>
      <c r="BB76" s="29" t="n">
        <v>8.356838331150515</v>
      </c>
      <c r="BC76" s="29" t="n">
        <v>3000.759389595692</v>
      </c>
      <c r="BD76" s="29" t="n">
        <v>4.092315129750168</v>
      </c>
      <c r="BE76" s="29" t="n">
        <v>3923.649606893198</v>
      </c>
      <c r="BF76" s="29" t="n">
        <v>296.780256478102</v>
      </c>
      <c r="BG76" s="29" t="n">
        <v>1405.637287590991</v>
      </c>
      <c r="BH76" s="29" t="n">
        <v>112.6091089498523</v>
      </c>
      <c r="BI76" s="29" t="n">
        <v>3494.996781061762</v>
      </c>
      <c r="BJ76" s="29" t="n">
        <v>247.7999065084308</v>
      </c>
      <c r="BK76" s="29" t="n">
        <v>391.2982761098052</v>
      </c>
      <c r="BL76" s="29" t="n">
        <v>538.7547411420999</v>
      </c>
      <c r="BM76" s="29" t="n">
        <v>10.82359385701983</v>
      </c>
      <c r="BN76" s="29" t="n">
        <v>808.8411104650095</v>
      </c>
      <c r="BO76" s="29" t="n">
        <v>5.835357540079669</v>
      </c>
      <c r="BP76" s="29" t="n">
        <v>7.796256933745015</v>
      </c>
      <c r="BQ76" s="29" t="n">
        <v>696.9745982993126</v>
      </c>
      <c r="BR76" s="29" t="n">
        <v>0</v>
      </c>
      <c r="BS76" s="29">
        <f>SUM(C76:BR76)</f>
        <v/>
      </c>
      <c r="BT76" s="29" t="n">
        <v>0</v>
      </c>
      <c r="BU76" s="29" t="n">
        <v>0</v>
      </c>
      <c r="BV76" s="29" t="n">
        <v>129433.0075683817</v>
      </c>
      <c r="BW76" s="29" t="n">
        <v>0</v>
      </c>
      <c r="BX76" s="29">
        <f>SUM(BT76:BW76)</f>
        <v/>
      </c>
      <c r="BY76" s="29">
        <f>BS76+BX76</f>
        <v/>
      </c>
    </row>
    <row r="77">
      <c r="A77" s="30" t="inlineStr">
        <is>
          <t>8691</t>
        </is>
      </c>
      <c r="B77" s="30" t="inlineStr">
        <is>
          <t>Saúde pública</t>
        </is>
      </c>
      <c r="C77" s="31" t="n">
        <v>0.01812226954657918</v>
      </c>
      <c r="D77" s="31" t="n">
        <v>0.0006160478893615307</v>
      </c>
      <c r="E77" s="31" t="n">
        <v>3.453098292442894e-05</v>
      </c>
      <c r="F77" s="31" t="n">
        <v>0.07461664489583165</v>
      </c>
      <c r="G77" s="31" t="n">
        <v>0.03803704234800091</v>
      </c>
      <c r="H77" s="31" t="n">
        <v>11.53443655233354</v>
      </c>
      <c r="I77" s="31" t="n">
        <v>0.003287005020986542</v>
      </c>
      <c r="J77" s="31" t="n">
        <v>4.32102287201826</v>
      </c>
      <c r="K77" s="31" t="n">
        <v>0.6732050696318633</v>
      </c>
      <c r="L77" s="31" t="n">
        <v>1.676238744663013</v>
      </c>
      <c r="M77" s="31" t="n">
        <v>3.41479660216489</v>
      </c>
      <c r="N77" s="31" t="n">
        <v>0.9195131842986902</v>
      </c>
      <c r="O77" s="31" t="n">
        <v>0.002951963975268625</v>
      </c>
      <c r="P77" s="31" t="n">
        <v>0.6282854109171122</v>
      </c>
      <c r="Q77" s="31" t="n">
        <v>0.8454927844315038</v>
      </c>
      <c r="R77" s="31" t="n">
        <v>0.7355352428115361</v>
      </c>
      <c r="S77" s="31" t="n">
        <v>1.591413147682019</v>
      </c>
      <c r="T77" s="31" t="n">
        <v>0.03760853183767451</v>
      </c>
      <c r="U77" s="31" t="n">
        <v>0.005799855025141231</v>
      </c>
      <c r="V77" s="31" t="n">
        <v>0.01176635975595573</v>
      </c>
      <c r="W77" s="31" t="n">
        <v>4.241562730847332</v>
      </c>
      <c r="X77" s="31" t="n">
        <v>1.114210701353519</v>
      </c>
      <c r="Y77" s="31" t="n">
        <v>2.428540124040238</v>
      </c>
      <c r="Z77" s="31" t="n">
        <v>8.967021339377812</v>
      </c>
      <c r="AA77" s="31" t="n">
        <v>1.451708219112245</v>
      </c>
      <c r="AB77" s="31" t="n">
        <v>1.443524314442963</v>
      </c>
      <c r="AC77" s="31" t="n">
        <v>1.257571080050731</v>
      </c>
      <c r="AD77" s="31" t="n">
        <v>5.029884051254054</v>
      </c>
      <c r="AE77" s="31" t="n">
        <v>0.4511446208533342</v>
      </c>
      <c r="AF77" s="31" t="n">
        <v>1.514564614713823</v>
      </c>
      <c r="AG77" s="31" t="n">
        <v>5.617906353134741</v>
      </c>
      <c r="AH77" s="31" t="n">
        <v>6.204013052102709</v>
      </c>
      <c r="AI77" s="31" t="n">
        <v>8.534176086895313</v>
      </c>
      <c r="AJ77" s="31" t="n">
        <v>5.148004508794787</v>
      </c>
      <c r="AK77" s="31" t="n">
        <v>0.9923106765356332</v>
      </c>
      <c r="AL77" s="31" t="n">
        <v>0.923280214894179</v>
      </c>
      <c r="AM77" s="31" t="n">
        <v>0.04084935544030592</v>
      </c>
      <c r="AN77" s="31" t="n">
        <v>2.276390447543229</v>
      </c>
      <c r="AO77" s="31" t="n">
        <v>0.3790449548006767</v>
      </c>
      <c r="AP77" s="31" t="n">
        <v>0.8265827945370846</v>
      </c>
      <c r="AQ77" s="31" t="n">
        <v>0.02005747194008335</v>
      </c>
      <c r="AR77" s="31" t="n">
        <v>7.947679485853432</v>
      </c>
      <c r="AS77" s="31" t="n">
        <v>0.01456305361457452</v>
      </c>
      <c r="AT77" s="31" t="n">
        <v>0.0009438669802346035</v>
      </c>
      <c r="AU77" s="31" t="n">
        <v>0.0004385434831402475</v>
      </c>
      <c r="AV77" s="31" t="n">
        <v>0.128967647726291</v>
      </c>
      <c r="AW77" s="31" t="n">
        <v>0.005323386426393567</v>
      </c>
      <c r="AX77" s="31" t="n">
        <v>0.02328769488423488</v>
      </c>
      <c r="AY77" s="31" t="n">
        <v>0.07415531068890305</v>
      </c>
      <c r="AZ77" s="31" t="n">
        <v>0.002223795300333224</v>
      </c>
      <c r="BA77" s="31" t="n">
        <v>2.136542488011565</v>
      </c>
      <c r="BB77" s="31" t="n">
        <v>5.999830919689616</v>
      </c>
      <c r="BC77" s="31" t="n">
        <v>0.2515113100902395</v>
      </c>
      <c r="BD77" s="31" t="n">
        <v>0.01008752109401739</v>
      </c>
      <c r="BE77" s="31" t="n">
        <v>0.02665791881765914</v>
      </c>
      <c r="BF77" s="31" t="n">
        <v>32.32688769095511</v>
      </c>
      <c r="BG77" s="31" t="n">
        <v>0.007983563252127972</v>
      </c>
      <c r="BH77" s="31" t="n">
        <v>1.363993427949781</v>
      </c>
      <c r="BI77" s="31" t="n">
        <v>0.2749024132131981</v>
      </c>
      <c r="BJ77" s="31" t="n">
        <v>0.001477926069165559</v>
      </c>
      <c r="BK77" s="31" t="n">
        <v>0.5566995934920808</v>
      </c>
      <c r="BL77" s="31" t="n">
        <v>0.07912757153979773</v>
      </c>
      <c r="BM77" s="31" t="n">
        <v>0.0647212540771924</v>
      </c>
      <c r="BN77" s="31" t="n">
        <v>0.2706800289984635</v>
      </c>
      <c r="BO77" s="31" t="n">
        <v>411.0680496208416</v>
      </c>
      <c r="BP77" s="31" t="n">
        <v>0.01868816795870094</v>
      </c>
      <c r="BQ77" s="31" t="n">
        <v>0.01771094114193961</v>
      </c>
      <c r="BR77" s="31" t="n">
        <v>0</v>
      </c>
      <c r="BS77" s="31">
        <f>SUM(C77:BR77)</f>
        <v/>
      </c>
      <c r="BT77" s="31" t="n">
        <v>0</v>
      </c>
      <c r="BU77" s="31" t="n">
        <v>0</v>
      </c>
      <c r="BV77" s="31" t="n">
        <v>278627.7379558351</v>
      </c>
      <c r="BW77" s="31" t="n">
        <v>0</v>
      </c>
      <c r="BX77" s="31">
        <f>SUM(BT77:BW77)</f>
        <v/>
      </c>
      <c r="BY77" s="31">
        <f>BS77+BX77</f>
        <v/>
      </c>
    </row>
    <row r="78">
      <c r="A78" s="28" t="inlineStr">
        <is>
          <t>8692</t>
        </is>
      </c>
      <c r="B78" s="28" t="inlineStr">
        <is>
          <t>Saúde privada</t>
        </is>
      </c>
      <c r="C78" s="29" t="n">
        <v>0.0168649320602911</v>
      </c>
      <c r="D78" s="29" t="n">
        <v>0.0137985807766018</v>
      </c>
      <c r="E78" s="29" t="n">
        <v>0.01533175641844645</v>
      </c>
      <c r="F78" s="29" t="n">
        <v>0.0607947739617225</v>
      </c>
      <c r="G78" s="29" t="n">
        <v>0.9567016005110585</v>
      </c>
      <c r="H78" s="29" t="n">
        <v>0.3518583634899397</v>
      </c>
      <c r="I78" s="29" t="n">
        <v>0.0613270256737858</v>
      </c>
      <c r="J78" s="29" t="n">
        <v>2.051682384290246</v>
      </c>
      <c r="K78" s="29" t="n">
        <v>0.574750127208706</v>
      </c>
      <c r="L78" s="29" t="n">
        <v>1.219930964700747</v>
      </c>
      <c r="M78" s="29" t="n">
        <v>0.2121259320540538</v>
      </c>
      <c r="N78" s="29" t="n">
        <v>0.07383857479605251</v>
      </c>
      <c r="O78" s="29" t="n">
        <v>0.7083271465322261</v>
      </c>
      <c r="P78" s="29" t="n">
        <v>0.8563539833432301</v>
      </c>
      <c r="Q78" s="29" t="n">
        <v>0.1893589996464642</v>
      </c>
      <c r="R78" s="29" t="n">
        <v>0.1372628175709188</v>
      </c>
      <c r="S78" s="29" t="n">
        <v>0.5167355968061191</v>
      </c>
      <c r="T78" s="29" t="n">
        <v>0.1139554594613944</v>
      </c>
      <c r="U78" s="29" t="n">
        <v>0.5304787720782472</v>
      </c>
      <c r="V78" s="29" t="n">
        <v>0.8033840363265939</v>
      </c>
      <c r="W78" s="29" t="n">
        <v>0.6692902070584402</v>
      </c>
      <c r="X78" s="29" t="n">
        <v>0.2771868937021543</v>
      </c>
      <c r="Y78" s="29" t="n">
        <v>0.4178575757857901</v>
      </c>
      <c r="Z78" s="29" t="n">
        <v>0.7476483813059382</v>
      </c>
      <c r="AA78" s="29" t="n">
        <v>1.111139073624123</v>
      </c>
      <c r="AB78" s="29" t="n">
        <v>0.5499967887089833</v>
      </c>
      <c r="AC78" s="29" t="n">
        <v>0.797402108505207</v>
      </c>
      <c r="AD78" s="29" t="n">
        <v>0.09922680202691447</v>
      </c>
      <c r="AE78" s="29" t="n">
        <v>0.645339786227905</v>
      </c>
      <c r="AF78" s="29" t="n">
        <v>0.4099455535890572</v>
      </c>
      <c r="AG78" s="29" t="n">
        <v>0.3648077012950655</v>
      </c>
      <c r="AH78" s="29" t="n">
        <v>0.741809960452985</v>
      </c>
      <c r="AI78" s="29" t="n">
        <v>0.3414839952057979</v>
      </c>
      <c r="AJ78" s="29" t="n">
        <v>0.5484154753402228</v>
      </c>
      <c r="AK78" s="29" t="n">
        <v>0.1116357141301053</v>
      </c>
      <c r="AL78" s="29" t="n">
        <v>0.585919239172164</v>
      </c>
      <c r="AM78" s="29" t="n">
        <v>0.1216213376706176</v>
      </c>
      <c r="AN78" s="29" t="n">
        <v>1.516175376805792</v>
      </c>
      <c r="AO78" s="29" t="n">
        <v>0.8068554803336561</v>
      </c>
      <c r="AP78" s="29" t="n">
        <v>2.282676002476468</v>
      </c>
      <c r="AQ78" s="29" t="n">
        <v>8.214755089003608</v>
      </c>
      <c r="AR78" s="29" t="n">
        <v>95.82125233298824</v>
      </c>
      <c r="AS78" s="29" t="n">
        <v>2.923765948997738</v>
      </c>
      <c r="AT78" s="29" t="n">
        <v>0.2422417514114539</v>
      </c>
      <c r="AU78" s="29" t="n">
        <v>0.19471330651427</v>
      </c>
      <c r="AV78" s="29" t="n">
        <v>8.22855366978021</v>
      </c>
      <c r="AW78" s="29" t="n">
        <v>2.330426975603861</v>
      </c>
      <c r="AX78" s="29" t="n">
        <v>10.33973652860029</v>
      </c>
      <c r="AY78" s="29" t="n">
        <v>0.3643635510469623</v>
      </c>
      <c r="AZ78" s="29" t="n">
        <v>0.9873651133479514</v>
      </c>
      <c r="BA78" s="29" t="n">
        <v>4.351048928323713</v>
      </c>
      <c r="BB78" s="29" t="n">
        <v>6.108488748368479</v>
      </c>
      <c r="BC78" s="29" t="n">
        <v>10.18175585799594</v>
      </c>
      <c r="BD78" s="29" t="n">
        <v>4.357285174122481</v>
      </c>
      <c r="BE78" s="29" t="n">
        <v>11.83611595504066</v>
      </c>
      <c r="BF78" s="29" t="n">
        <v>2.493328713533768</v>
      </c>
      <c r="BG78" s="29" t="n">
        <v>3.54470208394482</v>
      </c>
      <c r="BH78" s="29" t="n">
        <v>2.551323253028308</v>
      </c>
      <c r="BI78" s="29" t="n">
        <v>7.917755896956293</v>
      </c>
      <c r="BJ78" s="29" t="n">
        <v>0.6561991747095081</v>
      </c>
      <c r="BK78" s="29" t="n">
        <v>58.36322791942325</v>
      </c>
      <c r="BL78" s="29" t="n">
        <v>7.132995692960235</v>
      </c>
      <c r="BM78" s="29" t="n">
        <v>11.50545047836711</v>
      </c>
      <c r="BN78" s="29" t="n">
        <v>27.71589804610814</v>
      </c>
      <c r="BO78" s="29" t="n">
        <v>48032.77405093222</v>
      </c>
      <c r="BP78" s="29" t="n">
        <v>8.297546573663219</v>
      </c>
      <c r="BQ78" s="29" t="n">
        <v>7.863657867021185</v>
      </c>
      <c r="BR78" s="29" t="n">
        <v>0</v>
      </c>
      <c r="BS78" s="29">
        <f>SUM(C78:BR78)</f>
        <v/>
      </c>
      <c r="BT78" s="29" t="n">
        <v>0</v>
      </c>
      <c r="BU78" s="29" t="n">
        <v>0</v>
      </c>
      <c r="BV78" s="29" t="n">
        <v>335115.1966707825</v>
      </c>
      <c r="BW78" s="29" t="n">
        <v>0</v>
      </c>
      <c r="BX78" s="29">
        <f>SUM(BT78:BW78)</f>
        <v/>
      </c>
      <c r="BY78" s="29">
        <f>BS78+BX78</f>
        <v/>
      </c>
    </row>
    <row r="79">
      <c r="A79" s="30" t="inlineStr">
        <is>
          <t>9080</t>
        </is>
      </c>
      <c r="B79" s="30" t="inlineStr">
        <is>
          <t>Atividades artísticas, criativas e de espetáculos</t>
        </is>
      </c>
      <c r="C79" s="31" t="n">
        <v>0.3057722239126087</v>
      </c>
      <c r="D79" s="31" t="n">
        <v>7.333342907140867</v>
      </c>
      <c r="E79" s="31" t="n">
        <v>1.719134574945987</v>
      </c>
      <c r="F79" s="31" t="n">
        <v>0.8702532706613872</v>
      </c>
      <c r="G79" s="31" t="n">
        <v>13.32245864927217</v>
      </c>
      <c r="H79" s="31" t="n">
        <v>0.5903444143199554</v>
      </c>
      <c r="I79" s="31" t="n">
        <v>0.0422500324601382</v>
      </c>
      <c r="J79" s="31" t="n">
        <v>55.28147696612474</v>
      </c>
      <c r="K79" s="31" t="n">
        <v>7.408696649797665</v>
      </c>
      <c r="L79" s="31" t="n">
        <v>73.1671248550857</v>
      </c>
      <c r="M79" s="31" t="n">
        <v>99.81492764546286</v>
      </c>
      <c r="N79" s="31" t="n">
        <v>5.657704306409989</v>
      </c>
      <c r="O79" s="31" t="n">
        <v>2.248517439678639</v>
      </c>
      <c r="P79" s="31" t="n">
        <v>7.795361573564627</v>
      </c>
      <c r="Q79" s="31" t="n">
        <v>12.54130170968059</v>
      </c>
      <c r="R79" s="31" t="n">
        <v>1.350149797099208</v>
      </c>
      <c r="S79" s="31" t="n">
        <v>13.5312849947475</v>
      </c>
      <c r="T79" s="31" t="n">
        <v>1.076655228929125</v>
      </c>
      <c r="U79" s="31" t="n">
        <v>5.420838215198055</v>
      </c>
      <c r="V79" s="31" t="n">
        <v>4.933429423898215</v>
      </c>
      <c r="W79" s="31" t="n">
        <v>3.730741719220521</v>
      </c>
      <c r="X79" s="31" t="n">
        <v>11.28382612453395</v>
      </c>
      <c r="Y79" s="31" t="n">
        <v>24.01342049983969</v>
      </c>
      <c r="Z79" s="31" t="n">
        <v>39.69070830621584</v>
      </c>
      <c r="AA79" s="31" t="n">
        <v>12.71717523265411</v>
      </c>
      <c r="AB79" s="31" t="n">
        <v>6.964519061914354</v>
      </c>
      <c r="AC79" s="31" t="n">
        <v>5.83483774218338</v>
      </c>
      <c r="AD79" s="31" t="n">
        <v>0.4407011062287415</v>
      </c>
      <c r="AE79" s="31" t="n">
        <v>11.35625996791558</v>
      </c>
      <c r="AF79" s="31" t="n">
        <v>24.52695464510582</v>
      </c>
      <c r="AG79" s="31" t="n">
        <v>12.37864876400811</v>
      </c>
      <c r="AH79" s="31" t="n">
        <v>12.00211138317023</v>
      </c>
      <c r="AI79" s="31" t="n">
        <v>60.89580955554507</v>
      </c>
      <c r="AJ79" s="31" t="n">
        <v>3.19915785120242</v>
      </c>
      <c r="AK79" s="31" t="n">
        <v>4.21107646096135</v>
      </c>
      <c r="AL79" s="31" t="n">
        <v>9.171685289818697</v>
      </c>
      <c r="AM79" s="31" t="n">
        <v>2.821376043828761</v>
      </c>
      <c r="AN79" s="31" t="n">
        <v>41.56007874517884</v>
      </c>
      <c r="AO79" s="31" t="n">
        <v>4.846126671399641</v>
      </c>
      <c r="AP79" s="31" t="n">
        <v>29.12868266267282</v>
      </c>
      <c r="AQ79" s="31" t="n">
        <v>53.46750071507489</v>
      </c>
      <c r="AR79" s="31" t="n">
        <v>447.4061241603819</v>
      </c>
      <c r="AS79" s="31" t="n">
        <v>17.67733099582653</v>
      </c>
      <c r="AT79" s="31" t="n">
        <v>1.440562884060625</v>
      </c>
      <c r="AU79" s="31" t="n">
        <v>2.811792716112953</v>
      </c>
      <c r="AV79" s="31" t="n">
        <v>36.83147260240928</v>
      </c>
      <c r="AW79" s="31" t="n">
        <v>20.62591427320516</v>
      </c>
      <c r="AX79" s="31" t="n">
        <v>18.63882560908454</v>
      </c>
      <c r="AY79" s="31" t="n">
        <v>11.60720977168672</v>
      </c>
      <c r="AZ79" s="31" t="n">
        <v>1907.340737821992</v>
      </c>
      <c r="BA79" s="31" t="n">
        <v>313.0742626053239</v>
      </c>
      <c r="BB79" s="31" t="n">
        <v>63.52470892646015</v>
      </c>
      <c r="BC79" s="31" t="n">
        <v>175.1027485724315</v>
      </c>
      <c r="BD79" s="31" t="n">
        <v>17.86807452192278</v>
      </c>
      <c r="BE79" s="31" t="n">
        <v>90.39631305691188</v>
      </c>
      <c r="BF79" s="31" t="n">
        <v>11.11222893682069</v>
      </c>
      <c r="BG79" s="31" t="n">
        <v>170.9428449505521</v>
      </c>
      <c r="BH79" s="31" t="n">
        <v>24.29289133557532</v>
      </c>
      <c r="BI79" s="31" t="n">
        <v>52.63568215660374</v>
      </c>
      <c r="BJ79" s="31" t="n">
        <v>4.462761584792394</v>
      </c>
      <c r="BK79" s="31" t="n">
        <v>891.7109032482754</v>
      </c>
      <c r="BL79" s="31" t="n">
        <v>111.1565092468477</v>
      </c>
      <c r="BM79" s="31" t="n">
        <v>58.46800294600889</v>
      </c>
      <c r="BN79" s="31" t="n">
        <v>109.4727002216601</v>
      </c>
      <c r="BO79" s="31" t="n">
        <v>3.4120318567976</v>
      </c>
      <c r="BP79" s="31" t="n">
        <v>742.4252908166642</v>
      </c>
      <c r="BQ79" s="31" t="n">
        <v>1441.879580262628</v>
      </c>
      <c r="BR79" s="31" t="n">
        <v>0</v>
      </c>
      <c r="BS79" s="31">
        <f>SUM(C79:BR79)</f>
        <v/>
      </c>
      <c r="BT79" s="31" t="n">
        <v>0</v>
      </c>
      <c r="BU79" s="31" t="n">
        <v>0</v>
      </c>
      <c r="BV79" s="31" t="n">
        <v>36763.80305707455</v>
      </c>
      <c r="BW79" s="31" t="n">
        <v>0</v>
      </c>
      <c r="BX79" s="31">
        <f>SUM(BT79:BW79)</f>
        <v/>
      </c>
      <c r="BY79" s="31">
        <f>BS79+BX79</f>
        <v/>
      </c>
    </row>
    <row r="80">
      <c r="A80" s="28" t="inlineStr">
        <is>
          <t>9480</t>
        </is>
      </c>
      <c r="B80" s="28" t="inlineStr">
        <is>
          <t>Organizações associativas e outros serviços pessoais</t>
        </is>
      </c>
      <c r="C80" s="29" t="n">
        <v>174.0325156214378</v>
      </c>
      <c r="D80" s="29" t="n">
        <v>43.01624118677119</v>
      </c>
      <c r="E80" s="29" t="n">
        <v>28.98547005897795</v>
      </c>
      <c r="F80" s="29" t="n">
        <v>56.05905511624026</v>
      </c>
      <c r="G80" s="29" t="n">
        <v>886.0901640909485</v>
      </c>
      <c r="H80" s="29" t="n">
        <v>796.760637434349</v>
      </c>
      <c r="I80" s="29" t="n">
        <v>77.34278082918297</v>
      </c>
      <c r="J80" s="29" t="n">
        <v>379.8886279746013</v>
      </c>
      <c r="K80" s="29" t="n">
        <v>194.6717728187741</v>
      </c>
      <c r="L80" s="29" t="n">
        <v>323.1814397401753</v>
      </c>
      <c r="M80" s="29" t="n">
        <v>193.2802390288518</v>
      </c>
      <c r="N80" s="29" t="n">
        <v>28.22088293485635</v>
      </c>
      <c r="O80" s="29" t="n">
        <v>80.26676105079827</v>
      </c>
      <c r="P80" s="29" t="n">
        <v>133.9550568083077</v>
      </c>
      <c r="Q80" s="29" t="n">
        <v>57.58669455456171</v>
      </c>
      <c r="R80" s="29" t="n">
        <v>160.4460461339473</v>
      </c>
      <c r="S80" s="29" t="n">
        <v>264.0935559523019</v>
      </c>
      <c r="T80" s="29" t="n">
        <v>55.05124727832711</v>
      </c>
      <c r="U80" s="29" t="n">
        <v>241.7324683176446</v>
      </c>
      <c r="V80" s="29" t="n">
        <v>156.9752133258635</v>
      </c>
      <c r="W80" s="29" t="n">
        <v>226.7344972664722</v>
      </c>
      <c r="X80" s="29" t="n">
        <v>81.21926755881778</v>
      </c>
      <c r="Y80" s="29" t="n">
        <v>65.28432842530458</v>
      </c>
      <c r="Z80" s="29" t="n">
        <v>159.6338027591604</v>
      </c>
      <c r="AA80" s="29" t="n">
        <v>263.8664693211185</v>
      </c>
      <c r="AB80" s="29" t="n">
        <v>256.7091686819116</v>
      </c>
      <c r="AC80" s="29" t="n">
        <v>205.072377939015</v>
      </c>
      <c r="AD80" s="29" t="n">
        <v>90.61020733972207</v>
      </c>
      <c r="AE80" s="29" t="n">
        <v>373.5499258275144</v>
      </c>
      <c r="AF80" s="29" t="n">
        <v>299.365038291696</v>
      </c>
      <c r="AG80" s="29" t="n">
        <v>183.978710958545</v>
      </c>
      <c r="AH80" s="29" t="n">
        <v>358.1578786185988</v>
      </c>
      <c r="AI80" s="29" t="n">
        <v>281.6602524130118</v>
      </c>
      <c r="AJ80" s="29" t="n">
        <v>211.4143511142879</v>
      </c>
      <c r="AK80" s="29" t="n">
        <v>57.18288491618985</v>
      </c>
      <c r="AL80" s="29" t="n">
        <v>158.9373860777274</v>
      </c>
      <c r="AM80" s="29" t="n">
        <v>3.170892492853839</v>
      </c>
      <c r="AN80" s="29" t="n">
        <v>460.476816468444</v>
      </c>
      <c r="AO80" s="29" t="n">
        <v>0.8850228880604312</v>
      </c>
      <c r="AP80" s="29" t="n">
        <v>141.3361944373644</v>
      </c>
      <c r="AQ80" s="29" t="n">
        <v>91.8928879344145</v>
      </c>
      <c r="AR80" s="29" t="n">
        <v>3954.03313822959</v>
      </c>
      <c r="AS80" s="29" t="n">
        <v>572.1547091759102</v>
      </c>
      <c r="AT80" s="29" t="n">
        <v>6.37328834042141</v>
      </c>
      <c r="AU80" s="29" t="n">
        <v>6.705973549222096</v>
      </c>
      <c r="AV80" s="29" t="n">
        <v>1392.885086793264</v>
      </c>
      <c r="AW80" s="29" t="n">
        <v>171.4895928207264</v>
      </c>
      <c r="AX80" s="29" t="n">
        <v>200.2845383624671</v>
      </c>
      <c r="AY80" s="29" t="n">
        <v>34.6535479699421</v>
      </c>
      <c r="AZ80" s="29" t="n">
        <v>179.7148612447042</v>
      </c>
      <c r="BA80" s="29" t="n">
        <v>2954.707222623106</v>
      </c>
      <c r="BB80" s="29" t="n">
        <v>2284.062950617076</v>
      </c>
      <c r="BC80" s="29" t="n">
        <v>2077.379153903977</v>
      </c>
      <c r="BD80" s="29" t="n">
        <v>128.0233874669083</v>
      </c>
      <c r="BE80" s="29" t="n">
        <v>541.5775483216996</v>
      </c>
      <c r="BF80" s="29" t="n">
        <v>88.48174652594604</v>
      </c>
      <c r="BG80" s="29" t="n">
        <v>1022.16777719809</v>
      </c>
      <c r="BH80" s="29" t="n">
        <v>191.1876923856296</v>
      </c>
      <c r="BI80" s="29" t="n">
        <v>1876.316067926047</v>
      </c>
      <c r="BJ80" s="29" t="n">
        <v>50.28819274133219</v>
      </c>
      <c r="BK80" s="29" t="n">
        <v>772.2128377353462</v>
      </c>
      <c r="BL80" s="29" t="n">
        <v>142.4403781623614</v>
      </c>
      <c r="BM80" s="29" t="n">
        <v>615.5269828049369</v>
      </c>
      <c r="BN80" s="29" t="n">
        <v>2073.998805819594</v>
      </c>
      <c r="BO80" s="29" t="n">
        <v>2572.057889089905</v>
      </c>
      <c r="BP80" s="29" t="n">
        <v>21.85514883389563</v>
      </c>
      <c r="BQ80" s="29" t="n">
        <v>678.4349255688849</v>
      </c>
      <c r="BR80" s="29" t="n">
        <v>0</v>
      </c>
      <c r="BS80" s="29">
        <f>SUM(C80:BR80)</f>
        <v/>
      </c>
      <c r="BT80" s="29" t="n">
        <v>0</v>
      </c>
      <c r="BU80" s="29" t="n">
        <v>0</v>
      </c>
      <c r="BV80" s="29" t="n">
        <v>152557.7247116223</v>
      </c>
      <c r="BW80" s="29" t="n">
        <v>0</v>
      </c>
      <c r="BX80" s="29">
        <f>SUM(BT80:BW80)</f>
        <v/>
      </c>
      <c r="BY80" s="29">
        <f>BS80+BX80</f>
        <v/>
      </c>
    </row>
    <row r="81">
      <c r="A81" s="30" t="inlineStr">
        <is>
          <t>9700</t>
        </is>
      </c>
      <c r="B81" s="30" t="inlineStr">
        <is>
          <t>Serviços domésticos</t>
        </is>
      </c>
      <c r="C81" s="31" t="n">
        <v>0</v>
      </c>
      <c r="D81" s="31" t="n">
        <v>0</v>
      </c>
      <c r="E81" s="31" t="n">
        <v>0</v>
      </c>
      <c r="F81" s="31" t="n">
        <v>0</v>
      </c>
      <c r="G81" s="31" t="n">
        <v>0</v>
      </c>
      <c r="H81" s="31" t="n">
        <v>0</v>
      </c>
      <c r="I81" s="31" t="n">
        <v>0</v>
      </c>
      <c r="J81" s="31" t="n">
        <v>0</v>
      </c>
      <c r="K81" s="31" t="n">
        <v>0</v>
      </c>
      <c r="L81" s="31" t="n">
        <v>0</v>
      </c>
      <c r="M81" s="31" t="n">
        <v>0</v>
      </c>
      <c r="N81" s="31" t="n">
        <v>0</v>
      </c>
      <c r="O81" s="31" t="n">
        <v>0</v>
      </c>
      <c r="P81" s="31" t="n">
        <v>0</v>
      </c>
      <c r="Q81" s="31" t="n">
        <v>0</v>
      </c>
      <c r="R81" s="31" t="n">
        <v>0</v>
      </c>
      <c r="S81" s="31" t="n">
        <v>0</v>
      </c>
      <c r="T81" s="31" t="n">
        <v>0</v>
      </c>
      <c r="U81" s="31" t="n">
        <v>0</v>
      </c>
      <c r="V81" s="31" t="n">
        <v>0</v>
      </c>
      <c r="W81" s="31" t="n">
        <v>0</v>
      </c>
      <c r="X81" s="31" t="n">
        <v>0</v>
      </c>
      <c r="Y81" s="31" t="n">
        <v>0</v>
      </c>
      <c r="Z81" s="31" t="n">
        <v>0</v>
      </c>
      <c r="AA81" s="31" t="n">
        <v>0</v>
      </c>
      <c r="AB81" s="31" t="n">
        <v>0</v>
      </c>
      <c r="AC81" s="31" t="n">
        <v>0</v>
      </c>
      <c r="AD81" s="31" t="n">
        <v>0</v>
      </c>
      <c r="AE81" s="31" t="n">
        <v>0</v>
      </c>
      <c r="AF81" s="31" t="n">
        <v>0</v>
      </c>
      <c r="AG81" s="31" t="n">
        <v>0</v>
      </c>
      <c r="AH81" s="31" t="n">
        <v>0</v>
      </c>
      <c r="AI81" s="31" t="n">
        <v>0</v>
      </c>
      <c r="AJ81" s="31" t="n">
        <v>0</v>
      </c>
      <c r="AK81" s="31" t="n">
        <v>0</v>
      </c>
      <c r="AL81" s="31" t="n">
        <v>0</v>
      </c>
      <c r="AM81" s="31" t="n">
        <v>0</v>
      </c>
      <c r="AN81" s="31" t="n">
        <v>0</v>
      </c>
      <c r="AO81" s="31" t="n">
        <v>0</v>
      </c>
      <c r="AP81" s="31" t="n">
        <v>0</v>
      </c>
      <c r="AQ81" s="31" t="n">
        <v>0</v>
      </c>
      <c r="AR81" s="31" t="n">
        <v>0</v>
      </c>
      <c r="AS81" s="31" t="n">
        <v>0</v>
      </c>
      <c r="AT81" s="31" t="n">
        <v>0</v>
      </c>
      <c r="AU81" s="31" t="n">
        <v>0</v>
      </c>
      <c r="AV81" s="31" t="n">
        <v>0</v>
      </c>
      <c r="AW81" s="31" t="n">
        <v>0</v>
      </c>
      <c r="AX81" s="31" t="n">
        <v>0</v>
      </c>
      <c r="AY81" s="31" t="n">
        <v>0</v>
      </c>
      <c r="AZ81" s="31" t="n">
        <v>0</v>
      </c>
      <c r="BA81" s="31" t="n">
        <v>0</v>
      </c>
      <c r="BB81" s="31" t="n">
        <v>0</v>
      </c>
      <c r="BC81" s="31" t="n">
        <v>0</v>
      </c>
      <c r="BD81" s="31" t="n">
        <v>0</v>
      </c>
      <c r="BE81" s="31" t="n">
        <v>0</v>
      </c>
      <c r="BF81" s="31" t="n">
        <v>0</v>
      </c>
      <c r="BG81" s="31" t="n">
        <v>0</v>
      </c>
      <c r="BH81" s="31" t="n">
        <v>0</v>
      </c>
      <c r="BI81" s="31" t="n">
        <v>0</v>
      </c>
      <c r="BJ81" s="31" t="n">
        <v>0</v>
      </c>
      <c r="BK81" s="31" t="n">
        <v>0</v>
      </c>
      <c r="BL81" s="31" t="n">
        <v>0</v>
      </c>
      <c r="BM81" s="31" t="n">
        <v>0</v>
      </c>
      <c r="BN81" s="31" t="n">
        <v>0</v>
      </c>
      <c r="BO81" s="31" t="n">
        <v>0</v>
      </c>
      <c r="BP81" s="31" t="n">
        <v>0</v>
      </c>
      <c r="BQ81" s="31" t="n">
        <v>0</v>
      </c>
      <c r="BR81" s="31" t="n">
        <v>0</v>
      </c>
      <c r="BS81" s="31">
        <f>SUM(C81:BR81)</f>
        <v/>
      </c>
      <c r="BT81" s="31" t="n">
        <v>0</v>
      </c>
      <c r="BU81" s="31" t="n">
        <v>0</v>
      </c>
      <c r="BV81" s="31" t="n">
        <v>61371</v>
      </c>
      <c r="BW81" s="31" t="n">
        <v>0</v>
      </c>
      <c r="BX81" s="31">
        <f>SUM(BT81:BW81)</f>
        <v/>
      </c>
      <c r="BY81" s="31">
        <f>BS81+BX81</f>
        <v/>
      </c>
    </row>
    <row r="82">
      <c r="B82" s="32" t="inlineStr">
        <is>
          <t>Total consumo intermedio</t>
        </is>
      </c>
      <c r="C82" s="33">
        <f>SUM(C14:C81)</f>
        <v/>
      </c>
      <c r="D82" s="33">
        <f>SUM(D14:D81)</f>
        <v/>
      </c>
      <c r="E82" s="33">
        <f>SUM(E14:E81)</f>
        <v/>
      </c>
      <c r="F82" s="33">
        <f>SUM(F14:F81)</f>
        <v/>
      </c>
      <c r="G82" s="33">
        <f>SUM(G14:G81)</f>
        <v/>
      </c>
      <c r="H82" s="33">
        <f>SUM(H14:H81)</f>
        <v/>
      </c>
      <c r="I82" s="33">
        <f>SUM(I14:I81)</f>
        <v/>
      </c>
      <c r="J82" s="33">
        <f>SUM(J14:J81)</f>
        <v/>
      </c>
      <c r="K82" s="33">
        <f>SUM(K14:K81)</f>
        <v/>
      </c>
      <c r="L82" s="33">
        <f>SUM(L14:L81)</f>
        <v/>
      </c>
      <c r="M82" s="33">
        <f>SUM(M14:M81)</f>
        <v/>
      </c>
      <c r="N82" s="33">
        <f>SUM(N14:N81)</f>
        <v/>
      </c>
      <c r="O82" s="33">
        <f>SUM(O14:O81)</f>
        <v/>
      </c>
      <c r="P82" s="33">
        <f>SUM(P14:P81)</f>
        <v/>
      </c>
      <c r="Q82" s="33">
        <f>SUM(Q14:Q81)</f>
        <v/>
      </c>
      <c r="R82" s="33">
        <f>SUM(R14:R81)</f>
        <v/>
      </c>
      <c r="S82" s="33">
        <f>SUM(S14:S81)</f>
        <v/>
      </c>
      <c r="T82" s="33">
        <f>SUM(T14:T81)</f>
        <v/>
      </c>
      <c r="U82" s="33">
        <f>SUM(U14:U81)</f>
        <v/>
      </c>
      <c r="V82" s="33">
        <f>SUM(V14:V81)</f>
        <v/>
      </c>
      <c r="W82" s="33">
        <f>SUM(W14:W81)</f>
        <v/>
      </c>
      <c r="X82" s="33">
        <f>SUM(X14:X81)</f>
        <v/>
      </c>
      <c r="Y82" s="33">
        <f>SUM(Y14:Y81)</f>
        <v/>
      </c>
      <c r="Z82" s="33">
        <f>SUM(Z14:Z81)</f>
        <v/>
      </c>
      <c r="AA82" s="33">
        <f>SUM(AA14:AA81)</f>
        <v/>
      </c>
      <c r="AB82" s="33">
        <f>SUM(AB14:AB81)</f>
        <v/>
      </c>
      <c r="AC82" s="33">
        <f>SUM(AC14:AC81)</f>
        <v/>
      </c>
      <c r="AD82" s="33">
        <f>SUM(AD14:AD81)</f>
        <v/>
      </c>
      <c r="AE82" s="33">
        <f>SUM(AE14:AE81)</f>
        <v/>
      </c>
      <c r="AF82" s="33">
        <f>SUM(AF14:AF81)</f>
        <v/>
      </c>
      <c r="AG82" s="33">
        <f>SUM(AG14:AG81)</f>
        <v/>
      </c>
      <c r="AH82" s="33">
        <f>SUM(AH14:AH81)</f>
        <v/>
      </c>
      <c r="AI82" s="33">
        <f>SUM(AI14:AI81)</f>
        <v/>
      </c>
      <c r="AJ82" s="33">
        <f>SUM(AJ14:AJ81)</f>
        <v/>
      </c>
      <c r="AK82" s="33">
        <f>SUM(AK14:AK81)</f>
        <v/>
      </c>
      <c r="AL82" s="33">
        <f>SUM(AL14:AL81)</f>
        <v/>
      </c>
      <c r="AM82" s="33">
        <f>SUM(AM14:AM81)</f>
        <v/>
      </c>
      <c r="AN82" s="33">
        <f>SUM(AN14:AN81)</f>
        <v/>
      </c>
      <c r="AO82" s="33">
        <f>SUM(AO14:AO81)</f>
        <v/>
      </c>
      <c r="AP82" s="33">
        <f>SUM(AP14:AP81)</f>
        <v/>
      </c>
      <c r="AQ82" s="33">
        <f>SUM(AQ14:AQ81)</f>
        <v/>
      </c>
      <c r="AR82" s="33">
        <f>SUM(AR14:AR81)</f>
        <v/>
      </c>
      <c r="AS82" s="33">
        <f>SUM(AS14:AS81)</f>
        <v/>
      </c>
      <c r="AT82" s="33">
        <f>SUM(AT14:AT81)</f>
        <v/>
      </c>
      <c r="AU82" s="33">
        <f>SUM(AU14:AU81)</f>
        <v/>
      </c>
      <c r="AV82" s="33">
        <f>SUM(AV14:AV81)</f>
        <v/>
      </c>
      <c r="AW82" s="33">
        <f>SUM(AW14:AW81)</f>
        <v/>
      </c>
      <c r="AX82" s="33">
        <f>SUM(AX14:AX81)</f>
        <v/>
      </c>
      <c r="AY82" s="33">
        <f>SUM(AY14:AY81)</f>
        <v/>
      </c>
      <c r="AZ82" s="33">
        <f>SUM(AZ14:AZ81)</f>
        <v/>
      </c>
      <c r="BA82" s="33">
        <f>SUM(BA14:BA81)</f>
        <v/>
      </c>
      <c r="BB82" s="33">
        <f>SUM(BB14:BB81)</f>
        <v/>
      </c>
      <c r="BC82" s="33">
        <f>SUM(BC14:BC81)</f>
        <v/>
      </c>
      <c r="BD82" s="33">
        <f>SUM(BD14:BD81)</f>
        <v/>
      </c>
      <c r="BE82" s="33">
        <f>SUM(BE14:BE81)</f>
        <v/>
      </c>
      <c r="BF82" s="33">
        <f>SUM(BF14:BF81)</f>
        <v/>
      </c>
      <c r="BG82" s="33">
        <f>SUM(BG14:BG81)</f>
        <v/>
      </c>
      <c r="BH82" s="33">
        <f>SUM(BH14:BH81)</f>
        <v/>
      </c>
      <c r="BI82" s="33">
        <f>SUM(BI14:BI81)</f>
        <v/>
      </c>
      <c r="BJ82" s="33">
        <f>SUM(BJ14:BJ81)</f>
        <v/>
      </c>
      <c r="BK82" s="33">
        <f>SUM(BK14:BK81)</f>
        <v/>
      </c>
      <c r="BL82" s="33">
        <f>SUM(BL14:BL81)</f>
        <v/>
      </c>
      <c r="BM82" s="33">
        <f>SUM(BM14:BM81)</f>
        <v/>
      </c>
      <c r="BN82" s="33">
        <f>SUM(BN14:BN81)</f>
        <v/>
      </c>
      <c r="BO82" s="33">
        <f>SUM(BO14:BO81)</f>
        <v/>
      </c>
      <c r="BP82" s="33">
        <f>SUM(BP14:BP81)</f>
        <v/>
      </c>
      <c r="BQ82" s="33">
        <f>SUM(BQ14:BQ81)</f>
        <v/>
      </c>
      <c r="BR82" s="33">
        <f>SUM(BR14:BR81)</f>
        <v/>
      </c>
      <c r="BS82" s="33">
        <f>SUM(BS14:BS81)</f>
        <v/>
      </c>
      <c r="BT82" s="33">
        <f>SUM(BT14:BT81)</f>
        <v/>
      </c>
      <c r="BU82" s="33">
        <f>SUM(BU14:BU81)</f>
        <v/>
      </c>
      <c r="BV82" s="33">
        <f>SUM(BV14:BV81)</f>
        <v/>
      </c>
      <c r="BW82" s="33">
        <f>SUM(BW14:BW81)</f>
        <v/>
      </c>
      <c r="BX82" s="33">
        <f>SUM(BX14:BX81)</f>
        <v/>
      </c>
      <c r="BY82" s="33">
        <f>SUM(BY14:BY81)</f>
        <v/>
      </c>
    </row>
    <row r="83"/>
    <row r="84">
      <c r="B84" s="32" t="inlineStr">
        <is>
          <t>Ajuste intermedio no asignado a matriz</t>
        </is>
      </c>
      <c r="C84" s="33" t="n">
        <v>1.455191522836685e-11</v>
      </c>
      <c r="D84" s="33" t="n">
        <v>2.182787284255028e-11</v>
      </c>
      <c r="E84" s="33" t="n">
        <v>-1.364242052659392e-12</v>
      </c>
      <c r="F84" s="33" t="n">
        <v>-1.364242052659392e-12</v>
      </c>
      <c r="G84" s="33" t="n">
        <v>7.275957614183426e-12</v>
      </c>
      <c r="H84" s="33" t="n">
        <v>7.275957614183426e-12</v>
      </c>
      <c r="I84" s="33" t="n">
        <v>-9.094947017729282e-13</v>
      </c>
      <c r="J84" s="33" t="n">
        <v>1.455191522836685e-10</v>
      </c>
      <c r="K84" s="33" t="n">
        <v>4.547473508864641e-12</v>
      </c>
      <c r="L84" s="33" t="n">
        <v>7.275957614183426e-12</v>
      </c>
      <c r="M84" s="33" t="n">
        <v>1.2732925824821e-11</v>
      </c>
      <c r="N84" s="33" t="n">
        <v>1.13686837721616e-13</v>
      </c>
      <c r="O84" s="33" t="n">
        <v>3.637978807091713e-12</v>
      </c>
      <c r="P84" s="33" t="n">
        <v>6.139089236967266e-12</v>
      </c>
      <c r="Q84" s="33" t="n">
        <v>6.366462912410498e-12</v>
      </c>
      <c r="R84" s="33" t="n">
        <v>6.366462912410498e-12</v>
      </c>
      <c r="S84" s="33" t="n">
        <v>3.637978807091713e-12</v>
      </c>
      <c r="T84" s="33" t="n">
        <v>-4.547473508864641e-13</v>
      </c>
      <c r="U84" s="33" t="n">
        <v>-5.820766091346741e-11</v>
      </c>
      <c r="V84" s="33" t="n">
        <v>5.456968210637569e-12</v>
      </c>
      <c r="W84" s="33" t="n">
        <v>2.91038304567337e-11</v>
      </c>
      <c r="X84" s="33" t="n">
        <v>0</v>
      </c>
      <c r="Y84" s="33" t="n">
        <v>0</v>
      </c>
      <c r="Z84" s="33" t="n">
        <v>-3.637978807091713e-12</v>
      </c>
      <c r="AA84" s="33" t="n">
        <v>7.275957614183426e-12</v>
      </c>
      <c r="AB84" s="33" t="n">
        <v>0</v>
      </c>
      <c r="AC84" s="33" t="n">
        <v>-9.094947017729282e-12</v>
      </c>
      <c r="AD84" s="33" t="n">
        <v>0</v>
      </c>
      <c r="AE84" s="33" t="n">
        <v>9.549694368615746e-12</v>
      </c>
      <c r="AF84" s="33" t="n">
        <v>7.275957614183426e-12</v>
      </c>
      <c r="AG84" s="33" t="n">
        <v>0</v>
      </c>
      <c r="AH84" s="33" t="n">
        <v>2.546585164964199e-11</v>
      </c>
      <c r="AI84" s="33" t="n">
        <v>0</v>
      </c>
      <c r="AJ84" s="33" t="n">
        <v>7.275957614183426e-12</v>
      </c>
      <c r="AK84" s="33" t="n">
        <v>0</v>
      </c>
      <c r="AL84" s="33" t="n">
        <v>-3.637978807091713e-12</v>
      </c>
      <c r="AM84" s="33" t="n">
        <v>7.275957614183426e-12</v>
      </c>
      <c r="AN84" s="33" t="n">
        <v>1.455191522836685e-11</v>
      </c>
      <c r="AO84" s="33" t="n">
        <v>9.094947017729282e-13</v>
      </c>
      <c r="AP84" s="33" t="n">
        <v>2.91038304567337e-11</v>
      </c>
      <c r="AQ84" s="33" t="n">
        <v>-3.637978807091713e-12</v>
      </c>
      <c r="AR84" s="33" t="n">
        <v>-4.365574568510056e-11</v>
      </c>
      <c r="AS84" s="33" t="n">
        <v>0</v>
      </c>
      <c r="AT84" s="33" t="n">
        <v>0</v>
      </c>
      <c r="AU84" s="33" t="n">
        <v>0</v>
      </c>
      <c r="AV84" s="33" t="n">
        <v>-1.818989403545856e-12</v>
      </c>
      <c r="AW84" s="33" t="n">
        <v>0</v>
      </c>
      <c r="AX84" s="33" t="n">
        <v>1.455191522836685e-11</v>
      </c>
      <c r="AY84" s="33" t="n">
        <v>-3.637978807091713e-12</v>
      </c>
      <c r="AZ84" s="33" t="n">
        <v>1.182343112304807e-11</v>
      </c>
      <c r="BA84" s="33" t="n">
        <v>0</v>
      </c>
      <c r="BB84" s="33" t="n">
        <v>1.818989403545856e-12</v>
      </c>
      <c r="BC84" s="33" t="n">
        <v>-2.91038304567337e-11</v>
      </c>
      <c r="BD84" s="33" t="n">
        <v>3.637978807091713e-12</v>
      </c>
      <c r="BE84" s="33" t="n">
        <v>-1.364242052659392e-12</v>
      </c>
      <c r="BF84" s="33" t="n">
        <v>-2.728484105318785e-12</v>
      </c>
      <c r="BG84" s="33" t="n">
        <v>1.818989403545856e-12</v>
      </c>
      <c r="BH84" s="33" t="n">
        <v>1.818989403545856e-12</v>
      </c>
      <c r="BI84" s="33" t="n">
        <v>9.094947017729282e-12</v>
      </c>
      <c r="BJ84" s="33" t="n">
        <v>-2.273736754432321e-13</v>
      </c>
      <c r="BK84" s="33" t="n">
        <v>-1.455191522836685e-11</v>
      </c>
      <c r="BL84" s="33" t="n">
        <v>0</v>
      </c>
      <c r="BM84" s="33" t="n">
        <v>-1.818989403545856e-12</v>
      </c>
      <c r="BN84" s="33" t="n">
        <v>-2.91038304567337e-11</v>
      </c>
      <c r="BO84" s="33" t="n">
        <v>1.455191522836685e-11</v>
      </c>
      <c r="BP84" s="33" t="n">
        <v>0</v>
      </c>
      <c r="BQ84" s="33" t="n">
        <v>3.637978807091713e-12</v>
      </c>
      <c r="BR84" s="33" t="n">
        <v>0</v>
      </c>
      <c r="BY84" s="33">
        <f>SUM(C84:BR84)</f>
        <v/>
      </c>
    </row>
    <row r="85"/>
    <row r="86">
      <c r="B86" s="32" t="inlineStr">
        <is>
          <t>Valor agregado</t>
        </is>
      </c>
      <c r="C86" s="33" t="n">
        <v>421109</v>
      </c>
      <c r="D86" s="33" t="n">
        <v>130445</v>
      </c>
      <c r="E86" s="33" t="n">
        <v>39531</v>
      </c>
      <c r="F86" s="33" t="n">
        <v>11561</v>
      </c>
      <c r="G86" s="33" t="n">
        <v>231887</v>
      </c>
      <c r="H86" s="33" t="n">
        <v>167230</v>
      </c>
      <c r="I86" s="33" t="n">
        <v>14189</v>
      </c>
      <c r="J86" s="33" t="n">
        <v>59950</v>
      </c>
      <c r="K86" s="33" t="n">
        <v>18988</v>
      </c>
      <c r="L86" s="33" t="n">
        <v>78319</v>
      </c>
      <c r="M86" s="33" t="n">
        <v>26193</v>
      </c>
      <c r="N86" s="33" t="n">
        <v>3106</v>
      </c>
      <c r="O86" s="33" t="n">
        <v>19370</v>
      </c>
      <c r="P86" s="33" t="n">
        <v>28809</v>
      </c>
      <c r="Q86" s="33" t="n">
        <v>16343</v>
      </c>
      <c r="R86" s="33" t="n">
        <v>19564</v>
      </c>
      <c r="S86" s="33" t="n">
        <v>29864</v>
      </c>
      <c r="T86" s="33" t="n">
        <v>8119</v>
      </c>
      <c r="U86" s="33" t="n">
        <v>90157</v>
      </c>
      <c r="V86" s="33" t="n">
        <v>20994</v>
      </c>
      <c r="W86" s="33" t="n">
        <v>62229</v>
      </c>
      <c r="X86" s="33" t="n">
        <v>19572</v>
      </c>
      <c r="Y86" s="33" t="n">
        <v>11340</v>
      </c>
      <c r="Z86" s="33" t="n">
        <v>45544</v>
      </c>
      <c r="AA86" s="33" t="n">
        <v>37300</v>
      </c>
      <c r="AB86" s="33" t="n">
        <v>42799</v>
      </c>
      <c r="AC86" s="33" t="n">
        <v>96011</v>
      </c>
      <c r="AD86" s="33" t="n">
        <v>29466</v>
      </c>
      <c r="AE86" s="33" t="n">
        <v>51610</v>
      </c>
      <c r="AF86" s="33" t="n">
        <v>19947</v>
      </c>
      <c r="AG86" s="33" t="n">
        <v>29515</v>
      </c>
      <c r="AH86" s="33" t="n">
        <v>59125</v>
      </c>
      <c r="AI86" s="33" t="n">
        <v>25538</v>
      </c>
      <c r="AJ86" s="33" t="n">
        <v>32464</v>
      </c>
      <c r="AK86" s="33" t="n">
        <v>8912</v>
      </c>
      <c r="AL86" s="33" t="n">
        <v>44592</v>
      </c>
      <c r="AM86" s="33" t="n">
        <v>37099</v>
      </c>
      <c r="AN86" s="33" t="n">
        <v>157298</v>
      </c>
      <c r="AO86" s="33" t="n">
        <v>63684</v>
      </c>
      <c r="AP86" s="33" t="n">
        <v>275111</v>
      </c>
      <c r="AQ86" s="33" t="n">
        <v>121904</v>
      </c>
      <c r="AR86" s="33" t="n">
        <v>843798</v>
      </c>
      <c r="AS86" s="33" t="n">
        <v>183535</v>
      </c>
      <c r="AT86" s="33" t="n">
        <v>14616</v>
      </c>
      <c r="AU86" s="33" t="n">
        <v>3073</v>
      </c>
      <c r="AV86" s="33" t="n">
        <v>102818</v>
      </c>
      <c r="AW86" s="33" t="n">
        <v>16415</v>
      </c>
      <c r="AX86" s="33" t="n">
        <v>120712</v>
      </c>
      <c r="AY86" s="33" t="n">
        <v>7995</v>
      </c>
      <c r="AZ86" s="33" t="n">
        <v>17533</v>
      </c>
      <c r="BA86" s="33" t="n">
        <v>79011</v>
      </c>
      <c r="BB86" s="33" t="n">
        <v>159992</v>
      </c>
      <c r="BC86" s="33" t="n">
        <v>447048</v>
      </c>
      <c r="BD86" s="33" t="n">
        <v>699465</v>
      </c>
      <c r="BE86" s="33" t="n">
        <v>195074</v>
      </c>
      <c r="BF86" s="33" t="n">
        <v>50176</v>
      </c>
      <c r="BG86" s="33" t="n">
        <v>53773</v>
      </c>
      <c r="BH86" s="33" t="n">
        <v>49842</v>
      </c>
      <c r="BI86" s="33" t="n">
        <v>213521</v>
      </c>
      <c r="BJ86" s="33" t="n">
        <v>36376</v>
      </c>
      <c r="BK86" s="33" t="n">
        <v>719944</v>
      </c>
      <c r="BL86" s="33" t="n">
        <v>340323</v>
      </c>
      <c r="BM86" s="33" t="n">
        <v>100728</v>
      </c>
      <c r="BN86" s="33" t="n">
        <v>158689</v>
      </c>
      <c r="BO86" s="33" t="n">
        <v>222222</v>
      </c>
      <c r="BP86" s="33" t="n">
        <v>22891</v>
      </c>
      <c r="BQ86" s="33" t="n">
        <v>86270</v>
      </c>
      <c r="BR86" s="33" t="n">
        <v>61371</v>
      </c>
      <c r="BY86" s="33">
        <f>SUM(C86:BR86)</f>
        <v/>
      </c>
    </row>
    <row r="87"/>
    <row r="88">
      <c r="B88" s="32" t="inlineStr">
        <is>
          <t>Produccion total</t>
        </is>
      </c>
      <c r="C88" s="33">
        <f>C82+C84+C86</f>
        <v/>
      </c>
      <c r="D88" s="33">
        <f>D82+D84+D86</f>
        <v/>
      </c>
      <c r="E88" s="33">
        <f>E82+E84+E86</f>
        <v/>
      </c>
      <c r="F88" s="33">
        <f>F82+F84+F86</f>
        <v/>
      </c>
      <c r="G88" s="33">
        <f>G82+G84+G86</f>
        <v/>
      </c>
      <c r="H88" s="33">
        <f>H82+H84+H86</f>
        <v/>
      </c>
      <c r="I88" s="33">
        <f>I82+I84+I86</f>
        <v/>
      </c>
      <c r="J88" s="33">
        <f>J82+J84+J86</f>
        <v/>
      </c>
      <c r="K88" s="33">
        <f>K82+K84+K86</f>
        <v/>
      </c>
      <c r="L88" s="33">
        <f>L82+L84+L86</f>
        <v/>
      </c>
      <c r="M88" s="33">
        <f>M82+M84+M86</f>
        <v/>
      </c>
      <c r="N88" s="33">
        <f>N82+N84+N86</f>
        <v/>
      </c>
      <c r="O88" s="33">
        <f>O82+O84+O86</f>
        <v/>
      </c>
      <c r="P88" s="33">
        <f>P82+P84+P86</f>
        <v/>
      </c>
      <c r="Q88" s="33">
        <f>Q82+Q84+Q86</f>
        <v/>
      </c>
      <c r="R88" s="33">
        <f>R82+R84+R86</f>
        <v/>
      </c>
      <c r="S88" s="33">
        <f>S82+S84+S86</f>
        <v/>
      </c>
      <c r="T88" s="33">
        <f>T82+T84+T86</f>
        <v/>
      </c>
      <c r="U88" s="33">
        <f>U82+U84+U86</f>
        <v/>
      </c>
      <c r="V88" s="33">
        <f>V82+V84+V86</f>
        <v/>
      </c>
      <c r="W88" s="33">
        <f>W82+W84+W86</f>
        <v/>
      </c>
      <c r="X88" s="33">
        <f>X82+X84+X86</f>
        <v/>
      </c>
      <c r="Y88" s="33">
        <f>Y82+Y84+Y86</f>
        <v/>
      </c>
      <c r="Z88" s="33">
        <f>Z82+Z84+Z86</f>
        <v/>
      </c>
      <c r="AA88" s="33">
        <f>AA82+AA84+AA86</f>
        <v/>
      </c>
      <c r="AB88" s="33">
        <f>AB82+AB84+AB86</f>
        <v/>
      </c>
      <c r="AC88" s="33">
        <f>AC82+AC84+AC86</f>
        <v/>
      </c>
      <c r="AD88" s="33">
        <f>AD82+AD84+AD86</f>
        <v/>
      </c>
      <c r="AE88" s="33">
        <f>AE82+AE84+AE86</f>
        <v/>
      </c>
      <c r="AF88" s="33">
        <f>AF82+AF84+AF86</f>
        <v/>
      </c>
      <c r="AG88" s="33">
        <f>AG82+AG84+AG86</f>
        <v/>
      </c>
      <c r="AH88" s="33">
        <f>AH82+AH84+AH86</f>
        <v/>
      </c>
      <c r="AI88" s="33">
        <f>AI82+AI84+AI86</f>
        <v/>
      </c>
      <c r="AJ88" s="33">
        <f>AJ82+AJ84+AJ86</f>
        <v/>
      </c>
      <c r="AK88" s="33">
        <f>AK82+AK84+AK86</f>
        <v/>
      </c>
      <c r="AL88" s="33">
        <f>AL82+AL84+AL86</f>
        <v/>
      </c>
      <c r="AM88" s="33">
        <f>AM82+AM84+AM86</f>
        <v/>
      </c>
      <c r="AN88" s="33">
        <f>AN82+AN84+AN86</f>
        <v/>
      </c>
      <c r="AO88" s="33">
        <f>AO82+AO84+AO86</f>
        <v/>
      </c>
      <c r="AP88" s="33">
        <f>AP82+AP84+AP86</f>
        <v/>
      </c>
      <c r="AQ88" s="33">
        <f>AQ82+AQ84+AQ86</f>
        <v/>
      </c>
      <c r="AR88" s="33">
        <f>AR82+AR84+AR86</f>
        <v/>
      </c>
      <c r="AS88" s="33">
        <f>AS82+AS84+AS86</f>
        <v/>
      </c>
      <c r="AT88" s="33">
        <f>AT82+AT84+AT86</f>
        <v/>
      </c>
      <c r="AU88" s="33">
        <f>AU82+AU84+AU86</f>
        <v/>
      </c>
      <c r="AV88" s="33">
        <f>AV82+AV84+AV86</f>
        <v/>
      </c>
      <c r="AW88" s="33">
        <f>AW82+AW84+AW86</f>
        <v/>
      </c>
      <c r="AX88" s="33">
        <f>AX82+AX84+AX86</f>
        <v/>
      </c>
      <c r="AY88" s="33">
        <f>AY82+AY84+AY86</f>
        <v/>
      </c>
      <c r="AZ88" s="33">
        <f>AZ82+AZ84+AZ86</f>
        <v/>
      </c>
      <c r="BA88" s="33">
        <f>BA82+BA84+BA86</f>
        <v/>
      </c>
      <c r="BB88" s="33">
        <f>BB82+BB84+BB86</f>
        <v/>
      </c>
      <c r="BC88" s="33">
        <f>BC82+BC84+BC86</f>
        <v/>
      </c>
      <c r="BD88" s="33">
        <f>BD82+BD84+BD86</f>
        <v/>
      </c>
      <c r="BE88" s="33">
        <f>BE82+BE84+BE86</f>
        <v/>
      </c>
      <c r="BF88" s="33">
        <f>BF82+BF84+BF86</f>
        <v/>
      </c>
      <c r="BG88" s="33">
        <f>BG82+BG84+BG86</f>
        <v/>
      </c>
      <c r="BH88" s="33">
        <f>BH82+BH84+BH86</f>
        <v/>
      </c>
      <c r="BI88" s="33">
        <f>BI82+BI84+BI86</f>
        <v/>
      </c>
      <c r="BJ88" s="33">
        <f>BJ82+BJ84+BJ86</f>
        <v/>
      </c>
      <c r="BK88" s="33">
        <f>BK82+BK84+BK86</f>
        <v/>
      </c>
      <c r="BL88" s="33">
        <f>BL82+BL84+BL86</f>
        <v/>
      </c>
      <c r="BM88" s="33">
        <f>BM82+BM84+BM86</f>
        <v/>
      </c>
      <c r="BN88" s="33">
        <f>BN82+BN84+BN86</f>
        <v/>
      </c>
      <c r="BO88" s="33">
        <f>BO82+BO84+BO86</f>
        <v/>
      </c>
      <c r="BP88" s="33">
        <f>BP82+BP84+BP86</f>
        <v/>
      </c>
      <c r="BQ88" s="33">
        <f>BQ82+BQ84+BQ86</f>
        <v/>
      </c>
      <c r="BR88" s="33">
        <f>BR82+BR84+BR86</f>
        <v/>
      </c>
      <c r="BY88" s="33">
        <f>SUM(C88:BR88)</f>
        <v/>
      </c>
    </row>
    <row r="89">
      <c r="B89" s="32" t="inlineStr">
        <is>
          <t>Produccion fuente</t>
        </is>
      </c>
      <c r="C89" s="33" t="n">
        <v>769160</v>
      </c>
      <c r="D89" s="33" t="n">
        <v>272241</v>
      </c>
      <c r="E89" s="33" t="n">
        <v>54743</v>
      </c>
      <c r="F89" s="33" t="n">
        <v>30081</v>
      </c>
      <c r="G89" s="33" t="n">
        <v>406701</v>
      </c>
      <c r="H89" s="33" t="n">
        <v>279099</v>
      </c>
      <c r="I89" s="33" t="n">
        <v>30712</v>
      </c>
      <c r="J89" s="33" t="n">
        <v>495404</v>
      </c>
      <c r="K89" s="33" t="n">
        <v>94655</v>
      </c>
      <c r="L89" s="33" t="n">
        <v>513838</v>
      </c>
      <c r="M89" s="33" t="n">
        <v>110108</v>
      </c>
      <c r="N89" s="33" t="n">
        <v>18653</v>
      </c>
      <c r="O89" s="33" t="n">
        <v>82836</v>
      </c>
      <c r="P89" s="33" t="n">
        <v>80645</v>
      </c>
      <c r="Q89" s="33" t="n">
        <v>50739</v>
      </c>
      <c r="R89" s="33" t="n">
        <v>61516</v>
      </c>
      <c r="S89" s="33" t="n">
        <v>156926</v>
      </c>
      <c r="T89" s="33" t="n">
        <v>22332</v>
      </c>
      <c r="U89" s="33" t="n">
        <v>678319</v>
      </c>
      <c r="V89" s="33" t="n">
        <v>105728</v>
      </c>
      <c r="W89" s="33" t="n">
        <v>353156</v>
      </c>
      <c r="X89" s="33" t="n">
        <v>138097</v>
      </c>
      <c r="Y89" s="33" t="n">
        <v>67872</v>
      </c>
      <c r="Z89" s="33" t="n">
        <v>99278</v>
      </c>
      <c r="AA89" s="33" t="n">
        <v>197694</v>
      </c>
      <c r="AB89" s="33" t="n">
        <v>143010</v>
      </c>
      <c r="AC89" s="33" t="n">
        <v>305615</v>
      </c>
      <c r="AD89" s="33" t="n">
        <v>121205</v>
      </c>
      <c r="AE89" s="33" t="n">
        <v>189661</v>
      </c>
      <c r="AF89" s="33" t="n">
        <v>146376</v>
      </c>
      <c r="AG89" s="33" t="n">
        <v>137668</v>
      </c>
      <c r="AH89" s="33" t="n">
        <v>242983</v>
      </c>
      <c r="AI89" s="33" t="n">
        <v>241683</v>
      </c>
      <c r="AJ89" s="33" t="n">
        <v>145523</v>
      </c>
      <c r="AK89" s="33" t="n">
        <v>50525</v>
      </c>
      <c r="AL89" s="33" t="n">
        <v>113057</v>
      </c>
      <c r="AM89" s="33" t="n">
        <v>107939</v>
      </c>
      <c r="AN89" s="33" t="n">
        <v>455696</v>
      </c>
      <c r="AO89" s="33" t="n">
        <v>107088</v>
      </c>
      <c r="AP89" s="33" t="n">
        <v>704341</v>
      </c>
      <c r="AQ89" s="33" t="n">
        <v>225817</v>
      </c>
      <c r="AR89" s="33" t="n">
        <v>1442385</v>
      </c>
      <c r="AS89" s="33" t="n">
        <v>506364</v>
      </c>
      <c r="AT89" s="33" t="n">
        <v>34706</v>
      </c>
      <c r="AU89" s="33" t="n">
        <v>35749</v>
      </c>
      <c r="AV89" s="33" t="n">
        <v>188012</v>
      </c>
      <c r="AW89" s="33" t="n">
        <v>31722</v>
      </c>
      <c r="AX89" s="33" t="n">
        <v>287638</v>
      </c>
      <c r="AY89" s="33" t="n">
        <v>17626</v>
      </c>
      <c r="AZ89" s="33" t="n">
        <v>46662</v>
      </c>
      <c r="BA89" s="33" t="n">
        <v>182343</v>
      </c>
      <c r="BB89" s="33" t="n">
        <v>267495</v>
      </c>
      <c r="BC89" s="33" t="n">
        <v>717847</v>
      </c>
      <c r="BD89" s="33" t="n">
        <v>758313</v>
      </c>
      <c r="BE89" s="33" t="n">
        <v>285030</v>
      </c>
      <c r="BF89" s="33" t="n">
        <v>85091</v>
      </c>
      <c r="BG89" s="33" t="n">
        <v>146292</v>
      </c>
      <c r="BH89" s="33" t="n">
        <v>75203</v>
      </c>
      <c r="BI89" s="33" t="n">
        <v>319061</v>
      </c>
      <c r="BJ89" s="33" t="n">
        <v>46889</v>
      </c>
      <c r="BK89" s="33" t="n">
        <v>993216</v>
      </c>
      <c r="BL89" s="33" t="n">
        <v>404343</v>
      </c>
      <c r="BM89" s="33" t="n">
        <v>150446</v>
      </c>
      <c r="BN89" s="33" t="n">
        <v>279166</v>
      </c>
      <c r="BO89" s="33" t="n">
        <v>382369</v>
      </c>
      <c r="BP89" s="33" t="n">
        <v>42806</v>
      </c>
      <c r="BQ89" s="33" t="n">
        <v>185302</v>
      </c>
      <c r="BR89" s="33" t="n">
        <v>61371</v>
      </c>
      <c r="BY89" s="33">
        <f>SUM(C89:BR89)</f>
        <v/>
      </c>
    </row>
    <row r="90">
      <c r="B90" s="35" t="inlineStr">
        <is>
          <t>Check produccion total - fuente</t>
        </is>
      </c>
      <c r="C90" s="36">
        <f>C88-C89</f>
        <v/>
      </c>
      <c r="D90" s="36">
        <f>D88-D89</f>
        <v/>
      </c>
      <c r="E90" s="36">
        <f>E88-E89</f>
        <v/>
      </c>
      <c r="F90" s="36">
        <f>F88-F89</f>
        <v/>
      </c>
      <c r="G90" s="36">
        <f>G88-G89</f>
        <v/>
      </c>
      <c r="H90" s="36">
        <f>H88-H89</f>
        <v/>
      </c>
      <c r="I90" s="36">
        <f>I88-I89</f>
        <v/>
      </c>
      <c r="J90" s="36">
        <f>J88-J89</f>
        <v/>
      </c>
      <c r="K90" s="36">
        <f>K88-K89</f>
        <v/>
      </c>
      <c r="L90" s="36">
        <f>L88-L89</f>
        <v/>
      </c>
      <c r="M90" s="36">
        <f>M88-M89</f>
        <v/>
      </c>
      <c r="N90" s="36">
        <f>N88-N89</f>
        <v/>
      </c>
      <c r="O90" s="36">
        <f>O88-O89</f>
        <v/>
      </c>
      <c r="P90" s="36">
        <f>P88-P89</f>
        <v/>
      </c>
      <c r="Q90" s="36">
        <f>Q88-Q89</f>
        <v/>
      </c>
      <c r="R90" s="36">
        <f>R88-R89</f>
        <v/>
      </c>
      <c r="S90" s="36">
        <f>S88-S89</f>
        <v/>
      </c>
      <c r="T90" s="36">
        <f>T88-T89</f>
        <v/>
      </c>
      <c r="U90" s="36">
        <f>U88-U89</f>
        <v/>
      </c>
      <c r="V90" s="36">
        <f>V88-V89</f>
        <v/>
      </c>
      <c r="W90" s="36">
        <f>W88-W89</f>
        <v/>
      </c>
      <c r="X90" s="36">
        <f>X88-X89</f>
        <v/>
      </c>
      <c r="Y90" s="36">
        <f>Y88-Y89</f>
        <v/>
      </c>
      <c r="Z90" s="36">
        <f>Z88-Z89</f>
        <v/>
      </c>
      <c r="AA90" s="36">
        <f>AA88-AA89</f>
        <v/>
      </c>
      <c r="AB90" s="36">
        <f>AB88-AB89</f>
        <v/>
      </c>
      <c r="AC90" s="36">
        <f>AC88-AC89</f>
        <v/>
      </c>
      <c r="AD90" s="36">
        <f>AD88-AD89</f>
        <v/>
      </c>
      <c r="AE90" s="36">
        <f>AE88-AE89</f>
        <v/>
      </c>
      <c r="AF90" s="36">
        <f>AF88-AF89</f>
        <v/>
      </c>
      <c r="AG90" s="36">
        <f>AG88-AG89</f>
        <v/>
      </c>
      <c r="AH90" s="36">
        <f>AH88-AH89</f>
        <v/>
      </c>
      <c r="AI90" s="36">
        <f>AI88-AI89</f>
        <v/>
      </c>
      <c r="AJ90" s="36">
        <f>AJ88-AJ89</f>
        <v/>
      </c>
      <c r="AK90" s="36">
        <f>AK88-AK89</f>
        <v/>
      </c>
      <c r="AL90" s="36">
        <f>AL88-AL89</f>
        <v/>
      </c>
      <c r="AM90" s="36">
        <f>AM88-AM89</f>
        <v/>
      </c>
      <c r="AN90" s="36">
        <f>AN88-AN89</f>
        <v/>
      </c>
      <c r="AO90" s="36">
        <f>AO88-AO89</f>
        <v/>
      </c>
      <c r="AP90" s="36">
        <f>AP88-AP89</f>
        <v/>
      </c>
      <c r="AQ90" s="36">
        <f>AQ88-AQ89</f>
        <v/>
      </c>
      <c r="AR90" s="36">
        <f>AR88-AR89</f>
        <v/>
      </c>
      <c r="AS90" s="36">
        <f>AS88-AS89</f>
        <v/>
      </c>
      <c r="AT90" s="36">
        <f>AT88-AT89</f>
        <v/>
      </c>
      <c r="AU90" s="36">
        <f>AU88-AU89</f>
        <v/>
      </c>
      <c r="AV90" s="36">
        <f>AV88-AV89</f>
        <v/>
      </c>
      <c r="AW90" s="36">
        <f>AW88-AW89</f>
        <v/>
      </c>
      <c r="AX90" s="36">
        <f>AX88-AX89</f>
        <v/>
      </c>
      <c r="AY90" s="36">
        <f>AY88-AY89</f>
        <v/>
      </c>
      <c r="AZ90" s="36">
        <f>AZ88-AZ89</f>
        <v/>
      </c>
      <c r="BA90" s="36">
        <f>BA88-BA89</f>
        <v/>
      </c>
      <c r="BB90" s="36">
        <f>BB88-BB89</f>
        <v/>
      </c>
      <c r="BC90" s="36">
        <f>BC88-BC89</f>
        <v/>
      </c>
      <c r="BD90" s="36">
        <f>BD88-BD89</f>
        <v/>
      </c>
      <c r="BE90" s="36">
        <f>BE88-BE89</f>
        <v/>
      </c>
      <c r="BF90" s="36">
        <f>BF88-BF89</f>
        <v/>
      </c>
      <c r="BG90" s="36">
        <f>BG88-BG89</f>
        <v/>
      </c>
      <c r="BH90" s="36">
        <f>BH88-BH89</f>
        <v/>
      </c>
      <c r="BI90" s="36">
        <f>BI88-BI89</f>
        <v/>
      </c>
      <c r="BJ90" s="36">
        <f>BJ88-BJ89</f>
        <v/>
      </c>
      <c r="BK90" s="36">
        <f>BK88-BK89</f>
        <v/>
      </c>
      <c r="BL90" s="36">
        <f>BL88-BL89</f>
        <v/>
      </c>
      <c r="BM90" s="36">
        <f>BM88-BM89</f>
        <v/>
      </c>
      <c r="BN90" s="36">
        <f>BN88-BN89</f>
        <v/>
      </c>
      <c r="BO90" s="36">
        <f>BO88-BO89</f>
        <v/>
      </c>
      <c r="BP90" s="36">
        <f>BP88-BP89</f>
        <v/>
      </c>
      <c r="BQ90" s="36">
        <f>BQ88-BQ89</f>
        <v/>
      </c>
      <c r="BR90" s="36">
        <f>BR88-BR89</f>
        <v/>
      </c>
      <c r="BY90" s="36">
        <f>SUM(C90:BR90)</f>
        <v/>
      </c>
    </row>
    <row r="91"/>
    <row r="92">
      <c r="B92" s="28" t="inlineStr">
        <is>
          <t>Nota</t>
        </is>
      </c>
      <c r="C92" s="28" t="inlineStr">
        <is>
          <t>Z total = Z nacional + matriz importada/ajuste asignada. El residuo de ajuste no asignado queda como fila firmada.</t>
        </is>
      </c>
    </row>
  </sheetData>
  <mergeCells count="9">
    <mergeCell ref="BY10:BY12"/>
    <mergeCell ref="BX10:BX12"/>
    <mergeCell ref="A3:H4"/>
    <mergeCell ref="B10:B12"/>
    <mergeCell ref="A10:A12"/>
    <mergeCell ref="A1:H1"/>
    <mergeCell ref="C10:BR10"/>
    <mergeCell ref="BS10:BS12"/>
    <mergeCell ref="BT10:BW10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88"/>
  <sheetViews>
    <sheetView showGridLines="0" zoomScale="8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4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  <col width="24" customWidth="1" min="7" max="7"/>
    <col width="24" customWidth="1" min="8" max="8"/>
  </cols>
  <sheetData>
    <row r="1">
      <c r="A1" s="16" t="inlineStr">
        <is>
          <t>Matriz de multiplicadores y validacion</t>
        </is>
      </c>
      <c r="B1" s="16" t="inlineStr"/>
      <c r="C1" s="16" t="inlineStr"/>
      <c r="D1" s="16" t="inlineStr"/>
      <c r="E1" s="16" t="inlineStr"/>
      <c r="F1" s="16" t="inlineStr"/>
      <c r="G1" s="16" t="inlineStr"/>
      <c r="H1" s="16" t="inlineStr"/>
    </row>
    <row r="2"/>
    <row r="3">
      <c r="A3" s="37" t="inlineStr">
        <is>
          <t>Codigo</t>
        </is>
      </c>
      <c r="B3" s="37" t="inlineStr">
        <is>
          <t>Actividad economica</t>
        </is>
      </c>
      <c r="C3" s="37" t="inlineStr">
        <is>
          <t>Produccion</t>
        </is>
      </c>
      <c r="D3" s="37" t="inlineStr">
        <is>
          <t>Valor agregado</t>
        </is>
      </c>
      <c r="E3" s="37" t="inlineStr">
        <is>
          <t>Multiplicador Leontief</t>
        </is>
      </c>
      <c r="F3" s="37" t="inlineStr">
        <is>
          <t>Indice atras Leontief</t>
        </is>
      </c>
      <c r="G3" s="37" t="inlineStr">
        <is>
          <t>Encadenamiento adelante Ghosh</t>
        </is>
      </c>
      <c r="H3" s="37" t="inlineStr">
        <is>
          <t>Indice adelante Ghosh</t>
        </is>
      </c>
    </row>
    <row r="4">
      <c r="A4" s="10" t="inlineStr">
        <is>
          <t>0191</t>
        </is>
      </c>
      <c r="B4" s="10" t="inlineStr">
        <is>
          <t>Agricultura, inclusive o apoio à agricultura e a pós-colheita</t>
        </is>
      </c>
      <c r="C4" s="11" t="n">
        <v>769160</v>
      </c>
      <c r="D4" s="11" t="n">
        <v>421109</v>
      </c>
      <c r="E4" s="11" t="n">
        <v>1.694554610573443</v>
      </c>
      <c r="F4" s="11" t="n">
        <v>0.8074541809763054</v>
      </c>
      <c r="G4" s="11" t="n">
        <v>1.808759247837262</v>
      </c>
      <c r="H4" s="11" t="n">
        <v>0.8861646298188781</v>
      </c>
    </row>
    <row r="5">
      <c r="A5" s="10" t="inlineStr">
        <is>
          <t>0192</t>
        </is>
      </c>
      <c r="B5" s="10" t="inlineStr">
        <is>
          <t>Pecuária, inclusive o apoio à pecuária</t>
        </is>
      </c>
      <c r="C5" s="11" t="n">
        <v>272241</v>
      </c>
      <c r="D5" s="11" t="n">
        <v>130445</v>
      </c>
      <c r="E5" s="11" t="n">
        <v>1.897294658544472</v>
      </c>
      <c r="F5" s="11" t="n">
        <v>0.9040596833095387</v>
      </c>
      <c r="G5" s="11" t="n">
        <v>1.954452224621144</v>
      </c>
      <c r="H5" s="11" t="n">
        <v>0.9575439264241472</v>
      </c>
    </row>
    <row r="6">
      <c r="A6" s="10" t="inlineStr">
        <is>
          <t>0280</t>
        </is>
      </c>
      <c r="B6" s="10" t="inlineStr">
        <is>
          <t>Produção florestal; pesca e aquicultura</t>
        </is>
      </c>
      <c r="C6" s="11" t="n">
        <v>54743</v>
      </c>
      <c r="D6" s="11" t="n">
        <v>39531</v>
      </c>
      <c r="E6" s="11" t="n">
        <v>1.456700052397423</v>
      </c>
      <c r="F6" s="11" t="n">
        <v>0.6941166371372745</v>
      </c>
      <c r="G6" s="11" t="n">
        <v>1.862564096775944</v>
      </c>
      <c r="H6" s="11" t="n">
        <v>0.9125252160048055</v>
      </c>
    </row>
    <row r="7">
      <c r="A7" s="10" t="inlineStr">
        <is>
          <t>0580</t>
        </is>
      </c>
      <c r="B7" s="10" t="inlineStr">
        <is>
          <t>Extração de carvão mineral e de minerais não-metálicos</t>
        </is>
      </c>
      <c r="C7" s="11" t="n">
        <v>30081</v>
      </c>
      <c r="D7" s="11" t="n">
        <v>11561</v>
      </c>
      <c r="E7" s="11" t="n">
        <v>2.119723833359576</v>
      </c>
      <c r="F7" s="11" t="n">
        <v>1.010047041908025</v>
      </c>
      <c r="G7" s="11" t="n">
        <v>2.859547458187217</v>
      </c>
      <c r="H7" s="11" t="n">
        <v>1.400976839656209</v>
      </c>
    </row>
    <row r="8">
      <c r="A8" s="10" t="inlineStr">
        <is>
          <t>0680</t>
        </is>
      </c>
      <c r="B8" s="10" t="inlineStr">
        <is>
          <t>Extração de petróleo e gás, inclusive as atividades de apoio</t>
        </is>
      </c>
      <c r="C8" s="11" t="n">
        <v>406701</v>
      </c>
      <c r="D8" s="11" t="n">
        <v>231887</v>
      </c>
      <c r="E8" s="11" t="n">
        <v>1.649727511928545</v>
      </c>
      <c r="F8" s="11" t="n">
        <v>0.7860940973319009</v>
      </c>
      <c r="G8" s="11" t="n">
        <v>2.476543973878397</v>
      </c>
      <c r="H8" s="11" t="n">
        <v>1.213332109547604</v>
      </c>
    </row>
    <row r="9">
      <c r="A9" s="10" t="inlineStr">
        <is>
          <t>0791</t>
        </is>
      </c>
      <c r="B9" s="10" t="inlineStr">
        <is>
          <t>Extração de minério de ferro, inclusive beneficiamentos e a aglomeração</t>
        </is>
      </c>
      <c r="C9" s="11" t="n">
        <v>279099</v>
      </c>
      <c r="D9" s="11" t="n">
        <v>167230</v>
      </c>
      <c r="E9" s="11" t="n">
        <v>1.707564508352668</v>
      </c>
      <c r="F9" s="11" t="n">
        <v>0.813653388892275</v>
      </c>
      <c r="G9" s="11" t="n">
        <v>1.623862685299992</v>
      </c>
      <c r="H9" s="11" t="n">
        <v>0.7955783375350725</v>
      </c>
    </row>
    <row r="10">
      <c r="A10" s="10" t="inlineStr">
        <is>
          <t>0792</t>
        </is>
      </c>
      <c r="B10" s="10" t="inlineStr">
        <is>
          <t>Extração de minerais metálicos não-ferrosos, inclusive beneficiamentos</t>
        </is>
      </c>
      <c r="C10" s="11" t="n">
        <v>30712</v>
      </c>
      <c r="D10" s="11" t="n">
        <v>14189</v>
      </c>
      <c r="E10" s="11" t="n">
        <v>1.972520217674901</v>
      </c>
      <c r="F10" s="11" t="n">
        <v>0.9399046138046319</v>
      </c>
      <c r="G10" s="11" t="n">
        <v>2.327015272496676</v>
      </c>
      <c r="H10" s="11" t="n">
        <v>1.140073578062184</v>
      </c>
    </row>
    <row r="11">
      <c r="A11" s="10" t="inlineStr">
        <is>
          <t>1091</t>
        </is>
      </c>
      <c r="B11" s="10" t="inlineStr">
        <is>
          <t>Abate e produtos de carne, inclusive os produtos do laticínio e da pesca</t>
        </is>
      </c>
      <c r="C11" s="11" t="n">
        <v>495404</v>
      </c>
      <c r="D11" s="11" t="n">
        <v>59950</v>
      </c>
      <c r="E11" s="11" t="n">
        <v>3.48679156401087</v>
      </c>
      <c r="F11" s="11" t="n">
        <v>1.661453935438964</v>
      </c>
      <c r="G11" s="11" t="n">
        <v>1.283249029748081</v>
      </c>
      <c r="H11" s="11" t="n">
        <v>0.628701637750773</v>
      </c>
    </row>
    <row r="12">
      <c r="A12" s="10" t="inlineStr">
        <is>
          <t>1092</t>
        </is>
      </c>
      <c r="B12" s="10" t="inlineStr">
        <is>
          <t>Fabricação e refino de açúcar</t>
        </is>
      </c>
      <c r="C12" s="11" t="n">
        <v>94655</v>
      </c>
      <c r="D12" s="11" t="n">
        <v>18988</v>
      </c>
      <c r="E12" s="11" t="n">
        <v>2.623270741301388</v>
      </c>
      <c r="F12" s="11" t="n">
        <v>1.249986819356516</v>
      </c>
      <c r="G12" s="11" t="n">
        <v>1.857398918615973</v>
      </c>
      <c r="H12" s="11" t="n">
        <v>0.9099946425204946</v>
      </c>
    </row>
    <row r="13">
      <c r="A13" s="10" t="inlineStr">
        <is>
          <t>1093</t>
        </is>
      </c>
      <c r="B13" s="10" t="inlineStr">
        <is>
          <t>Outros produtos alimentares</t>
        </is>
      </c>
      <c r="C13" s="11" t="n">
        <v>513838</v>
      </c>
      <c r="D13" s="11" t="n">
        <v>78319</v>
      </c>
      <c r="E13" s="11" t="n">
        <v>2.895285870090579</v>
      </c>
      <c r="F13" s="11" t="n">
        <v>1.379601853099992</v>
      </c>
      <c r="G13" s="11" t="n">
        <v>1.651132912810763</v>
      </c>
      <c r="H13" s="11" t="n">
        <v>0.8089388282117914</v>
      </c>
    </row>
    <row r="14">
      <c r="A14" s="10" t="inlineStr">
        <is>
          <t>1100</t>
        </is>
      </c>
      <c r="B14" s="10" t="inlineStr">
        <is>
          <t>Fabricação de bebidas</t>
        </is>
      </c>
      <c r="C14" s="11" t="n">
        <v>110108</v>
      </c>
      <c r="D14" s="11" t="n">
        <v>26193</v>
      </c>
      <c r="E14" s="11" t="n">
        <v>2.413531492279524</v>
      </c>
      <c r="F14" s="11" t="n">
        <v>1.150046202228677</v>
      </c>
      <c r="G14" s="11" t="n">
        <v>1.577288579315582</v>
      </c>
      <c r="H14" s="11" t="n">
        <v>0.7727603060927071</v>
      </c>
    </row>
    <row r="15">
      <c r="A15" s="10" t="inlineStr">
        <is>
          <t>1200</t>
        </is>
      </c>
      <c r="B15" s="10" t="inlineStr">
        <is>
          <t>Fabricação de produtos do fumo</t>
        </is>
      </c>
      <c r="C15" s="11" t="n">
        <v>18653</v>
      </c>
      <c r="D15" s="11" t="n">
        <v>3106</v>
      </c>
      <c r="E15" s="11" t="n">
        <v>2.714152546961823</v>
      </c>
      <c r="F15" s="11" t="n">
        <v>1.293291941243595</v>
      </c>
      <c r="G15" s="11" t="n">
        <v>1.060093531452595</v>
      </c>
      <c r="H15" s="11" t="n">
        <v>0.5193711617487733</v>
      </c>
    </row>
    <row r="16">
      <c r="A16" s="10" t="inlineStr">
        <is>
          <t>1300</t>
        </is>
      </c>
      <c r="B16" s="10" t="inlineStr">
        <is>
          <t>Fabricação de produtos têxteis</t>
        </is>
      </c>
      <c r="C16" s="11" t="n">
        <v>82836</v>
      </c>
      <c r="D16" s="11" t="n">
        <v>19370</v>
      </c>
      <c r="E16" s="11" t="n">
        <v>2.478413653547643</v>
      </c>
      <c r="F16" s="11" t="n">
        <v>1.180962510301506</v>
      </c>
      <c r="G16" s="11" t="n">
        <v>1.901706646889378</v>
      </c>
      <c r="H16" s="11" t="n">
        <v>0.9317023085188666</v>
      </c>
    </row>
    <row r="17">
      <c r="A17" s="10" t="inlineStr">
        <is>
          <t>1400</t>
        </is>
      </c>
      <c r="B17" s="10" t="inlineStr">
        <is>
          <t>Confecção de artefatos do vestuário e acessórios</t>
        </is>
      </c>
      <c r="C17" s="11" t="n">
        <v>80645</v>
      </c>
      <c r="D17" s="11" t="n">
        <v>28809</v>
      </c>
      <c r="E17" s="11" t="n">
        <v>2.372319652106482</v>
      </c>
      <c r="F17" s="11" t="n">
        <v>1.130408786918592</v>
      </c>
      <c r="G17" s="11" t="n">
        <v>1.171438800619927</v>
      </c>
      <c r="H17" s="11" t="n">
        <v>0.573922500934313</v>
      </c>
    </row>
    <row r="18">
      <c r="A18" s="10" t="inlineStr">
        <is>
          <t>1500</t>
        </is>
      </c>
      <c r="B18" s="10" t="inlineStr">
        <is>
          <t>Fabricação de calçados e de artefatos de couro</t>
        </is>
      </c>
      <c r="C18" s="11" t="n">
        <v>50739</v>
      </c>
      <c r="D18" s="11" t="n">
        <v>16343</v>
      </c>
      <c r="E18" s="11" t="n">
        <v>2.775129207549685</v>
      </c>
      <c r="F18" s="11" t="n">
        <v>1.32234728075666</v>
      </c>
      <c r="G18" s="11" t="n">
        <v>1.185955198241436</v>
      </c>
      <c r="H18" s="11" t="n">
        <v>0.5810345132930334</v>
      </c>
    </row>
    <row r="19">
      <c r="A19" s="10" t="inlineStr">
        <is>
          <t>1600</t>
        </is>
      </c>
      <c r="B19" s="10" t="inlineStr">
        <is>
          <t>Fabricação de produtos da madeira</t>
        </is>
      </c>
      <c r="C19" s="11" t="n">
        <v>61516</v>
      </c>
      <c r="D19" s="11" t="n">
        <v>19564</v>
      </c>
      <c r="E19" s="11" t="n">
        <v>2.64595590115349</v>
      </c>
      <c r="F19" s="11" t="n">
        <v>1.260796283421234</v>
      </c>
      <c r="G19" s="11" t="n">
        <v>2.098801496214245</v>
      </c>
      <c r="H19" s="11" t="n">
        <v>1.028264902131044</v>
      </c>
    </row>
    <row r="20">
      <c r="A20" s="10" t="inlineStr">
        <is>
          <t>1700</t>
        </is>
      </c>
      <c r="B20" s="10" t="inlineStr">
        <is>
          <t>Fabricação de celulose, papel e produtos de papel</t>
        </is>
      </c>
      <c r="C20" s="11" t="n">
        <v>156926</v>
      </c>
      <c r="D20" s="11" t="n">
        <v>29864</v>
      </c>
      <c r="E20" s="11" t="n">
        <v>3.190486814816829</v>
      </c>
      <c r="F20" s="11" t="n">
        <v>1.520264913210344</v>
      </c>
      <c r="G20" s="11" t="n">
        <v>2.364672161822897</v>
      </c>
      <c r="H20" s="11" t="n">
        <v>1.158522801434395</v>
      </c>
    </row>
    <row r="21">
      <c r="A21" s="10" t="inlineStr">
        <is>
          <t>1800</t>
        </is>
      </c>
      <c r="B21" s="10" t="inlineStr">
        <is>
          <t>Impressão e reprodução de gravações</t>
        </is>
      </c>
      <c r="C21" s="11" t="n">
        <v>22332</v>
      </c>
      <c r="D21" s="11" t="n">
        <v>8119</v>
      </c>
      <c r="E21" s="11" t="n">
        <v>2.121574402219064</v>
      </c>
      <c r="F21" s="11" t="n">
        <v>1.010928836778166</v>
      </c>
      <c r="G21" s="11" t="n">
        <v>3.259256263499096</v>
      </c>
      <c r="H21" s="11" t="n">
        <v>1.596806000401662</v>
      </c>
    </row>
    <row r="22">
      <c r="A22" s="10" t="inlineStr">
        <is>
          <t>1991</t>
        </is>
      </c>
      <c r="B22" s="10" t="inlineStr">
        <is>
          <t>Refino de petróleo e coquerias</t>
        </is>
      </c>
      <c r="C22" s="11" t="n">
        <v>678319</v>
      </c>
      <c r="D22" s="11" t="n">
        <v>90157</v>
      </c>
      <c r="E22" s="11" t="n">
        <v>2.370922028822197</v>
      </c>
      <c r="F22" s="11" t="n">
        <v>1.129742820323426</v>
      </c>
      <c r="G22" s="11" t="n">
        <v>2.843342213134954</v>
      </c>
      <c r="H22" s="11" t="n">
        <v>1.393037411011942</v>
      </c>
    </row>
    <row r="23">
      <c r="A23" s="10" t="inlineStr">
        <is>
          <t>1992</t>
        </is>
      </c>
      <c r="B23" s="10" t="inlineStr">
        <is>
          <t>Fabricação de biocombustíveis</t>
        </is>
      </c>
      <c r="C23" s="11" t="n">
        <v>105728</v>
      </c>
      <c r="D23" s="11" t="n">
        <v>20994</v>
      </c>
      <c r="E23" s="11" t="n">
        <v>2.800739269797937</v>
      </c>
      <c r="F23" s="11" t="n">
        <v>1.334550458930079</v>
      </c>
      <c r="G23" s="11" t="n">
        <v>2.371785460403462</v>
      </c>
      <c r="H23" s="11" t="n">
        <v>1.162007816707143</v>
      </c>
    </row>
    <row r="24">
      <c r="A24" s="10" t="inlineStr">
        <is>
          <t>2091</t>
        </is>
      </c>
      <c r="B24" s="10" t="inlineStr">
        <is>
          <t>Fabricação de químicos orgânicos e inorgânicos, resinas e elastômeros</t>
        </is>
      </c>
      <c r="C24" s="11" t="n">
        <v>353156</v>
      </c>
      <c r="D24" s="11" t="n">
        <v>62229</v>
      </c>
      <c r="E24" s="11" t="n">
        <v>2.154877541648321</v>
      </c>
      <c r="F24" s="11" t="n">
        <v>1.026797761275495</v>
      </c>
      <c r="G24" s="11" t="n">
        <v>3.116220665817918</v>
      </c>
      <c r="H24" s="11" t="n">
        <v>1.526728632381776</v>
      </c>
    </row>
    <row r="25">
      <c r="A25" s="10" t="inlineStr">
        <is>
          <t>2092</t>
        </is>
      </c>
      <c r="B25" s="10" t="inlineStr">
        <is>
          <t>Fabricação de defensivos, desinfestantes, tintas e químicos diversos</t>
        </is>
      </c>
      <c r="C25" s="11" t="n">
        <v>138097</v>
      </c>
      <c r="D25" s="11" t="n">
        <v>19572</v>
      </c>
      <c r="E25" s="11" t="n">
        <v>2.600335140070317</v>
      </c>
      <c r="F25" s="11" t="n">
        <v>1.239058020135954</v>
      </c>
      <c r="G25" s="11" t="n">
        <v>2.792178586846572</v>
      </c>
      <c r="H25" s="11" t="n">
        <v>1.367970837887714</v>
      </c>
    </row>
    <row r="26">
      <c r="A26" s="10" t="inlineStr">
        <is>
          <t>2093</t>
        </is>
      </c>
      <c r="B26" s="10" t="inlineStr">
        <is>
          <t>Fabricação de produtos de limpeza, cosméticos/perfumaria e higiene pessoal</t>
        </is>
      </c>
      <c r="C26" s="11" t="n">
        <v>67872</v>
      </c>
      <c r="D26" s="11" t="n">
        <v>11340</v>
      </c>
      <c r="E26" s="11" t="n">
        <v>2.484088883702488</v>
      </c>
      <c r="F26" s="11" t="n">
        <v>1.183666753816551</v>
      </c>
      <c r="G26" s="11" t="n">
        <v>1.573110446079415</v>
      </c>
      <c r="H26" s="11" t="n">
        <v>0.770713315097643</v>
      </c>
    </row>
    <row r="27">
      <c r="A27" s="10" t="inlineStr">
        <is>
          <t>2100</t>
        </is>
      </c>
      <c r="B27" s="10" t="inlineStr">
        <is>
          <t>Fabricação de produtos farmoquímicos e farmacêuticos</t>
        </is>
      </c>
      <c r="C27" s="11" t="n">
        <v>99278</v>
      </c>
      <c r="D27" s="11" t="n">
        <v>45544</v>
      </c>
      <c r="E27" s="11" t="n">
        <v>2.45808480545572</v>
      </c>
      <c r="F27" s="11" t="n">
        <v>1.171275827273509</v>
      </c>
      <c r="G27" s="11" t="n">
        <v>1.455982611043141</v>
      </c>
      <c r="H27" s="11" t="n">
        <v>0.7133289259366676</v>
      </c>
    </row>
    <row r="28">
      <c r="A28" s="10" t="inlineStr">
        <is>
          <t>2200</t>
        </is>
      </c>
      <c r="B28" s="10" t="inlineStr">
        <is>
          <t>Fabricação de produtos de borracha e de material plástico</t>
        </is>
      </c>
      <c r="C28" s="11" t="n">
        <v>197694</v>
      </c>
      <c r="D28" s="11" t="n">
        <v>37300</v>
      </c>
      <c r="E28" s="11" t="n">
        <v>2.650730880911297</v>
      </c>
      <c r="F28" s="11" t="n">
        <v>1.263071558201675</v>
      </c>
      <c r="G28" s="11" t="n">
        <v>2.593330274949068</v>
      </c>
      <c r="H28" s="11" t="n">
        <v>1.270549171121693</v>
      </c>
    </row>
    <row r="29">
      <c r="A29" s="10" t="inlineStr">
        <is>
          <t>2300</t>
        </is>
      </c>
      <c r="B29" s="10" t="inlineStr">
        <is>
          <t>Fabricação de produtos de minerais não-metálicos</t>
        </is>
      </c>
      <c r="C29" s="11" t="n">
        <v>143010</v>
      </c>
      <c r="D29" s="11" t="n">
        <v>42799</v>
      </c>
      <c r="E29" s="11" t="n">
        <v>2.601684244967183</v>
      </c>
      <c r="F29" s="11" t="n">
        <v>1.239700867750752</v>
      </c>
      <c r="G29" s="11" t="n">
        <v>2.310394803837588</v>
      </c>
      <c r="H29" s="11" t="n">
        <v>1.131930719097229</v>
      </c>
    </row>
    <row r="30">
      <c r="A30" s="10" t="inlineStr">
        <is>
          <t>2491</t>
        </is>
      </c>
      <c r="B30" s="10" t="inlineStr">
        <is>
          <t>Produção de ferro-gusa/ferroligas, siderurgia e tubos de aço sem costura</t>
        </is>
      </c>
      <c r="C30" s="11" t="n">
        <v>305615</v>
      </c>
      <c r="D30" s="11" t="n">
        <v>96011</v>
      </c>
      <c r="E30" s="11" t="n">
        <v>2.319327808951415</v>
      </c>
      <c r="F30" s="11" t="n">
        <v>1.105158207771591</v>
      </c>
      <c r="G30" s="11" t="n">
        <v>2.590480698708765</v>
      </c>
      <c r="H30" s="11" t="n">
        <v>1.269153079476468</v>
      </c>
    </row>
    <row r="31">
      <c r="A31" s="10" t="inlineStr">
        <is>
          <t>2492</t>
        </is>
      </c>
      <c r="B31" s="10" t="inlineStr">
        <is>
          <t>Metalurgia de metais não-ferrosos e a fundição de metais</t>
        </is>
      </c>
      <c r="C31" s="11" t="n">
        <v>121205</v>
      </c>
      <c r="D31" s="11" t="n">
        <v>29466</v>
      </c>
      <c r="E31" s="11" t="n">
        <v>2.35950082968789</v>
      </c>
      <c r="F31" s="11" t="n">
        <v>1.124300626288949</v>
      </c>
      <c r="G31" s="11" t="n">
        <v>2.447818883931535</v>
      </c>
      <c r="H31" s="11" t="n">
        <v>1.199258838751775</v>
      </c>
    </row>
    <row r="32">
      <c r="A32" s="10" t="inlineStr">
        <is>
          <t>2500</t>
        </is>
      </c>
      <c r="B32" s="10" t="inlineStr">
        <is>
          <t>Fabricação de produtos de metal, exceto máquinas e equipamentos</t>
        </is>
      </c>
      <c r="C32" s="11" t="n">
        <v>189661</v>
      </c>
      <c r="D32" s="11" t="n">
        <v>51610</v>
      </c>
      <c r="E32" s="11" t="n">
        <v>2.640987670385587</v>
      </c>
      <c r="F32" s="11" t="n">
        <v>1.258428924658898</v>
      </c>
      <c r="G32" s="11" t="n">
        <v>2.402988869928379</v>
      </c>
      <c r="H32" s="11" t="n">
        <v>1.1772952895335</v>
      </c>
    </row>
    <row r="33">
      <c r="A33" s="10" t="inlineStr">
        <is>
          <t>2600</t>
        </is>
      </c>
      <c r="B33" s="10" t="inlineStr">
        <is>
          <t>Fabricação de equipamentos de informática, produtos eletrônicos e ópticos</t>
        </is>
      </c>
      <c r="C33" s="11" t="n">
        <v>146376</v>
      </c>
      <c r="D33" s="11" t="n">
        <v>19947</v>
      </c>
      <c r="E33" s="11" t="n">
        <v>1.912967062122521</v>
      </c>
      <c r="F33" s="11" t="n">
        <v>0.9115275735245145</v>
      </c>
      <c r="G33" s="11" t="n">
        <v>1.647032728837274</v>
      </c>
      <c r="H33" s="11" t="n">
        <v>0.8069300268650115</v>
      </c>
    </row>
    <row r="34">
      <c r="A34" s="10" t="inlineStr">
        <is>
          <t>2700</t>
        </is>
      </c>
      <c r="B34" s="10" t="inlineStr">
        <is>
          <t>Fabricação de máquinas e equipamentos elétricos</t>
        </is>
      </c>
      <c r="C34" s="11" t="n">
        <v>137668</v>
      </c>
      <c r="D34" s="11" t="n">
        <v>29515</v>
      </c>
      <c r="E34" s="11" t="n">
        <v>2.538099394131826</v>
      </c>
      <c r="F34" s="11" t="n">
        <v>1.209402727263919</v>
      </c>
      <c r="G34" s="11" t="n">
        <v>1.998688666742493</v>
      </c>
      <c r="H34" s="11" t="n">
        <v>0.9792166672291173</v>
      </c>
    </row>
    <row r="35">
      <c r="A35" s="10" t="inlineStr">
        <is>
          <t>2800</t>
        </is>
      </c>
      <c r="B35" s="10" t="inlineStr">
        <is>
          <t>Fabricação de máquinas e equipamentos mecânicos</t>
        </is>
      </c>
      <c r="C35" s="11" t="n">
        <v>242983</v>
      </c>
      <c r="D35" s="11" t="n">
        <v>59125</v>
      </c>
      <c r="E35" s="11" t="n">
        <v>2.888032007270024</v>
      </c>
      <c r="F35" s="11" t="n">
        <v>1.376145392136068</v>
      </c>
      <c r="G35" s="11" t="n">
        <v>1.648697328284195</v>
      </c>
      <c r="H35" s="11" t="n">
        <v>0.8077455633464096</v>
      </c>
    </row>
    <row r="36">
      <c r="A36" s="10" t="inlineStr">
        <is>
          <t>2991</t>
        </is>
      </c>
      <c r="B36" s="10" t="inlineStr">
        <is>
          <t>Fabricação de automóveis, caminhões e ônibus, exceto peças</t>
        </is>
      </c>
      <c r="C36" s="11" t="n">
        <v>241683</v>
      </c>
      <c r="D36" s="11" t="n">
        <v>25538</v>
      </c>
      <c r="E36" s="11" t="n">
        <v>2.338338736597031</v>
      </c>
      <c r="F36" s="11" t="n">
        <v>1.114216902555406</v>
      </c>
      <c r="G36" s="11" t="n">
        <v>1.090013948358105</v>
      </c>
      <c r="H36" s="11" t="n">
        <v>0.5340300585603864</v>
      </c>
    </row>
    <row r="37">
      <c r="A37" s="10" t="inlineStr">
        <is>
          <t>2992</t>
        </is>
      </c>
      <c r="B37" s="10" t="inlineStr">
        <is>
          <t>Fabricação de peças e acessórios para veículos automotores</t>
        </is>
      </c>
      <c r="C37" s="11" t="n">
        <v>145523</v>
      </c>
      <c r="D37" s="11" t="n">
        <v>32464</v>
      </c>
      <c r="E37" s="11" t="n">
        <v>2.211100977731712</v>
      </c>
      <c r="F37" s="11" t="n">
        <v>1.053588192372327</v>
      </c>
      <c r="G37" s="11" t="n">
        <v>2.478523301542885</v>
      </c>
      <c r="H37" s="11" t="n">
        <v>1.214301840687439</v>
      </c>
    </row>
    <row r="38">
      <c r="A38" s="10" t="inlineStr">
        <is>
          <t>3000</t>
        </is>
      </c>
      <c r="B38" s="10" t="inlineStr">
        <is>
          <t>Fabricação de outros equipamentos de transporte, exceto veículos automotores</t>
        </is>
      </c>
      <c r="C38" s="11" t="n">
        <v>50525</v>
      </c>
      <c r="D38" s="11" t="n">
        <v>8912</v>
      </c>
      <c r="E38" s="11" t="n">
        <v>1.957244199857342</v>
      </c>
      <c r="F38" s="11" t="n">
        <v>0.9326256011493347</v>
      </c>
      <c r="G38" s="11" t="n">
        <v>1.337405026978461</v>
      </c>
      <c r="H38" s="11" t="n">
        <v>0.6552342618661794</v>
      </c>
    </row>
    <row r="39">
      <c r="A39" s="10" t="inlineStr">
        <is>
          <t>3180</t>
        </is>
      </c>
      <c r="B39" s="10" t="inlineStr">
        <is>
          <t>Fabricação de móveis e de produtos de indústrias diversas</t>
        </is>
      </c>
      <c r="C39" s="11" t="n">
        <v>113057</v>
      </c>
      <c r="D39" s="11" t="n">
        <v>44592</v>
      </c>
      <c r="E39" s="11" t="n">
        <v>2.331561205636286</v>
      </c>
      <c r="F39" s="11" t="n">
        <v>1.110987413416016</v>
      </c>
      <c r="G39" s="11" t="n">
        <v>1.399143280194214</v>
      </c>
      <c r="H39" s="11" t="n">
        <v>0.6854816573512446</v>
      </c>
    </row>
    <row r="40">
      <c r="A40" s="10" t="inlineStr">
        <is>
          <t>3300</t>
        </is>
      </c>
      <c r="B40" s="10" t="inlineStr">
        <is>
          <t>Manutenção, reparação e instalação de máquinas e equipamentos</t>
        </is>
      </c>
      <c r="C40" s="11" t="n">
        <v>107939</v>
      </c>
      <c r="D40" s="11" t="n">
        <v>37099</v>
      </c>
      <c r="E40" s="11" t="n">
        <v>1.921137609308034</v>
      </c>
      <c r="F40" s="11" t="n">
        <v>0.915420833998176</v>
      </c>
      <c r="G40" s="11" t="n">
        <v>2.840097561342529</v>
      </c>
      <c r="H40" s="11" t="n">
        <v>1.391447760173687</v>
      </c>
    </row>
    <row r="41">
      <c r="A41" s="10" t="inlineStr">
        <is>
          <t>3500</t>
        </is>
      </c>
      <c r="B41" s="10" t="inlineStr">
        <is>
          <t>Energia elétrica, gás natural e outras utilidades</t>
        </is>
      </c>
      <c r="C41" s="11" t="n">
        <v>455696</v>
      </c>
      <c r="D41" s="11" t="n">
        <v>157298</v>
      </c>
      <c r="E41" s="11" t="n">
        <v>2.067326222610347</v>
      </c>
      <c r="F41" s="11" t="n">
        <v>0.9850796141198362</v>
      </c>
      <c r="G41" s="11" t="n">
        <v>2.672136784750143</v>
      </c>
      <c r="H41" s="11" t="n">
        <v>1.309158810115213</v>
      </c>
    </row>
    <row r="42">
      <c r="A42" s="10" t="inlineStr">
        <is>
          <t>3680</t>
        </is>
      </c>
      <c r="B42" s="10" t="inlineStr">
        <is>
          <t>Água, esgoto e gestão de resíduos</t>
        </is>
      </c>
      <c r="C42" s="11" t="n">
        <v>107088</v>
      </c>
      <c r="D42" s="11" t="n">
        <v>63684</v>
      </c>
      <c r="E42" s="11" t="n">
        <v>1.665154079979529</v>
      </c>
      <c r="F42" s="11" t="n">
        <v>0.7934448470765</v>
      </c>
      <c r="G42" s="11" t="n">
        <v>2.188229241061009</v>
      </c>
      <c r="H42" s="11" t="n">
        <v>1.072078198180492</v>
      </c>
    </row>
    <row r="43">
      <c r="A43" s="10" t="inlineStr">
        <is>
          <t>4180</t>
        </is>
      </c>
      <c r="B43" s="10" t="inlineStr">
        <is>
          <t>Construção</t>
        </is>
      </c>
      <c r="C43" s="11" t="n">
        <v>704341</v>
      </c>
      <c r="D43" s="11" t="n">
        <v>275111</v>
      </c>
      <c r="E43" s="11" t="n">
        <v>2.081715284987033</v>
      </c>
      <c r="F43" s="11" t="n">
        <v>0.9919359930785834</v>
      </c>
      <c r="G43" s="11" t="n">
        <v>1.24122989555936</v>
      </c>
      <c r="H43" s="11" t="n">
        <v>0.6081152216546667</v>
      </c>
    </row>
    <row r="44">
      <c r="A44" s="10" t="inlineStr">
        <is>
          <t>4500</t>
        </is>
      </c>
      <c r="B44" s="10" t="inlineStr">
        <is>
          <t>Comércio e reparação de veículos automotores e motocicletas</t>
        </is>
      </c>
      <c r="C44" s="11" t="n">
        <v>225817</v>
      </c>
      <c r="D44" s="11" t="n">
        <v>121904</v>
      </c>
      <c r="E44" s="11" t="n">
        <v>1.681942243436421</v>
      </c>
      <c r="F44" s="11" t="n">
        <v>0.8014443961554134</v>
      </c>
      <c r="G44" s="11" t="n">
        <v>1.73554078673668</v>
      </c>
      <c r="H44" s="11" t="n">
        <v>0.8502927410892493</v>
      </c>
    </row>
    <row r="45">
      <c r="A45" s="10" t="inlineStr">
        <is>
          <t>4680</t>
        </is>
      </c>
      <c r="B45" s="10" t="inlineStr">
        <is>
          <t>Comércio por atacado e a varejo, exceto veículos automotores</t>
        </is>
      </c>
      <c r="C45" s="11" t="n">
        <v>1442385</v>
      </c>
      <c r="D45" s="11" t="n">
        <v>843798</v>
      </c>
      <c r="E45" s="11" t="n">
        <v>1.906643764172747</v>
      </c>
      <c r="F45" s="11" t="n">
        <v>0.908514526122415</v>
      </c>
      <c r="G45" s="11" t="n">
        <v>2.777577529547647</v>
      </c>
      <c r="H45" s="11" t="n">
        <v>1.360817348250142</v>
      </c>
    </row>
    <row r="46">
      <c r="A46" s="10" t="inlineStr">
        <is>
          <t>4900</t>
        </is>
      </c>
      <c r="B46" s="10" t="inlineStr">
        <is>
          <t>Transporte terrestre</t>
        </is>
      </c>
      <c r="C46" s="11" t="n">
        <v>506364</v>
      </c>
      <c r="D46" s="11" t="n">
        <v>183535</v>
      </c>
      <c r="E46" s="11" t="n">
        <v>2.277002621695092</v>
      </c>
      <c r="F46" s="11" t="n">
        <v>1.084990283293101</v>
      </c>
      <c r="G46" s="11" t="n">
        <v>2.993606934381077</v>
      </c>
      <c r="H46" s="11" t="n">
        <v>1.466656540388682</v>
      </c>
    </row>
    <row r="47">
      <c r="A47" s="10" t="inlineStr">
        <is>
          <t>5000</t>
        </is>
      </c>
      <c r="B47" s="10" t="inlineStr">
        <is>
          <t>Transporte aquaviário</t>
        </is>
      </c>
      <c r="C47" s="11" t="n">
        <v>34706</v>
      </c>
      <c r="D47" s="11" t="n">
        <v>14616</v>
      </c>
      <c r="E47" s="11" t="n">
        <v>1.912843808136917</v>
      </c>
      <c r="F47" s="11" t="n">
        <v>0.9114688430797255</v>
      </c>
      <c r="G47" s="11" t="n">
        <v>2.711328248146164</v>
      </c>
      <c r="H47" s="11" t="n">
        <v>1.328359866692489</v>
      </c>
    </row>
    <row r="48">
      <c r="A48" s="10" t="inlineStr">
        <is>
          <t>5100</t>
        </is>
      </c>
      <c r="B48" s="10" t="inlineStr">
        <is>
          <t>Transporte aéreo</t>
        </is>
      </c>
      <c r="C48" s="11" t="n">
        <v>35749</v>
      </c>
      <c r="D48" s="11" t="n">
        <v>3073</v>
      </c>
      <c r="E48" s="11" t="n">
        <v>2.217067516796787</v>
      </c>
      <c r="F48" s="11" t="n">
        <v>1.056431244395551</v>
      </c>
      <c r="G48" s="11" t="n">
        <v>2.255908260230846</v>
      </c>
      <c r="H48" s="11" t="n">
        <v>1.105236150539744</v>
      </c>
    </row>
    <row r="49">
      <c r="A49" s="10" t="inlineStr">
        <is>
          <t>5280</t>
        </is>
      </c>
      <c r="B49" s="10" t="inlineStr">
        <is>
          <t>Armazenamento, atividades auxiliares dos transportes e correio</t>
        </is>
      </c>
      <c r="C49" s="11" t="n">
        <v>188012</v>
      </c>
      <c r="D49" s="11" t="n">
        <v>102818</v>
      </c>
      <c r="E49" s="11" t="n">
        <v>1.744559934510505</v>
      </c>
      <c r="F49" s="11" t="n">
        <v>0.8312816856386609</v>
      </c>
      <c r="G49" s="11" t="n">
        <v>2.6112571146669</v>
      </c>
      <c r="H49" s="11" t="n">
        <v>1.279332059889986</v>
      </c>
    </row>
    <row r="50">
      <c r="A50" s="10" t="inlineStr">
        <is>
          <t>5500</t>
        </is>
      </c>
      <c r="B50" s="10" t="inlineStr">
        <is>
          <t>Alojamento</t>
        </is>
      </c>
      <c r="C50" s="11" t="n">
        <v>31722</v>
      </c>
      <c r="D50" s="11" t="n">
        <v>16415</v>
      </c>
      <c r="E50" s="11" t="n">
        <v>1.771136419698694</v>
      </c>
      <c r="F50" s="11" t="n">
        <v>0.8439453637207716</v>
      </c>
      <c r="G50" s="11" t="n">
        <v>2.372645362260686</v>
      </c>
      <c r="H50" s="11" t="n">
        <v>1.162429108049205</v>
      </c>
    </row>
    <row r="51">
      <c r="A51" s="10" t="inlineStr">
        <is>
          <t>5600</t>
        </is>
      </c>
      <c r="B51" s="10" t="inlineStr">
        <is>
          <t>Alimentação</t>
        </is>
      </c>
      <c r="C51" s="11" t="n">
        <v>287638</v>
      </c>
      <c r="D51" s="11" t="n">
        <v>120712</v>
      </c>
      <c r="E51" s="11" t="n">
        <v>2.029999274836045</v>
      </c>
      <c r="F51" s="11" t="n">
        <v>0.9672933475366396</v>
      </c>
      <c r="G51" s="11" t="n">
        <v>1.25949907969712</v>
      </c>
      <c r="H51" s="11" t="n">
        <v>0.61706583507538</v>
      </c>
    </row>
    <row r="52">
      <c r="A52" s="10" t="inlineStr">
        <is>
          <t>5800</t>
        </is>
      </c>
      <c r="B52" s="10" t="inlineStr">
        <is>
          <t>Edição e edição integrada à impressão</t>
        </is>
      </c>
      <c r="C52" s="11" t="n">
        <v>17626</v>
      </c>
      <c r="D52" s="11" t="n">
        <v>7995</v>
      </c>
      <c r="E52" s="11" t="n">
        <v>2.645918597522297</v>
      </c>
      <c r="F52" s="11" t="n">
        <v>1.260778508264986</v>
      </c>
      <c r="G52" s="11" t="n">
        <v>2.101919700278638</v>
      </c>
      <c r="H52" s="11" t="n">
        <v>1.029792602489026</v>
      </c>
    </row>
    <row r="53">
      <c r="A53" s="10" t="inlineStr">
        <is>
          <t>5980</t>
        </is>
      </c>
      <c r="B53" s="10" t="inlineStr">
        <is>
          <t>Atividades de televisão, rádio, cinema e  gravação/edição de som e imagem</t>
        </is>
      </c>
      <c r="C53" s="11" t="n">
        <v>46662</v>
      </c>
      <c r="D53" s="11" t="n">
        <v>17533</v>
      </c>
      <c r="E53" s="11" t="n">
        <v>2.505143510285303</v>
      </c>
      <c r="F53" s="11" t="n">
        <v>1.193699269828198</v>
      </c>
      <c r="G53" s="11" t="n">
        <v>3.76692431156037</v>
      </c>
      <c r="H53" s="11" t="n">
        <v>1.84552758588575</v>
      </c>
    </row>
    <row r="54">
      <c r="A54" s="10" t="inlineStr">
        <is>
          <t>6100</t>
        </is>
      </c>
      <c r="B54" s="10" t="inlineStr">
        <is>
          <t>Telecomunicações</t>
        </is>
      </c>
      <c r="C54" s="11" t="n">
        <v>182343</v>
      </c>
      <c r="D54" s="11" t="n">
        <v>79011</v>
      </c>
      <c r="E54" s="11" t="n">
        <v>2.511751619477309</v>
      </c>
      <c r="F54" s="11" t="n">
        <v>1.196848029603858</v>
      </c>
      <c r="G54" s="11" t="n">
        <v>1.755873339139413</v>
      </c>
      <c r="H54" s="11" t="n">
        <v>0.8602542596245575</v>
      </c>
    </row>
    <row r="55">
      <c r="A55" s="10" t="inlineStr">
        <is>
          <t>6280</t>
        </is>
      </c>
      <c r="B55" s="10" t="inlineStr">
        <is>
          <t>Desenvolvimento de sistemas e outros serviços de informação</t>
        </is>
      </c>
      <c r="C55" s="11" t="n">
        <v>267495</v>
      </c>
      <c r="D55" s="11" t="n">
        <v>159992</v>
      </c>
      <c r="E55" s="11" t="n">
        <v>1.634654310358913</v>
      </c>
      <c r="F55" s="11" t="n">
        <v>0.7789117264881665</v>
      </c>
      <c r="G55" s="11" t="n">
        <v>2.030936902501321</v>
      </c>
      <c r="H55" s="11" t="n">
        <v>0.9950160313167943</v>
      </c>
    </row>
    <row r="56">
      <c r="A56" s="10" t="inlineStr">
        <is>
          <t>6480</t>
        </is>
      </c>
      <c r="B56" s="10" t="inlineStr">
        <is>
          <t>Intermediação financeira, seguros e previdência complementar</t>
        </is>
      </c>
      <c r="C56" s="11" t="n">
        <v>717847</v>
      </c>
      <c r="D56" s="11" t="n">
        <v>447048</v>
      </c>
      <c r="E56" s="11" t="n">
        <v>1.535645294913527</v>
      </c>
      <c r="F56" s="11" t="n">
        <v>0.7317339943708929</v>
      </c>
      <c r="G56" s="11" t="n">
        <v>2.000186448261026</v>
      </c>
      <c r="H56" s="11" t="n">
        <v>0.9799504746755795</v>
      </c>
    </row>
    <row r="57">
      <c r="A57" s="10" t="inlineStr">
        <is>
          <t>6800</t>
        </is>
      </c>
      <c r="B57" s="10" t="inlineStr">
        <is>
          <t>Atividades imobiliárias</t>
        </is>
      </c>
      <c r="C57" s="11" t="n">
        <v>758313</v>
      </c>
      <c r="D57" s="11" t="n">
        <v>699465</v>
      </c>
      <c r="E57" s="11" t="n">
        <v>1.111188922251862</v>
      </c>
      <c r="F57" s="11" t="n">
        <v>0.5294808060645467</v>
      </c>
      <c r="G57" s="11" t="n">
        <v>1.336893539844325</v>
      </c>
      <c r="H57" s="11" t="n">
        <v>0.6549836691975196</v>
      </c>
    </row>
    <row r="58">
      <c r="A58" s="10" t="inlineStr">
        <is>
          <t>6980</t>
        </is>
      </c>
      <c r="B58" s="10" t="inlineStr">
        <is>
          <t>Atividades jurídicas, contábeis, consultoria e sedes de empresas</t>
        </is>
      </c>
      <c r="C58" s="11" t="n">
        <v>285030</v>
      </c>
      <c r="D58" s="11" t="n">
        <v>195074</v>
      </c>
      <c r="E58" s="11" t="n">
        <v>1.539768318639907</v>
      </c>
      <c r="F58" s="11" t="n">
        <v>0.7336986125220917</v>
      </c>
      <c r="G58" s="11" t="n">
        <v>2.900263749860625</v>
      </c>
      <c r="H58" s="11" t="n">
        <v>1.420924954686723</v>
      </c>
    </row>
    <row r="59">
      <c r="A59" s="10" t="inlineStr">
        <is>
          <t>7180</t>
        </is>
      </c>
      <c r="B59" s="10" t="inlineStr">
        <is>
          <t>Serviços de arquitetura, engenharia, testes/análises técnicas e P &amp; D</t>
        </is>
      </c>
      <c r="C59" s="11" t="n">
        <v>85091</v>
      </c>
      <c r="D59" s="11" t="n">
        <v>50176</v>
      </c>
      <c r="E59" s="11" t="n">
        <v>1.578120545640566</v>
      </c>
      <c r="F59" s="11" t="n">
        <v>0.751973423996568</v>
      </c>
      <c r="G59" s="11" t="n">
        <v>2.241151855782739</v>
      </c>
      <c r="H59" s="11" t="n">
        <v>1.098006551741092</v>
      </c>
    </row>
    <row r="60">
      <c r="A60" s="10" t="inlineStr">
        <is>
          <t>7380</t>
        </is>
      </c>
      <c r="B60" s="10" t="inlineStr">
        <is>
          <t>Outras atividades profissionais, científicas e técnicas</t>
        </is>
      </c>
      <c r="C60" s="11" t="n">
        <v>146292</v>
      </c>
      <c r="D60" s="11" t="n">
        <v>53773</v>
      </c>
      <c r="E60" s="11" t="n">
        <v>2.230609395546129</v>
      </c>
      <c r="F60" s="11" t="n">
        <v>1.06288394090129</v>
      </c>
      <c r="G60" s="11" t="n">
        <v>2.997586758583146</v>
      </c>
      <c r="H60" s="11" t="n">
        <v>1.468606373925118</v>
      </c>
    </row>
    <row r="61">
      <c r="A61" s="10" t="inlineStr">
        <is>
          <t>7700</t>
        </is>
      </c>
      <c r="B61" s="10" t="inlineStr">
        <is>
          <t>Aluguéis não-imobiliários e gestão de ativos de propriedade intelectual</t>
        </is>
      </c>
      <c r="C61" s="11" t="n">
        <v>75203</v>
      </c>
      <c r="D61" s="11" t="n">
        <v>49842</v>
      </c>
      <c r="E61" s="11" t="n">
        <v>1.539002351359324</v>
      </c>
      <c r="F61" s="11" t="n">
        <v>0.7333336296060271</v>
      </c>
      <c r="G61" s="11" t="n">
        <v>2.882167952436003</v>
      </c>
      <c r="H61" s="11" t="n">
        <v>1.412059288542795</v>
      </c>
    </row>
    <row r="62">
      <c r="A62" s="10" t="inlineStr">
        <is>
          <t>7880</t>
        </is>
      </c>
      <c r="B62" s="10" t="inlineStr">
        <is>
          <t>Outras atividades administrativas e serviços complementares</t>
        </is>
      </c>
      <c r="C62" s="11" t="n">
        <v>319061</v>
      </c>
      <c r="D62" s="11" t="n">
        <v>213521</v>
      </c>
      <c r="E62" s="11" t="n">
        <v>1.565980321349663</v>
      </c>
      <c r="F62" s="11" t="n">
        <v>0.7461886149378842</v>
      </c>
      <c r="G62" s="11" t="n">
        <v>2.586766941587045</v>
      </c>
      <c r="H62" s="11" t="n">
        <v>1.267333600068724</v>
      </c>
    </row>
    <row r="63">
      <c r="A63" s="10" t="inlineStr">
        <is>
          <t>8000</t>
        </is>
      </c>
      <c r="B63" s="10" t="inlineStr">
        <is>
          <t>Atividades de vigilância, segurança e investigação</t>
        </is>
      </c>
      <c r="C63" s="11" t="n">
        <v>46889</v>
      </c>
      <c r="D63" s="11" t="n">
        <v>36376</v>
      </c>
      <c r="E63" s="11" t="n">
        <v>1.388908242638701</v>
      </c>
      <c r="F63" s="11" t="n">
        <v>0.661813883431918</v>
      </c>
      <c r="G63" s="11" t="n">
        <v>2.892534802876611</v>
      </c>
      <c r="H63" s="11" t="n">
        <v>1.417138315060046</v>
      </c>
    </row>
    <row r="64">
      <c r="A64" s="10" t="inlineStr">
        <is>
          <t>8400</t>
        </is>
      </c>
      <c r="B64" s="10" t="inlineStr">
        <is>
          <t>Administração pública, defesa e seguridade social</t>
        </is>
      </c>
      <c r="C64" s="11" t="n">
        <v>993216</v>
      </c>
      <c r="D64" s="11" t="n">
        <v>719944</v>
      </c>
      <c r="E64" s="11" t="n">
        <v>1.410760501170597</v>
      </c>
      <c r="F64" s="11" t="n">
        <v>0.6722264705537834</v>
      </c>
      <c r="G64" s="11" t="n">
        <v>1.067386772185401</v>
      </c>
      <c r="H64" s="11" t="n">
        <v>0.5229443360017286</v>
      </c>
    </row>
    <row r="65">
      <c r="A65" s="10" t="inlineStr">
        <is>
          <t>8591</t>
        </is>
      </c>
      <c r="B65" s="10" t="inlineStr">
        <is>
          <t>Educação pública</t>
        </is>
      </c>
      <c r="C65" s="11" t="n">
        <v>404343</v>
      </c>
      <c r="D65" s="11" t="n">
        <v>340323</v>
      </c>
      <c r="E65" s="11" t="n">
        <v>1.238463877005734</v>
      </c>
      <c r="F65" s="11" t="n">
        <v>0.5901272400645736</v>
      </c>
      <c r="G65" s="11" t="n">
        <v>1.007643435576673</v>
      </c>
      <c r="H65" s="11" t="n">
        <v>0.4936743091403201</v>
      </c>
    </row>
    <row r="66">
      <c r="A66" s="10" t="inlineStr">
        <is>
          <t>8592</t>
        </is>
      </c>
      <c r="B66" s="10" t="inlineStr">
        <is>
          <t>Educação privada</t>
        </is>
      </c>
      <c r="C66" s="11" t="n">
        <v>150446</v>
      </c>
      <c r="D66" s="11" t="n">
        <v>100728</v>
      </c>
      <c r="E66" s="11" t="n">
        <v>1.508451531689055</v>
      </c>
      <c r="F66" s="11" t="n">
        <v>0.7187761837019003</v>
      </c>
      <c r="G66" s="11" t="n">
        <v>1.337769641653755</v>
      </c>
      <c r="H66" s="11" t="n">
        <v>0.6554128973751036</v>
      </c>
    </row>
    <row r="67">
      <c r="A67" s="10" t="inlineStr">
        <is>
          <t>8691</t>
        </is>
      </c>
      <c r="B67" s="10" t="inlineStr">
        <is>
          <t>Saúde pública</t>
        </is>
      </c>
      <c r="C67" s="11" t="n">
        <v>279166</v>
      </c>
      <c r="D67" s="11" t="n">
        <v>158689</v>
      </c>
      <c r="E67" s="11" t="n">
        <v>1.599510765528031</v>
      </c>
      <c r="F67" s="11" t="n">
        <v>0.7621658500018246</v>
      </c>
      <c r="G67" s="11" t="n">
        <v>1.002618920140148</v>
      </c>
      <c r="H67" s="11" t="n">
        <v>0.4912126504827891</v>
      </c>
    </row>
    <row r="68">
      <c r="A68" s="10" t="inlineStr">
        <is>
          <t>8692</t>
        </is>
      </c>
      <c r="B68" s="10" t="inlineStr">
        <is>
          <t>Saúde privada</t>
        </is>
      </c>
      <c r="C68" s="11" t="n">
        <v>382369</v>
      </c>
      <c r="D68" s="11" t="n">
        <v>222222</v>
      </c>
      <c r="E68" s="11" t="n">
        <v>1.538294696304261</v>
      </c>
      <c r="F68" s="11" t="n">
        <v>0.732996432427881</v>
      </c>
      <c r="G68" s="11" t="n">
        <v>1.141779938713214</v>
      </c>
      <c r="H68" s="11" t="n">
        <v>0.5593917476492434</v>
      </c>
    </row>
    <row r="69">
      <c r="A69" s="10" t="inlineStr">
        <is>
          <t>9080</t>
        </is>
      </c>
      <c r="B69" s="10" t="inlineStr">
        <is>
          <t>Atividades artísticas, criativas e de espetáculos</t>
        </is>
      </c>
      <c r="C69" s="11" t="n">
        <v>42806</v>
      </c>
      <c r="D69" s="11" t="n">
        <v>22891</v>
      </c>
      <c r="E69" s="11" t="n">
        <v>1.70567431584581</v>
      </c>
      <c r="F69" s="11" t="n">
        <v>0.8127527133796716</v>
      </c>
      <c r="G69" s="11" t="n">
        <v>1.305639749825947</v>
      </c>
      <c r="H69" s="11" t="n">
        <v>0.6396715134779626</v>
      </c>
    </row>
    <row r="70">
      <c r="A70" s="10" t="inlineStr">
        <is>
          <t>9480</t>
        </is>
      </c>
      <c r="B70" s="10" t="inlineStr">
        <is>
          <t>Organizações associativas e outros serviços pessoais</t>
        </is>
      </c>
      <c r="C70" s="11" t="n">
        <v>185302</v>
      </c>
      <c r="D70" s="11" t="n">
        <v>86270</v>
      </c>
      <c r="E70" s="11" t="n">
        <v>1.809437283123507</v>
      </c>
      <c r="F70" s="11" t="n">
        <v>0.8621957004844255</v>
      </c>
      <c r="G70" s="11" t="n">
        <v>1.359483750964144</v>
      </c>
      <c r="H70" s="11" t="n">
        <v>0.6660512814839317</v>
      </c>
    </row>
    <row r="71">
      <c r="A71" s="10" t="inlineStr">
        <is>
          <t>9700</t>
        </is>
      </c>
      <c r="B71" s="10" t="inlineStr">
        <is>
          <t>Serviços domésticos</t>
        </is>
      </c>
      <c r="C71" s="11" t="n">
        <v>61371</v>
      </c>
      <c r="D71" s="11" t="n">
        <v>61371</v>
      </c>
      <c r="E71" s="11" t="n">
        <v>1</v>
      </c>
      <c r="F71" s="11" t="n">
        <v>0.4764993561954666</v>
      </c>
      <c r="G71" s="11" t="n">
        <v>1</v>
      </c>
      <c r="H71" s="11" t="n">
        <v>0.4899295640801657</v>
      </c>
    </row>
    <row r="72"/>
    <row r="73"/>
    <row r="74">
      <c r="A74" s="10" t="inlineStr">
        <is>
          <t>Validacion contable y matematica</t>
        </is>
      </c>
    </row>
    <row r="75">
      <c r="A75" s="10" t="inlineStr">
        <is>
          <t>prueba</t>
        </is>
      </c>
      <c r="B75" s="10" t="inlineStr">
        <is>
          <t>resultado</t>
        </is>
      </c>
      <c r="C75" s="10" t="inlineStr">
        <is>
          <t>lectura</t>
        </is>
      </c>
    </row>
    <row r="76">
      <c r="A76" s="10" t="inlineStr">
        <is>
          <t>sectores</t>
        </is>
      </c>
      <c r="B76" s="11" t="n">
        <v>68</v>
      </c>
      <c r="C76" s="10" t="inlineStr">
        <is>
          <t>Cantidad de sectores de la MIP.</t>
        </is>
      </c>
    </row>
    <row r="77">
      <c r="A77" s="10" t="inlineStr">
        <is>
          <t>cuadrada_Z_A_L</t>
        </is>
      </c>
      <c r="B77" s="38" t="b">
        <v>1</v>
      </c>
      <c r="C77" s="10" t="inlineStr">
        <is>
          <t>Z, A y L son matrices cuadradas.</t>
        </is>
      </c>
    </row>
    <row r="78">
      <c r="A78" s="10" t="inlineStr">
        <is>
          <t>max_abs_A_menos_Z_sobre_x</t>
        </is>
      </c>
      <c r="B78" s="11" t="n">
        <v>1.665334536937735e-16</v>
      </c>
      <c r="C78" s="10" t="inlineStr">
        <is>
          <t>Consistencia de coeficientes tecnicos.</t>
        </is>
      </c>
    </row>
    <row r="79">
      <c r="A79" s="10" t="inlineStr">
        <is>
          <t>max_abs_Leontief</t>
        </is>
      </c>
      <c r="B79" s="11" t="n">
        <v>1.332267629550188e-15</v>
      </c>
      <c r="C79" s="10" t="inlineStr">
        <is>
          <t>Residual (I-A)L - I.</t>
        </is>
      </c>
    </row>
    <row r="80">
      <c r="A80" s="10" t="inlineStr">
        <is>
          <t>max_abs_fila_x_menos_Z_menos_y</t>
        </is>
      </c>
      <c r="B80" s="11" t="n">
        <v>285.3846563701809</v>
      </c>
      <c r="C80" s="10" t="inlineStr">
        <is>
          <t>Cierre por filas: x = ventas intermedias + demanda final.</t>
        </is>
      </c>
    </row>
    <row r="81">
      <c r="A81" s="10" t="inlineStr">
        <is>
          <t>max_abs_columna_x_menos_Z_menos_ajuste_menos_v</t>
        </is>
      </c>
      <c r="B81" s="11" t="n">
        <v>294.0000000000146</v>
      </c>
      <c r="C81" s="10" t="inlineStr">
        <is>
          <t>Cierre por columnas con ajuste procesado.</t>
        </is>
      </c>
    </row>
    <row r="82">
      <c r="A82" s="10" t="inlineStr">
        <is>
          <t>max_abs_total_x_menos_Ztotal_menos_ajuste_no_asignado_menos_v</t>
        </is>
      </c>
      <c r="B82" s="11" t="n">
        <v>293.9999999999854</v>
      </c>
      <c r="C82" s="10" t="inlineStr">
        <is>
          <t>Cierre Cuadro 3.</t>
        </is>
      </c>
    </row>
    <row r="83">
      <c r="A83" s="10" t="inlineStr">
        <is>
          <t>sectores_y_negativa</t>
        </is>
      </c>
      <c r="B83" s="11" t="n">
        <v>0</v>
      </c>
      <c r="C83" s="10" t="inlineStr">
        <is>
          <t>Demanda final total negativa.</t>
        </is>
      </c>
    </row>
    <row r="84">
      <c r="A84" s="10" t="inlineStr">
        <is>
          <t>min_y</t>
        </is>
      </c>
      <c r="B84" s="11" t="n">
        <v>560.5603185020369</v>
      </c>
      <c r="C84" s="10" t="inlineStr">
        <is>
          <t>Minimo de demanda final total.</t>
        </is>
      </c>
    </row>
    <row r="85">
      <c r="A85" s="10" t="inlineStr">
        <is>
          <t>sectores_va_negativo</t>
        </is>
      </c>
      <c r="B85" s="11" t="n">
        <v>0</v>
      </c>
      <c r="C85" s="10" t="inlineStr">
        <is>
          <t>Valor agregado negativo.</t>
        </is>
      </c>
    </row>
    <row r="86">
      <c r="A86" s="10" t="inlineStr">
        <is>
          <t>min_va</t>
        </is>
      </c>
      <c r="B86" s="11" t="n">
        <v>3073</v>
      </c>
      <c r="C86" s="10" t="inlineStr">
        <is>
          <t>Minimo de valor agregado.</t>
        </is>
      </c>
    </row>
    <row r="87">
      <c r="A87" s="10" t="inlineStr">
        <is>
          <t>sectores_ajuste_negativo</t>
        </is>
      </c>
      <c r="B87" s="11" t="n">
        <v>16</v>
      </c>
      <c r="C87" s="10" t="inlineStr">
        <is>
          <t>Ajuste intermedio/importado con signo negativo.</t>
        </is>
      </c>
    </row>
    <row r="88">
      <c r="A88" s="10" t="inlineStr">
        <is>
          <t>min_ajuste</t>
        </is>
      </c>
      <c r="B88" s="11" t="n">
        <v>-137760.1279216045</v>
      </c>
      <c r="C88" s="10" t="inlineStr">
        <is>
          <t>Minimo de ajuste intermedio/importado.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zoomScale="8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4" customWidth="1" min="2" max="2"/>
  </cols>
  <sheetData>
    <row r="1">
      <c r="A1" s="16" t="inlineStr">
        <is>
          <t>Principio</t>
        </is>
      </c>
      <c r="B1" s="16" t="inlineStr">
        <is>
          <t>La matriz no fuerza balances: muestra el cierre y sus diferencias.</t>
        </is>
      </c>
    </row>
    <row r="2">
      <c r="A2" s="10" t="inlineStr">
        <is>
          <t>Diseno</t>
        </is>
      </c>
      <c r="B2" s="10" t="inlineStr">
        <is>
          <t>Estructura inspirada en el anexo MIP de Colombia: cuadros con Z, demanda final, valor agregado y produccion en una misma hoja.</t>
        </is>
      </c>
    </row>
    <row r="3">
      <c r="A3" s="37" t="inlineStr">
        <is>
          <t>Colores</t>
        </is>
      </c>
      <c r="B3" s="37" t="inlineStr">
        <is>
          <t>Paleta CEPAL: azul institucional, celeste y grises tecnicos.</t>
        </is>
      </c>
    </row>
    <row r="4">
      <c r="A4" s="10" t="inlineStr">
        <is>
          <t>Fuente</t>
        </is>
      </c>
      <c r="B4" s="10" t="inlineStr">
        <is>
          <t>COU IBGE nivel 68</t>
        </is>
      </c>
    </row>
    <row r="5">
      <c r="A5" s="10" t="inlineStr">
        <is>
          <t>Ano</t>
        </is>
      </c>
      <c r="B5" s="10" t="inlineStr">
        <is>
          <t>2021</t>
        </is>
      </c>
    </row>
    <row r="6">
      <c r="A6" s="10" t="inlineStr">
        <is>
          <t>Archivo fuente COU/referencia</t>
        </is>
      </c>
      <c r="B6" s="10" t="inlineStr">
        <is>
          <t>data\processed\brasil\cou_brasil_2021.xlsx</t>
        </is>
      </c>
    </row>
    <row r="7">
      <c r="A7" s="10" t="inlineStr">
        <is>
          <t>Ajuste intermedio</t>
        </is>
      </c>
      <c r="B7" s="10" t="inlineStr">
        <is>
          <t>U_importada/ajuste transformado a industrias con D = V * diag(q)^-1.</t>
        </is>
      </c>
    </row>
    <row r="8">
      <c r="A8" s="10" t="inlineStr">
        <is>
          <t>Convencion</t>
        </is>
      </c>
      <c r="B8" s="10" t="inlineStr">
        <is>
          <t>Demanda final se presenta como Gasto de consumo final, Formacion bruta de capital, Exportaciones netas, Sin desglose fuente y Total.</t>
        </is>
      </c>
    </row>
    <row r="9">
      <c r="A9" s="10" t="inlineStr">
        <is>
          <t>Convencion</t>
        </is>
      </c>
      <c r="B9" s="10" t="inlineStr">
        <is>
          <t>Exportaciones netas se calcula como residuo frente al total MIP para evitar ambiguedad de signo en importaciones.</t>
        </is>
      </c>
    </row>
    <row r="10">
      <c r="A10" s="10" t="inlineStr">
        <is>
          <t>Alerta</t>
        </is>
      </c>
      <c r="B10" s="10" t="inlineStr">
        <is>
          <t>Un valor agregado negativo o ajuste negativo se conserva y se marca; no se maquilla.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2026-07-07T00:55:10Z</dcterms:created>
  <dcterms:modified xmlns:dcterms="http://purl.org/dc/terms/" xmlns:xsi="http://www.w3.org/2001/XMLSchema-instance" xsi:type="dcterms:W3CDTF">2026-07-07T00:55:13Z</dcterms:modified>
</cp:coreProperties>
</file>