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5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</fonts>
  <fills count="9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5" borderId="4" applyAlignment="1" pivotButton="0" quotePrefix="0" xfId="0">
      <alignment vertical="center"/>
    </xf>
    <xf numFmtId="165" fontId="11" fillId="5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6" borderId="6" applyAlignment="1" pivotButton="0" quotePrefix="0" xfId="0">
      <alignment vertical="center"/>
    </xf>
    <xf numFmtId="165" fontId="14" fillId="6" borderId="6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8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Mexico 2003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Mexico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2003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MIP directa CEPAL/INEGI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MIP directa / referencia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No hay matriz importada asignable; el ajuste queda como vector firmado.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20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5.551115123125783e-17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6.661338147750939e-16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0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13509869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13509869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8990120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44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/>
    <row r="2"/>
    <row r="3" ht="16" customHeight="1">
      <c r="A3" s="19" t="inlineStr">
        <is>
          <t>Matriz insumo producto, actividad por actividad - Nacional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2003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2" t="inlineStr">
        <is>
          <t>Total consumo intermedio</t>
        </is>
      </c>
      <c r="X10" s="22" t="inlineStr">
        <is>
          <t>Demanda final</t>
        </is>
      </c>
      <c r="Y10" s="23" t="n"/>
      <c r="Z10" s="23" t="n"/>
      <c r="AA10" s="23" t="n"/>
      <c r="AB10" s="22" t="inlineStr">
        <is>
          <t>Total demanda final</t>
        </is>
      </c>
      <c r="AC10" s="22" t="inlineStr">
        <is>
          <t>Total</t>
        </is>
      </c>
    </row>
    <row r="11" ht="15" customHeight="1">
      <c r="C11" s="24" t="inlineStr">
        <is>
          <t>11</t>
        </is>
      </c>
      <c r="D11" s="24" t="inlineStr">
        <is>
          <t>21</t>
        </is>
      </c>
      <c r="E11" s="24" t="inlineStr">
        <is>
          <t>22</t>
        </is>
      </c>
      <c r="F11" s="24" t="inlineStr">
        <is>
          <t>23</t>
        </is>
      </c>
      <c r="G11" s="24" t="inlineStr">
        <is>
          <t>31-33</t>
        </is>
      </c>
      <c r="H11" s="24" t="inlineStr">
        <is>
          <t>43-46</t>
        </is>
      </c>
      <c r="I11" s="24" t="inlineStr">
        <is>
          <t>48</t>
        </is>
      </c>
      <c r="J11" s="24" t="inlineStr">
        <is>
          <t>49</t>
        </is>
      </c>
      <c r="K11" s="24" t="inlineStr">
        <is>
          <t>51</t>
        </is>
      </c>
      <c r="L11" s="24" t="inlineStr">
        <is>
          <t>52</t>
        </is>
      </c>
      <c r="M11" s="24" t="inlineStr">
        <is>
          <t>53</t>
        </is>
      </c>
      <c r="N11" s="24" t="inlineStr">
        <is>
          <t>54</t>
        </is>
      </c>
      <c r="O11" s="24" t="inlineStr">
        <is>
          <t>55</t>
        </is>
      </c>
      <c r="P11" s="24" t="inlineStr">
        <is>
          <t>56</t>
        </is>
      </c>
      <c r="Q11" s="24" t="inlineStr">
        <is>
          <t>61</t>
        </is>
      </c>
      <c r="R11" s="24" t="inlineStr">
        <is>
          <t>62</t>
        </is>
      </c>
      <c r="S11" s="24" t="inlineStr">
        <is>
          <t>71</t>
        </is>
      </c>
      <c r="T11" s="24" t="inlineStr">
        <is>
          <t>72</t>
        </is>
      </c>
      <c r="U11" s="24" t="inlineStr">
        <is>
          <t>81</t>
        </is>
      </c>
      <c r="V11" s="24" t="inlineStr">
        <is>
          <t>93</t>
        </is>
      </c>
      <c r="X11" s="24" t="inlineStr"/>
      <c r="Y11" s="24" t="inlineStr"/>
      <c r="Z11" s="24" t="inlineStr"/>
      <c r="AA11" s="24" t="inlineStr"/>
    </row>
    <row r="12" ht="90" customHeight="1">
      <c r="A12" s="25" t="n"/>
      <c r="B12" s="25" t="n"/>
      <c r="C12" s="26" t="inlineStr">
        <is>
          <t>Agricultura, ganadería, aprovechamiento forestal, pesca y caza</t>
        </is>
      </c>
      <c r="D12" s="26" t="inlineStr">
        <is>
          <t>Minería</t>
        </is>
      </c>
      <c r="E12" s="26" t="inlineStr">
        <is>
          <t>Electricidad, agua y suministro de gas por ductos al consumidor final</t>
        </is>
      </c>
      <c r="F12" s="26" t="inlineStr">
        <is>
          <t>Construcción</t>
        </is>
      </c>
      <c r="G12" s="26" t="inlineStr">
        <is>
          <t>Industrias manufactureras</t>
        </is>
      </c>
      <c r="H12" s="26" t="inlineStr">
        <is>
          <t>Comercio</t>
        </is>
      </c>
      <c r="I12" s="26" t="inlineStr">
        <is>
          <t>Transportes</t>
        </is>
      </c>
      <c r="J12" s="26" t="inlineStr">
        <is>
          <t>Correos y almacenamiento</t>
        </is>
      </c>
      <c r="K12" s="26" t="inlineStr">
        <is>
          <t>Información en medios masivos</t>
        </is>
      </c>
      <c r="L12" s="26" t="inlineStr">
        <is>
          <t>Servicios financieros y de seguros</t>
        </is>
      </c>
      <c r="M12" s="26" t="inlineStr">
        <is>
          <t>Servicios inmobiliarios y de alquiler de bienes muebles e intangibles</t>
        </is>
      </c>
      <c r="N12" s="26" t="inlineStr">
        <is>
          <t>Servicios profesionales, científicos y técnicos</t>
        </is>
      </c>
      <c r="O12" s="26" t="inlineStr">
        <is>
          <t>Dirección de corporativos y empresas</t>
        </is>
      </c>
      <c r="P12" s="26" t="inlineStr">
        <is>
          <t>Servicios de apoyo a los negocios y manejo de desechos y servicios de remediación</t>
        </is>
      </c>
      <c r="Q12" s="26" t="inlineStr">
        <is>
          <t>Servicios educativos</t>
        </is>
      </c>
      <c r="R12" s="26" t="inlineStr">
        <is>
          <t>Servicios de salud y de asistencia social</t>
        </is>
      </c>
      <c r="S12" s="26" t="inlineStr">
        <is>
          <t>Servicios de esparcimiento culturales y deportivos, y otros servicios recreativos</t>
        </is>
      </c>
      <c r="T12" s="26" t="inlineStr">
        <is>
          <t>Servicios de alojamiento temporal y de preparación de alimentos y bebidas</t>
        </is>
      </c>
      <c r="U12" s="26" t="inlineStr">
        <is>
          <t>Otros servicios excepto actividades del Gobierno</t>
        </is>
      </c>
      <c r="V12" s="26" t="inlineStr">
        <is>
          <t>Actividades del Gobierno y de organismos internacionales y extraterritoriales</t>
        </is>
      </c>
      <c r="W12" s="25" t="n"/>
      <c r="X12" s="26" t="inlineStr">
        <is>
          <t>Gasto de consumo final</t>
        </is>
      </c>
      <c r="Y12" s="26" t="inlineStr">
        <is>
          <t>Formacion bruta de capital</t>
        </is>
      </c>
      <c r="Z12" s="26" t="inlineStr">
        <is>
          <t>Exportaciones netas</t>
        </is>
      </c>
      <c r="AA12" s="26" t="inlineStr">
        <is>
          <t>Sin desglose fuente</t>
        </is>
      </c>
      <c r="AB12" s="25" t="n"/>
      <c r="AC12" s="25" t="n"/>
    </row>
    <row r="13"/>
    <row r="14">
      <c r="A14" s="27" t="inlineStr">
        <is>
          <t>11</t>
        </is>
      </c>
      <c r="B14" s="27" t="inlineStr">
        <is>
          <t>Agricultura, ganadería, aprovechamiento forestal, pesca y caza</t>
        </is>
      </c>
      <c r="C14" s="28" t="n">
        <v>45661042</v>
      </c>
      <c r="D14" s="28" t="n">
        <v>283</v>
      </c>
      <c r="E14" s="28" t="n">
        <v>227</v>
      </c>
      <c r="F14" s="28" t="n">
        <v>1820316</v>
      </c>
      <c r="G14" s="28" t="n">
        <v>217161071</v>
      </c>
      <c r="H14" s="28" t="n">
        <v>0</v>
      </c>
      <c r="I14" s="28" t="n">
        <v>0</v>
      </c>
      <c r="J14" s="28" t="n">
        <v>0</v>
      </c>
      <c r="K14" s="28" t="n">
        <v>10</v>
      </c>
      <c r="L14" s="28" t="n">
        <v>0</v>
      </c>
      <c r="M14" s="28" t="n">
        <v>0</v>
      </c>
      <c r="N14" s="28" t="n">
        <v>0</v>
      </c>
      <c r="O14" s="28" t="n">
        <v>0</v>
      </c>
      <c r="P14" s="28" t="n">
        <v>317</v>
      </c>
      <c r="Q14" s="28" t="n">
        <v>0</v>
      </c>
      <c r="R14" s="28" t="n">
        <v>73</v>
      </c>
      <c r="S14" s="28" t="n">
        <v>983</v>
      </c>
      <c r="T14" s="28" t="n">
        <v>6119</v>
      </c>
      <c r="U14" s="28" t="n">
        <v>1584</v>
      </c>
      <c r="V14" s="28" t="n">
        <v>0</v>
      </c>
      <c r="W14" s="28">
        <f>SUM(C14:V14)</f>
        <v/>
      </c>
      <c r="X14" s="28" t="n">
        <v>0</v>
      </c>
      <c r="Y14" s="28" t="n">
        <v>0</v>
      </c>
      <c r="Z14" s="28" t="n">
        <v>158905279</v>
      </c>
      <c r="AA14" s="28" t="n">
        <v>0</v>
      </c>
      <c r="AB14" s="28">
        <f>SUM(X14:AA14)</f>
        <v/>
      </c>
      <c r="AC14" s="28">
        <f>W14+AB14</f>
        <v/>
      </c>
    </row>
    <row r="15">
      <c r="A15" s="29" t="inlineStr">
        <is>
          <t>21</t>
        </is>
      </c>
      <c r="B15" s="29" t="inlineStr">
        <is>
          <t>Minería</t>
        </is>
      </c>
      <c r="C15" s="30" t="n">
        <v>86276</v>
      </c>
      <c r="D15" s="30" t="n">
        <v>7971250</v>
      </c>
      <c r="E15" s="30" t="n">
        <v>3985328</v>
      </c>
      <c r="F15" s="30" t="n">
        <v>12691033</v>
      </c>
      <c r="G15" s="30" t="n">
        <v>280861277</v>
      </c>
      <c r="H15" s="30" t="n">
        <v>0</v>
      </c>
      <c r="I15" s="30" t="n">
        <v>7029</v>
      </c>
      <c r="J15" s="30" t="n">
        <v>0</v>
      </c>
      <c r="K15" s="30" t="n">
        <v>657</v>
      </c>
      <c r="L15" s="30" t="n">
        <v>0</v>
      </c>
      <c r="M15" s="30" t="n">
        <v>222023</v>
      </c>
      <c r="N15" s="30" t="n">
        <v>4271</v>
      </c>
      <c r="O15" s="30" t="n">
        <v>0</v>
      </c>
      <c r="P15" s="30" t="n">
        <v>4116</v>
      </c>
      <c r="Q15" s="30" t="n">
        <v>10</v>
      </c>
      <c r="R15" s="30" t="n">
        <v>211</v>
      </c>
      <c r="S15" s="30" t="n">
        <v>605</v>
      </c>
      <c r="T15" s="30" t="n">
        <v>113953</v>
      </c>
      <c r="U15" s="30" t="n">
        <v>593</v>
      </c>
      <c r="V15" s="30" t="n">
        <v>0</v>
      </c>
      <c r="W15" s="30">
        <f>SUM(C15:V15)</f>
        <v/>
      </c>
      <c r="X15" s="30" t="n">
        <v>0</v>
      </c>
      <c r="Y15" s="30" t="n">
        <v>0</v>
      </c>
      <c r="Z15" s="30" t="n">
        <v>235540129</v>
      </c>
      <c r="AA15" s="30" t="n">
        <v>0</v>
      </c>
      <c r="AB15" s="30">
        <f>SUM(X15:AA15)</f>
        <v/>
      </c>
      <c r="AC15" s="30">
        <f>W15+AB15</f>
        <v/>
      </c>
    </row>
    <row r="16">
      <c r="A16" s="27" t="inlineStr">
        <is>
          <t>22</t>
        </is>
      </c>
      <c r="B16" s="27" t="inlineStr">
        <is>
          <t>Electricidad, agua y suministro de gas por ductos al consumidor final</t>
        </is>
      </c>
      <c r="C16" s="28" t="n">
        <v>4931145</v>
      </c>
      <c r="D16" s="28" t="n">
        <v>3089491</v>
      </c>
      <c r="E16" s="28" t="n">
        <v>33539349</v>
      </c>
      <c r="F16" s="28" t="n">
        <v>3094215</v>
      </c>
      <c r="G16" s="28" t="n">
        <v>49113854</v>
      </c>
      <c r="H16" s="28" t="n">
        <v>14935672</v>
      </c>
      <c r="I16" s="28" t="n">
        <v>4275842</v>
      </c>
      <c r="J16" s="28" t="n">
        <v>209809</v>
      </c>
      <c r="K16" s="28" t="n">
        <v>2101890</v>
      </c>
      <c r="L16" s="28" t="n">
        <v>961559</v>
      </c>
      <c r="M16" s="28" t="n">
        <v>6694012</v>
      </c>
      <c r="N16" s="28" t="n">
        <v>2235677</v>
      </c>
      <c r="O16" s="28" t="n">
        <v>69172</v>
      </c>
      <c r="P16" s="28" t="n">
        <v>959354</v>
      </c>
      <c r="Q16" s="28" t="n">
        <v>2555727</v>
      </c>
      <c r="R16" s="28" t="n">
        <v>3441982</v>
      </c>
      <c r="S16" s="28" t="n">
        <v>643320</v>
      </c>
      <c r="T16" s="28" t="n">
        <v>9781982</v>
      </c>
      <c r="U16" s="28" t="n">
        <v>3196193</v>
      </c>
      <c r="V16" s="28" t="n">
        <v>7547589</v>
      </c>
      <c r="W16" s="28">
        <f>SUM(C16:V16)</f>
        <v/>
      </c>
      <c r="X16" s="28" t="n">
        <v>0</v>
      </c>
      <c r="Y16" s="28" t="n">
        <v>0</v>
      </c>
      <c r="Z16" s="28" t="n">
        <v>85163278</v>
      </c>
      <c r="AA16" s="28" t="n">
        <v>0</v>
      </c>
      <c r="AB16" s="28">
        <f>SUM(X16:AA16)</f>
        <v/>
      </c>
      <c r="AC16" s="28">
        <f>W16+AB16</f>
        <v/>
      </c>
    </row>
    <row r="17">
      <c r="A17" s="29" t="inlineStr">
        <is>
          <t>23</t>
        </is>
      </c>
      <c r="B17" s="29" t="inlineStr">
        <is>
          <t>Construcción</t>
        </is>
      </c>
      <c r="C17" s="30" t="n">
        <v>923712</v>
      </c>
      <c r="D17" s="30" t="n">
        <v>353383</v>
      </c>
      <c r="E17" s="30" t="n">
        <v>579321</v>
      </c>
      <c r="F17" s="30" t="n">
        <v>62592496</v>
      </c>
      <c r="G17" s="30" t="n">
        <v>6448286</v>
      </c>
      <c r="H17" s="30" t="n">
        <v>510917</v>
      </c>
      <c r="I17" s="30" t="n">
        <v>1050488</v>
      </c>
      <c r="J17" s="30" t="n">
        <v>12656</v>
      </c>
      <c r="K17" s="30" t="n">
        <v>73406</v>
      </c>
      <c r="L17" s="30" t="n">
        <v>510362</v>
      </c>
      <c r="M17" s="30" t="n">
        <v>3303577</v>
      </c>
      <c r="N17" s="30" t="n">
        <v>64449</v>
      </c>
      <c r="O17" s="30" t="n">
        <v>293482</v>
      </c>
      <c r="P17" s="30" t="n">
        <v>231582</v>
      </c>
      <c r="Q17" s="30" t="n">
        <v>1108787</v>
      </c>
      <c r="R17" s="30" t="n">
        <v>422310</v>
      </c>
      <c r="S17" s="30" t="n">
        <v>28859</v>
      </c>
      <c r="T17" s="30" t="n">
        <v>853486</v>
      </c>
      <c r="U17" s="30" t="n">
        <v>93548</v>
      </c>
      <c r="V17" s="30" t="n">
        <v>1607285</v>
      </c>
      <c r="W17" s="30">
        <f>SUM(C17:V17)</f>
        <v/>
      </c>
      <c r="X17" s="30" t="n">
        <v>0</v>
      </c>
      <c r="Y17" s="30" t="n">
        <v>0</v>
      </c>
      <c r="Z17" s="30" t="n">
        <v>887257188</v>
      </c>
      <c r="AA17" s="30" t="n">
        <v>0</v>
      </c>
      <c r="AB17" s="30">
        <f>SUM(X17:AA17)</f>
        <v/>
      </c>
      <c r="AC17" s="30">
        <f>W17+AB17</f>
        <v/>
      </c>
    </row>
    <row r="18">
      <c r="A18" s="27" t="inlineStr">
        <is>
          <t>31-33</t>
        </is>
      </c>
      <c r="B18" s="27" t="inlineStr">
        <is>
          <t>Industrias manufactureras</t>
        </is>
      </c>
      <c r="C18" s="28" t="n">
        <v>64290386</v>
      </c>
      <c r="D18" s="28" t="n">
        <v>39284704</v>
      </c>
      <c r="E18" s="28" t="n">
        <v>59910263</v>
      </c>
      <c r="F18" s="28" t="n">
        <v>259846358</v>
      </c>
      <c r="G18" s="28" t="n">
        <v>1566199154</v>
      </c>
      <c r="H18" s="28" t="n">
        <v>112557714</v>
      </c>
      <c r="I18" s="28" t="n">
        <v>117065838</v>
      </c>
      <c r="J18" s="28" t="n">
        <v>4652312</v>
      </c>
      <c r="K18" s="28" t="n">
        <v>26734290</v>
      </c>
      <c r="L18" s="28" t="n">
        <v>6214222</v>
      </c>
      <c r="M18" s="28" t="n">
        <v>20706123</v>
      </c>
      <c r="N18" s="28" t="n">
        <v>37338473</v>
      </c>
      <c r="O18" s="28" t="n">
        <v>1199565</v>
      </c>
      <c r="P18" s="28" t="n">
        <v>18938931</v>
      </c>
      <c r="Q18" s="28" t="n">
        <v>6582785</v>
      </c>
      <c r="R18" s="28" t="n">
        <v>32813018</v>
      </c>
      <c r="S18" s="28" t="n">
        <v>3588960</v>
      </c>
      <c r="T18" s="28" t="n">
        <v>20651187</v>
      </c>
      <c r="U18" s="28" t="n">
        <v>34761552</v>
      </c>
      <c r="V18" s="28" t="n">
        <v>20745267</v>
      </c>
      <c r="W18" s="28">
        <f>SUM(C18:V18)</f>
        <v/>
      </c>
      <c r="X18" s="28" t="n">
        <v>0</v>
      </c>
      <c r="Y18" s="28" t="n">
        <v>0</v>
      </c>
      <c r="Z18" s="28" t="n">
        <v>1605345533</v>
      </c>
      <c r="AA18" s="28" t="n">
        <v>0</v>
      </c>
      <c r="AB18" s="28">
        <f>SUM(X18:AA18)</f>
        <v/>
      </c>
      <c r="AC18" s="28">
        <f>W18+AB18</f>
        <v/>
      </c>
    </row>
    <row r="19">
      <c r="A19" s="29" t="inlineStr">
        <is>
          <t>43-46</t>
        </is>
      </c>
      <c r="B19" s="29" t="inlineStr">
        <is>
          <t>Comercio</t>
        </is>
      </c>
      <c r="C19" s="30" t="n">
        <v>22587553</v>
      </c>
      <c r="D19" s="30" t="n">
        <v>12130118</v>
      </c>
      <c r="E19" s="30" t="n">
        <v>20023361</v>
      </c>
      <c r="F19" s="30" t="n">
        <v>65355295</v>
      </c>
      <c r="G19" s="30" t="n">
        <v>286675302</v>
      </c>
      <c r="H19" s="30" t="n">
        <v>28747650</v>
      </c>
      <c r="I19" s="30" t="n">
        <v>33475782</v>
      </c>
      <c r="J19" s="30" t="n">
        <v>1189923</v>
      </c>
      <c r="K19" s="30" t="n">
        <v>6765024</v>
      </c>
      <c r="L19" s="30" t="n">
        <v>1815393</v>
      </c>
      <c r="M19" s="30" t="n">
        <v>5796449</v>
      </c>
      <c r="N19" s="30" t="n">
        <v>10283343</v>
      </c>
      <c r="O19" s="30" t="n">
        <v>291043</v>
      </c>
      <c r="P19" s="30" t="n">
        <v>4517652</v>
      </c>
      <c r="Q19" s="30" t="n">
        <v>2196342</v>
      </c>
      <c r="R19" s="30" t="n">
        <v>8749160</v>
      </c>
      <c r="S19" s="30" t="n">
        <v>975872</v>
      </c>
      <c r="T19" s="30" t="n">
        <v>6116306</v>
      </c>
      <c r="U19" s="30" t="n">
        <v>8300783</v>
      </c>
      <c r="V19" s="30" t="n">
        <v>5804204</v>
      </c>
      <c r="W19" s="30">
        <f>SUM(C19:V19)</f>
        <v/>
      </c>
      <c r="X19" s="30" t="n">
        <v>0</v>
      </c>
      <c r="Y19" s="30" t="n">
        <v>0</v>
      </c>
      <c r="Z19" s="30" t="n">
        <v>929600787</v>
      </c>
      <c r="AA19" s="30" t="n">
        <v>0</v>
      </c>
      <c r="AB19" s="30">
        <f>SUM(X19:AA19)</f>
        <v/>
      </c>
      <c r="AC19" s="30">
        <f>W19+AB19</f>
        <v/>
      </c>
    </row>
    <row r="20">
      <c r="A20" s="27" t="inlineStr">
        <is>
          <t>48</t>
        </is>
      </c>
      <c r="B20" s="27" t="inlineStr">
        <is>
          <t>Transportes</t>
        </is>
      </c>
      <c r="C20" s="28" t="n">
        <v>8656254</v>
      </c>
      <c r="D20" s="28" t="n">
        <v>6155767</v>
      </c>
      <c r="E20" s="28" t="n">
        <v>9498466</v>
      </c>
      <c r="F20" s="28" t="n">
        <v>23639085</v>
      </c>
      <c r="G20" s="28" t="n">
        <v>103806216</v>
      </c>
      <c r="H20" s="28" t="n">
        <v>9589520</v>
      </c>
      <c r="I20" s="28" t="n">
        <v>21983642</v>
      </c>
      <c r="J20" s="28" t="n">
        <v>500936</v>
      </c>
      <c r="K20" s="28" t="n">
        <v>7333631</v>
      </c>
      <c r="L20" s="28" t="n">
        <v>1751793</v>
      </c>
      <c r="M20" s="28" t="n">
        <v>2789805</v>
      </c>
      <c r="N20" s="28" t="n">
        <v>5391401</v>
      </c>
      <c r="O20" s="28" t="n">
        <v>761736</v>
      </c>
      <c r="P20" s="28" t="n">
        <v>2258451</v>
      </c>
      <c r="Q20" s="28" t="n">
        <v>1276366</v>
      </c>
      <c r="R20" s="28" t="n">
        <v>3079371</v>
      </c>
      <c r="S20" s="28" t="n">
        <v>418633</v>
      </c>
      <c r="T20" s="28" t="n">
        <v>2706197</v>
      </c>
      <c r="U20" s="28" t="n">
        <v>3288322</v>
      </c>
      <c r="V20" s="28" t="n">
        <v>4879213</v>
      </c>
      <c r="W20" s="28">
        <f>SUM(C20:V20)</f>
        <v/>
      </c>
      <c r="X20" s="28" t="n">
        <v>0</v>
      </c>
      <c r="Y20" s="28" t="n">
        <v>0</v>
      </c>
      <c r="Z20" s="28" t="n">
        <v>596959367</v>
      </c>
      <c r="AA20" s="28" t="n">
        <v>0</v>
      </c>
      <c r="AB20" s="28">
        <f>SUM(X20:AA20)</f>
        <v/>
      </c>
      <c r="AC20" s="28">
        <f>W20+AB20</f>
        <v/>
      </c>
    </row>
    <row r="21">
      <c r="A21" s="29" t="inlineStr">
        <is>
          <t>49</t>
        </is>
      </c>
      <c r="B21" s="29" t="inlineStr">
        <is>
          <t>Correos y almacenamiento</t>
        </is>
      </c>
      <c r="C21" s="30" t="n">
        <v>13898</v>
      </c>
      <c r="D21" s="30" t="n">
        <v>20545</v>
      </c>
      <c r="E21" s="30" t="n">
        <v>24709</v>
      </c>
      <c r="F21" s="30" t="n">
        <v>144136</v>
      </c>
      <c r="G21" s="30" t="n">
        <v>342000</v>
      </c>
      <c r="H21" s="30" t="n">
        <v>3321737</v>
      </c>
      <c r="I21" s="30" t="n">
        <v>1459940</v>
      </c>
      <c r="J21" s="30" t="n">
        <v>48089</v>
      </c>
      <c r="K21" s="30" t="n">
        <v>22215</v>
      </c>
      <c r="L21" s="30" t="n">
        <v>2299929</v>
      </c>
      <c r="M21" s="30" t="n">
        <v>183861</v>
      </c>
      <c r="N21" s="30" t="n">
        <v>210276</v>
      </c>
      <c r="O21" s="30" t="n">
        <v>31986</v>
      </c>
      <c r="P21" s="30" t="n">
        <v>39055</v>
      </c>
      <c r="Q21" s="30" t="n">
        <v>252586</v>
      </c>
      <c r="R21" s="30" t="n">
        <v>117085</v>
      </c>
      <c r="S21" s="30" t="n">
        <v>48521</v>
      </c>
      <c r="T21" s="30" t="n">
        <v>49724</v>
      </c>
      <c r="U21" s="30" t="n">
        <v>34960</v>
      </c>
      <c r="V21" s="30" t="n">
        <v>2531384</v>
      </c>
      <c r="W21" s="30">
        <f>SUM(C21:V21)</f>
        <v/>
      </c>
      <c r="X21" s="30" t="n">
        <v>0</v>
      </c>
      <c r="Y21" s="30" t="n">
        <v>0</v>
      </c>
      <c r="Z21" s="30" t="n">
        <v>8584217</v>
      </c>
      <c r="AA21" s="30" t="n">
        <v>0</v>
      </c>
      <c r="AB21" s="30">
        <f>SUM(X21:AA21)</f>
        <v/>
      </c>
      <c r="AC21" s="30">
        <f>W21+AB21</f>
        <v/>
      </c>
    </row>
    <row r="22">
      <c r="A22" s="27" t="inlineStr">
        <is>
          <t>51</t>
        </is>
      </c>
      <c r="B22" s="27" t="inlineStr">
        <is>
          <t>Información en medios masivos</t>
        </is>
      </c>
      <c r="C22" s="28" t="n">
        <v>1385547</v>
      </c>
      <c r="D22" s="28" t="n">
        <v>1242217</v>
      </c>
      <c r="E22" s="28" t="n">
        <v>942115</v>
      </c>
      <c r="F22" s="28" t="n">
        <v>5862350</v>
      </c>
      <c r="G22" s="28" t="n">
        <v>23449654</v>
      </c>
      <c r="H22" s="28" t="n">
        <v>20294570</v>
      </c>
      <c r="I22" s="28" t="n">
        <v>6347599</v>
      </c>
      <c r="J22" s="28" t="n">
        <v>530872</v>
      </c>
      <c r="K22" s="28" t="n">
        <v>21854238</v>
      </c>
      <c r="L22" s="28" t="n">
        <v>7549004</v>
      </c>
      <c r="M22" s="28" t="n">
        <v>7817394</v>
      </c>
      <c r="N22" s="28" t="n">
        <v>10946276</v>
      </c>
      <c r="O22" s="28" t="n">
        <v>1526962</v>
      </c>
      <c r="P22" s="28" t="n">
        <v>4173957</v>
      </c>
      <c r="Q22" s="28" t="n">
        <v>8081111</v>
      </c>
      <c r="R22" s="28" t="n">
        <v>2565583</v>
      </c>
      <c r="S22" s="28" t="n">
        <v>1042380</v>
      </c>
      <c r="T22" s="28" t="n">
        <v>4944201</v>
      </c>
      <c r="U22" s="28" t="n">
        <v>5867040</v>
      </c>
      <c r="V22" s="28" t="n">
        <v>7826681</v>
      </c>
      <c r="W22" s="28">
        <f>SUM(C22:V22)</f>
        <v/>
      </c>
      <c r="X22" s="28" t="n">
        <v>0</v>
      </c>
      <c r="Y22" s="28" t="n">
        <v>0</v>
      </c>
      <c r="Z22" s="28" t="n">
        <v>169717880</v>
      </c>
      <c r="AA22" s="28" t="n">
        <v>0</v>
      </c>
      <c r="AB22" s="28">
        <f>SUM(X22:AA22)</f>
        <v/>
      </c>
      <c r="AC22" s="28">
        <f>W22+AB22</f>
        <v/>
      </c>
    </row>
    <row r="23">
      <c r="A23" s="29" t="inlineStr">
        <is>
          <t>52</t>
        </is>
      </c>
      <c r="B23" s="29" t="inlineStr">
        <is>
          <t>Servicios financieros y de seguros</t>
        </is>
      </c>
      <c r="C23" s="30" t="n">
        <v>5313653</v>
      </c>
      <c r="D23" s="30" t="n">
        <v>15354551</v>
      </c>
      <c r="E23" s="30" t="n">
        <v>4266290</v>
      </c>
      <c r="F23" s="30" t="n">
        <v>7602933</v>
      </c>
      <c r="G23" s="30" t="n">
        <v>22948996</v>
      </c>
      <c r="H23" s="30" t="n">
        <v>43849141</v>
      </c>
      <c r="I23" s="30" t="n">
        <v>24144486</v>
      </c>
      <c r="J23" s="30" t="n">
        <v>245288</v>
      </c>
      <c r="K23" s="30" t="n">
        <v>6422970</v>
      </c>
      <c r="L23" s="30" t="n">
        <v>39189297</v>
      </c>
      <c r="M23" s="30" t="n">
        <v>3720325</v>
      </c>
      <c r="N23" s="30" t="n">
        <v>1772776</v>
      </c>
      <c r="O23" s="30" t="n">
        <v>3175483</v>
      </c>
      <c r="P23" s="30" t="n">
        <v>1010079</v>
      </c>
      <c r="Q23" s="30" t="n">
        <v>716089</v>
      </c>
      <c r="R23" s="30" t="n">
        <v>431481</v>
      </c>
      <c r="S23" s="30" t="n">
        <v>403627</v>
      </c>
      <c r="T23" s="30" t="n">
        <v>4950077</v>
      </c>
      <c r="U23" s="30" t="n">
        <v>1982688</v>
      </c>
      <c r="V23" s="30" t="n">
        <v>8527212</v>
      </c>
      <c r="W23" s="30">
        <f>SUM(C23:V23)</f>
        <v/>
      </c>
      <c r="X23" s="30" t="n">
        <v>0</v>
      </c>
      <c r="Y23" s="30" t="n">
        <v>0</v>
      </c>
      <c r="Z23" s="30" t="n">
        <v>111983348</v>
      </c>
      <c r="AA23" s="30" t="n">
        <v>0</v>
      </c>
      <c r="AB23" s="30">
        <f>SUM(X23:AA23)</f>
        <v/>
      </c>
      <c r="AC23" s="30">
        <f>W23+AB23</f>
        <v/>
      </c>
    </row>
    <row r="24">
      <c r="A24" s="27" t="inlineStr">
        <is>
          <t>53</t>
        </is>
      </c>
      <c r="B24" s="27" t="inlineStr">
        <is>
          <t>Servicios inmobiliarios y de alquiler de bienes muebles e intangibles</t>
        </is>
      </c>
      <c r="C24" s="28" t="n">
        <v>1030466</v>
      </c>
      <c r="D24" s="28" t="n">
        <v>9749663</v>
      </c>
      <c r="E24" s="28" t="n">
        <v>1109374</v>
      </c>
      <c r="F24" s="28" t="n">
        <v>13176425</v>
      </c>
      <c r="G24" s="28" t="n">
        <v>43315225</v>
      </c>
      <c r="H24" s="28" t="n">
        <v>46190181</v>
      </c>
      <c r="I24" s="28" t="n">
        <v>15047219</v>
      </c>
      <c r="J24" s="28" t="n">
        <v>1294193</v>
      </c>
      <c r="K24" s="28" t="n">
        <v>12039452</v>
      </c>
      <c r="L24" s="28" t="n">
        <v>10191016</v>
      </c>
      <c r="M24" s="28" t="n">
        <v>9682073</v>
      </c>
      <c r="N24" s="28" t="n">
        <v>13682392</v>
      </c>
      <c r="O24" s="28" t="n">
        <v>1103736</v>
      </c>
      <c r="P24" s="28" t="n">
        <v>3641681</v>
      </c>
      <c r="Q24" s="28" t="n">
        <v>5418057</v>
      </c>
      <c r="R24" s="28" t="n">
        <v>4671640</v>
      </c>
      <c r="S24" s="28" t="n">
        <v>1343101</v>
      </c>
      <c r="T24" s="28" t="n">
        <v>9890603</v>
      </c>
      <c r="U24" s="28" t="n">
        <v>6166833</v>
      </c>
      <c r="V24" s="28" t="n">
        <v>5407725</v>
      </c>
      <c r="W24" s="28">
        <f>SUM(C24:V24)</f>
        <v/>
      </c>
      <c r="X24" s="28" t="n">
        <v>0</v>
      </c>
      <c r="Y24" s="28" t="n">
        <v>0</v>
      </c>
      <c r="Z24" s="28" t="n">
        <v>673168314</v>
      </c>
      <c r="AA24" s="28" t="n">
        <v>0</v>
      </c>
      <c r="AB24" s="28">
        <f>SUM(X24:AA24)</f>
        <v/>
      </c>
      <c r="AC24" s="28">
        <f>W24+AB24</f>
        <v/>
      </c>
    </row>
    <row r="25">
      <c r="A25" s="29" t="inlineStr">
        <is>
          <t>54</t>
        </is>
      </c>
      <c r="B25" s="29" t="inlineStr">
        <is>
          <t>Servicios profesionales, científicos y técnicos</t>
        </is>
      </c>
      <c r="C25" s="30" t="n">
        <v>5572230</v>
      </c>
      <c r="D25" s="30" t="n">
        <v>4104632</v>
      </c>
      <c r="E25" s="30" t="n">
        <v>3159431</v>
      </c>
      <c r="F25" s="30" t="n">
        <v>18910959</v>
      </c>
      <c r="G25" s="30" t="n">
        <v>55752750</v>
      </c>
      <c r="H25" s="30" t="n">
        <v>76340150</v>
      </c>
      <c r="I25" s="30" t="n">
        <v>16400335</v>
      </c>
      <c r="J25" s="30" t="n">
        <v>650863</v>
      </c>
      <c r="K25" s="30" t="n">
        <v>9475353</v>
      </c>
      <c r="L25" s="30" t="n">
        <v>23389599</v>
      </c>
      <c r="M25" s="30" t="n">
        <v>4294527</v>
      </c>
      <c r="N25" s="30" t="n">
        <v>15713162</v>
      </c>
      <c r="O25" s="30" t="n">
        <v>8187232</v>
      </c>
      <c r="P25" s="30" t="n">
        <v>7712177</v>
      </c>
      <c r="Q25" s="30" t="n">
        <v>7476409</v>
      </c>
      <c r="R25" s="30" t="n">
        <v>2866832</v>
      </c>
      <c r="S25" s="30" t="n">
        <v>1076497</v>
      </c>
      <c r="T25" s="30" t="n">
        <v>3927081</v>
      </c>
      <c r="U25" s="30" t="n">
        <v>3843277</v>
      </c>
      <c r="V25" s="30" t="n">
        <v>11867793</v>
      </c>
      <c r="W25" s="30">
        <f>SUM(C25:V25)</f>
        <v/>
      </c>
      <c r="X25" s="30" t="n">
        <v>0</v>
      </c>
      <c r="Y25" s="30" t="n">
        <v>0</v>
      </c>
      <c r="Z25" s="30" t="n">
        <v>110189483</v>
      </c>
      <c r="AA25" s="30" t="n">
        <v>0</v>
      </c>
      <c r="AB25" s="30">
        <f>SUM(X25:AA25)</f>
        <v/>
      </c>
      <c r="AC25" s="30">
        <f>W25+AB25</f>
        <v/>
      </c>
    </row>
    <row r="26">
      <c r="A26" s="27" t="inlineStr">
        <is>
          <t>55</t>
        </is>
      </c>
      <c r="B26" s="27" t="inlineStr">
        <is>
          <t>Dirección de corporativos y empresas</t>
        </is>
      </c>
      <c r="C26" s="28" t="n">
        <v>0</v>
      </c>
      <c r="D26" s="28" t="n">
        <v>5191917</v>
      </c>
      <c r="E26" s="28" t="n">
        <v>0</v>
      </c>
      <c r="F26" s="28" t="n">
        <v>101263</v>
      </c>
      <c r="G26" s="28" t="n">
        <v>15636558</v>
      </c>
      <c r="H26" s="28" t="n">
        <v>581681</v>
      </c>
      <c r="I26" s="28" t="n">
        <v>266752</v>
      </c>
      <c r="J26" s="28" t="n">
        <v>0</v>
      </c>
      <c r="K26" s="28" t="n">
        <v>18627991</v>
      </c>
      <c r="L26" s="28" t="n">
        <v>45475</v>
      </c>
      <c r="M26" s="28" t="n">
        <v>15202</v>
      </c>
      <c r="N26" s="28" t="n">
        <v>0</v>
      </c>
      <c r="O26" s="28" t="n">
        <v>888523</v>
      </c>
      <c r="P26" s="28" t="n">
        <v>1024</v>
      </c>
      <c r="Q26" s="28" t="n">
        <v>0</v>
      </c>
      <c r="R26" s="28" t="n">
        <v>0</v>
      </c>
      <c r="S26" s="28" t="n">
        <v>0</v>
      </c>
      <c r="T26" s="28" t="n">
        <v>0</v>
      </c>
      <c r="U26" s="28" t="n">
        <v>1656</v>
      </c>
      <c r="V26" s="28" t="n">
        <v>0</v>
      </c>
      <c r="W26" s="28">
        <f>SUM(C26:V26)</f>
        <v/>
      </c>
      <c r="X26" s="28" t="n">
        <v>0</v>
      </c>
      <c r="Y26" s="28" t="n">
        <v>0</v>
      </c>
      <c r="Z26" s="28" t="n">
        <v>0</v>
      </c>
      <c r="AA26" s="28" t="n">
        <v>0</v>
      </c>
      <c r="AB26" s="28">
        <f>SUM(X26:AA26)</f>
        <v/>
      </c>
      <c r="AC26" s="28">
        <f>W26+AB26</f>
        <v/>
      </c>
    </row>
    <row r="27">
      <c r="A27" s="29" t="inlineStr">
        <is>
          <t>56</t>
        </is>
      </c>
      <c r="B27" s="29" t="inlineStr">
        <is>
          <t>Servicios de apoyo a los negocios y manejo de desechos y servicios de remediación</t>
        </is>
      </c>
      <c r="C27" s="30" t="n">
        <v>5900</v>
      </c>
      <c r="D27" s="30" t="n">
        <v>1875404</v>
      </c>
      <c r="E27" s="30" t="n">
        <v>2691184</v>
      </c>
      <c r="F27" s="30" t="n">
        <v>8461440</v>
      </c>
      <c r="G27" s="30" t="n">
        <v>53308191</v>
      </c>
      <c r="H27" s="30" t="n">
        <v>10510634</v>
      </c>
      <c r="I27" s="30" t="n">
        <v>16613327</v>
      </c>
      <c r="J27" s="30" t="n">
        <v>765885</v>
      </c>
      <c r="K27" s="30" t="n">
        <v>7606651</v>
      </c>
      <c r="L27" s="30" t="n">
        <v>24242286</v>
      </c>
      <c r="M27" s="30" t="n">
        <v>15418153</v>
      </c>
      <c r="N27" s="30" t="n">
        <v>9730947</v>
      </c>
      <c r="O27" s="30" t="n">
        <v>516792</v>
      </c>
      <c r="P27" s="30" t="n">
        <v>5640691</v>
      </c>
      <c r="Q27" s="30" t="n">
        <v>4995270</v>
      </c>
      <c r="R27" s="30" t="n">
        <v>8573306</v>
      </c>
      <c r="S27" s="30" t="n">
        <v>1829179</v>
      </c>
      <c r="T27" s="30" t="n">
        <v>9098006</v>
      </c>
      <c r="U27" s="30" t="n">
        <v>2937208</v>
      </c>
      <c r="V27" s="30" t="n">
        <v>12472618</v>
      </c>
      <c r="W27" s="30">
        <f>SUM(C27:V27)</f>
        <v/>
      </c>
      <c r="X27" s="30" t="n">
        <v>0</v>
      </c>
      <c r="Y27" s="30" t="n">
        <v>0</v>
      </c>
      <c r="Z27" s="30" t="n">
        <v>23965976</v>
      </c>
      <c r="AA27" s="30" t="n">
        <v>0</v>
      </c>
      <c r="AB27" s="30">
        <f>SUM(X27:AA27)</f>
        <v/>
      </c>
      <c r="AC27" s="30">
        <f>W27+AB27</f>
        <v/>
      </c>
    </row>
    <row r="28">
      <c r="A28" s="27" t="inlineStr">
        <is>
          <t>61</t>
        </is>
      </c>
      <c r="B28" s="27" t="inlineStr">
        <is>
          <t>Servicios educativos</t>
        </is>
      </c>
      <c r="C28" s="28" t="n">
        <v>0</v>
      </c>
      <c r="D28" s="28" t="n">
        <v>0</v>
      </c>
      <c r="E28" s="28" t="n">
        <v>107579</v>
      </c>
      <c r="F28" s="28" t="n">
        <v>5720</v>
      </c>
      <c r="G28" s="28" t="n">
        <v>3866</v>
      </c>
      <c r="H28" s="28" t="n">
        <v>0</v>
      </c>
      <c r="I28" s="28" t="n">
        <v>275583</v>
      </c>
      <c r="J28" s="28" t="n">
        <v>2023</v>
      </c>
      <c r="K28" s="28" t="n">
        <v>16681</v>
      </c>
      <c r="L28" s="28" t="n">
        <v>815062</v>
      </c>
      <c r="M28" s="28" t="n">
        <v>1815</v>
      </c>
      <c r="N28" s="28" t="n">
        <v>212008</v>
      </c>
      <c r="O28" s="28" t="n">
        <v>0</v>
      </c>
      <c r="P28" s="28" t="n">
        <v>0</v>
      </c>
      <c r="Q28" s="28" t="n">
        <v>607911</v>
      </c>
      <c r="R28" s="28" t="n">
        <v>235862</v>
      </c>
      <c r="S28" s="28" t="n">
        <v>8631</v>
      </c>
      <c r="T28" s="28" t="n">
        <v>393</v>
      </c>
      <c r="U28" s="28" t="n">
        <v>21</v>
      </c>
      <c r="V28" s="28" t="n">
        <v>3724631</v>
      </c>
      <c r="W28" s="28">
        <f>SUM(C28:V28)</f>
        <v/>
      </c>
      <c r="X28" s="28" t="n">
        <v>0</v>
      </c>
      <c r="Y28" s="28" t="n">
        <v>0</v>
      </c>
      <c r="Z28" s="28" t="n">
        <v>410347890</v>
      </c>
      <c r="AA28" s="28" t="n">
        <v>0</v>
      </c>
      <c r="AB28" s="28">
        <f>SUM(X28:AA28)</f>
        <v/>
      </c>
      <c r="AC28" s="28">
        <f>W28+AB28</f>
        <v/>
      </c>
    </row>
    <row r="29">
      <c r="A29" s="29" t="inlineStr">
        <is>
          <t>62</t>
        </is>
      </c>
      <c r="B29" s="29" t="inlineStr">
        <is>
          <t>Servicios de salud y de asistencia social</t>
        </is>
      </c>
      <c r="C29" s="30" t="n">
        <v>0</v>
      </c>
      <c r="D29" s="30" t="n">
        <v>0</v>
      </c>
      <c r="E29" s="30" t="n">
        <v>0</v>
      </c>
      <c r="F29" s="30" t="n">
        <v>0</v>
      </c>
      <c r="G29" s="30" t="n">
        <v>0</v>
      </c>
      <c r="H29" s="30" t="n">
        <v>0</v>
      </c>
      <c r="I29" s="30" t="n">
        <v>0</v>
      </c>
      <c r="J29" s="30" t="n">
        <v>0</v>
      </c>
      <c r="K29" s="30" t="n">
        <v>0</v>
      </c>
      <c r="L29" s="30" t="n">
        <v>0</v>
      </c>
      <c r="M29" s="30" t="n">
        <v>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>
        <f>SUM(C29:V29)</f>
        <v/>
      </c>
      <c r="X29" s="30" t="n">
        <v>0</v>
      </c>
      <c r="Y29" s="30" t="n">
        <v>0</v>
      </c>
      <c r="Z29" s="30" t="n">
        <v>293306066</v>
      </c>
      <c r="AA29" s="30" t="n">
        <v>0</v>
      </c>
      <c r="AB29" s="30">
        <f>SUM(X29:AA29)</f>
        <v/>
      </c>
      <c r="AC29" s="30">
        <f>W29+AB29</f>
        <v/>
      </c>
    </row>
    <row r="30">
      <c r="A30" s="27" t="inlineStr">
        <is>
          <t>71</t>
        </is>
      </c>
      <c r="B30" s="27" t="inlineStr">
        <is>
          <t>Servicios de esparcimiento culturales y deportivos, y otros servicios recreativos</t>
        </is>
      </c>
      <c r="C30" s="28" t="n">
        <v>0</v>
      </c>
      <c r="D30" s="28" t="n">
        <v>0</v>
      </c>
      <c r="E30" s="28" t="n">
        <v>0</v>
      </c>
      <c r="F30" s="28" t="n">
        <v>424</v>
      </c>
      <c r="G30" s="28" t="n">
        <v>12118</v>
      </c>
      <c r="H30" s="28" t="n">
        <v>0</v>
      </c>
      <c r="I30" s="28" t="n">
        <v>6156</v>
      </c>
      <c r="J30" s="28" t="n">
        <v>15</v>
      </c>
      <c r="K30" s="28" t="n">
        <v>299022</v>
      </c>
      <c r="L30" s="28" t="n">
        <v>16</v>
      </c>
      <c r="M30" s="28" t="n">
        <v>3085</v>
      </c>
      <c r="N30" s="28" t="n">
        <v>2241</v>
      </c>
      <c r="O30" s="28" t="n">
        <v>30</v>
      </c>
      <c r="P30" s="28" t="n">
        <v>2293</v>
      </c>
      <c r="Q30" s="28" t="n">
        <v>57117</v>
      </c>
      <c r="R30" s="28" t="n">
        <v>1279</v>
      </c>
      <c r="S30" s="28" t="n">
        <v>12370</v>
      </c>
      <c r="T30" s="28" t="n">
        <v>23083</v>
      </c>
      <c r="U30" s="28" t="n">
        <v>409</v>
      </c>
      <c r="V30" s="28" t="n">
        <v>1103931</v>
      </c>
      <c r="W30" s="28">
        <f>SUM(C30:V30)</f>
        <v/>
      </c>
      <c r="X30" s="28" t="n">
        <v>0</v>
      </c>
      <c r="Y30" s="28" t="n">
        <v>0</v>
      </c>
      <c r="Z30" s="28" t="n">
        <v>39487725</v>
      </c>
      <c r="AA30" s="28" t="n">
        <v>0</v>
      </c>
      <c r="AB30" s="28">
        <f>SUM(X30:AA30)</f>
        <v/>
      </c>
      <c r="AC30" s="28">
        <f>W30+AB30</f>
        <v/>
      </c>
    </row>
    <row r="31">
      <c r="A31" s="29" t="inlineStr">
        <is>
          <t>72</t>
        </is>
      </c>
      <c r="B31" s="29" t="inlineStr">
        <is>
          <t>Servicios de alojamiento temporal y de preparación de alimentos y bebidas</t>
        </is>
      </c>
      <c r="C31" s="30" t="n">
        <v>39658</v>
      </c>
      <c r="D31" s="30" t="n">
        <v>1107602</v>
      </c>
      <c r="E31" s="30" t="n">
        <v>659950</v>
      </c>
      <c r="F31" s="30" t="n">
        <v>2837940</v>
      </c>
      <c r="G31" s="30" t="n">
        <v>12620499</v>
      </c>
      <c r="H31" s="30" t="n">
        <v>77429</v>
      </c>
      <c r="I31" s="30" t="n">
        <v>4668378</v>
      </c>
      <c r="J31" s="30" t="n">
        <v>86658</v>
      </c>
      <c r="K31" s="30" t="n">
        <v>398578</v>
      </c>
      <c r="L31" s="30" t="n">
        <v>1390741</v>
      </c>
      <c r="M31" s="30" t="n">
        <v>304245</v>
      </c>
      <c r="N31" s="30" t="n">
        <v>2005404</v>
      </c>
      <c r="O31" s="30" t="n">
        <v>955714</v>
      </c>
      <c r="P31" s="30" t="n">
        <v>935229</v>
      </c>
      <c r="Q31" s="30" t="n">
        <v>890734</v>
      </c>
      <c r="R31" s="30" t="n">
        <v>893348</v>
      </c>
      <c r="S31" s="30" t="n">
        <v>82128</v>
      </c>
      <c r="T31" s="30" t="n">
        <v>134386</v>
      </c>
      <c r="U31" s="30" t="n">
        <v>247540</v>
      </c>
      <c r="V31" s="30" t="n">
        <v>5127096</v>
      </c>
      <c r="W31" s="30">
        <f>SUM(C31:V31)</f>
        <v/>
      </c>
      <c r="X31" s="30" t="n">
        <v>0</v>
      </c>
      <c r="Y31" s="30" t="n">
        <v>0</v>
      </c>
      <c r="Z31" s="30" t="n">
        <v>244482929</v>
      </c>
      <c r="AA31" s="30" t="n">
        <v>0</v>
      </c>
      <c r="AB31" s="30">
        <f>SUM(X31:AA31)</f>
        <v/>
      </c>
      <c r="AC31" s="30">
        <f>W31+AB31</f>
        <v/>
      </c>
    </row>
    <row r="32">
      <c r="A32" s="27" t="inlineStr">
        <is>
          <t>81</t>
        </is>
      </c>
      <c r="B32" s="27" t="inlineStr">
        <is>
          <t>Otros servicios excepto actividades del Gobierno</t>
        </is>
      </c>
      <c r="C32" s="28" t="n">
        <v>1401338</v>
      </c>
      <c r="D32" s="28" t="n">
        <v>2795361</v>
      </c>
      <c r="E32" s="28" t="n">
        <v>2367770</v>
      </c>
      <c r="F32" s="28" t="n">
        <v>5130771</v>
      </c>
      <c r="G32" s="28" t="n">
        <v>19960683</v>
      </c>
      <c r="H32" s="28" t="n">
        <v>6478071</v>
      </c>
      <c r="I32" s="28" t="n">
        <v>15345612</v>
      </c>
      <c r="J32" s="28" t="n">
        <v>418613</v>
      </c>
      <c r="K32" s="28" t="n">
        <v>2094827</v>
      </c>
      <c r="L32" s="28" t="n">
        <v>3035222</v>
      </c>
      <c r="M32" s="28" t="n">
        <v>1419646</v>
      </c>
      <c r="N32" s="28" t="n">
        <v>2112206</v>
      </c>
      <c r="O32" s="28" t="n">
        <v>219507</v>
      </c>
      <c r="P32" s="28" t="n">
        <v>471456</v>
      </c>
      <c r="Q32" s="28" t="n">
        <v>867186</v>
      </c>
      <c r="R32" s="28" t="n">
        <v>1790983</v>
      </c>
      <c r="S32" s="28" t="n">
        <v>601253</v>
      </c>
      <c r="T32" s="28" t="n">
        <v>2683878</v>
      </c>
      <c r="U32" s="28" t="n">
        <v>369196</v>
      </c>
      <c r="V32" s="28" t="n">
        <v>5768658</v>
      </c>
      <c r="W32" s="28">
        <f>SUM(C32:V32)</f>
        <v/>
      </c>
      <c r="X32" s="28" t="n">
        <v>0</v>
      </c>
      <c r="Y32" s="28" t="n">
        <v>0</v>
      </c>
      <c r="Z32" s="28" t="n">
        <v>204364802</v>
      </c>
      <c r="AA32" s="28" t="n">
        <v>0</v>
      </c>
      <c r="AB32" s="28">
        <f>SUM(X32:AA32)</f>
        <v/>
      </c>
      <c r="AC32" s="28">
        <f>W32+AB32</f>
        <v/>
      </c>
    </row>
    <row r="33">
      <c r="A33" s="29" t="inlineStr">
        <is>
          <t>93</t>
        </is>
      </c>
      <c r="B33" s="29" t="inlineStr">
        <is>
          <t>Actividades del Gobierno y de organismos internacionales y extraterritoriales</t>
        </is>
      </c>
      <c r="C33" s="30" t="n">
        <v>239</v>
      </c>
      <c r="D33" s="30" t="n">
        <v>31</v>
      </c>
      <c r="E33" s="30" t="n">
        <v>1277835</v>
      </c>
      <c r="F33" s="30" t="n">
        <v>30524</v>
      </c>
      <c r="G33" s="30" t="n">
        <v>137</v>
      </c>
      <c r="H33" s="30" t="n">
        <v>0</v>
      </c>
      <c r="I33" s="30" t="n">
        <v>3222025</v>
      </c>
      <c r="J33" s="30" t="n">
        <v>19134</v>
      </c>
      <c r="K33" s="30" t="n">
        <v>0</v>
      </c>
      <c r="L33" s="30" t="n">
        <v>1199264</v>
      </c>
      <c r="M33" s="30" t="n">
        <v>6542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</v>
      </c>
      <c r="U33" s="30" t="n">
        <v>3086</v>
      </c>
      <c r="V33" s="30" t="n">
        <v>0</v>
      </c>
      <c r="W33" s="30">
        <f>SUM(C33:V33)</f>
        <v/>
      </c>
      <c r="X33" s="30" t="n">
        <v>0</v>
      </c>
      <c r="Y33" s="30" t="n">
        <v>0</v>
      </c>
      <c r="Z33" s="30" t="n">
        <v>416928743</v>
      </c>
      <c r="AA33" s="30" t="n">
        <v>0</v>
      </c>
      <c r="AB33" s="30">
        <f>SUM(X33:AA33)</f>
        <v/>
      </c>
      <c r="AC33" s="30">
        <f>W33+AB33</f>
        <v/>
      </c>
    </row>
    <row r="34">
      <c r="B34" s="31" t="inlineStr">
        <is>
          <t>Total consumo intermedio</t>
        </is>
      </c>
      <c r="C34" s="32">
        <f>SUM(C14:C33)</f>
        <v/>
      </c>
      <c r="D34" s="32">
        <f>SUM(D14:D33)</f>
        <v/>
      </c>
      <c r="E34" s="32">
        <f>SUM(E14:E33)</f>
        <v/>
      </c>
      <c r="F34" s="32">
        <f>SUM(F14:F33)</f>
        <v/>
      </c>
      <c r="G34" s="32">
        <f>SUM(G14:G33)</f>
        <v/>
      </c>
      <c r="H34" s="32">
        <f>SUM(H14:H33)</f>
        <v/>
      </c>
      <c r="I34" s="32">
        <f>SUM(I14:I33)</f>
        <v/>
      </c>
      <c r="J34" s="32">
        <f>SUM(J14:J33)</f>
        <v/>
      </c>
      <c r="K34" s="32">
        <f>SUM(K14:K33)</f>
        <v/>
      </c>
      <c r="L34" s="32">
        <f>SUM(L14:L33)</f>
        <v/>
      </c>
      <c r="M34" s="32">
        <f>SUM(M14:M33)</f>
        <v/>
      </c>
      <c r="N34" s="32">
        <f>SUM(N14:N33)</f>
        <v/>
      </c>
      <c r="O34" s="32">
        <f>SUM(O14:O33)</f>
        <v/>
      </c>
      <c r="P34" s="32">
        <f>SUM(P14:P33)</f>
        <v/>
      </c>
      <c r="Q34" s="32">
        <f>SUM(Q14:Q33)</f>
        <v/>
      </c>
      <c r="R34" s="32">
        <f>SUM(R14:R33)</f>
        <v/>
      </c>
      <c r="S34" s="32">
        <f>SUM(S14:S33)</f>
        <v/>
      </c>
      <c r="T34" s="32">
        <f>SUM(T14:T33)</f>
        <v/>
      </c>
      <c r="U34" s="32">
        <f>SUM(U14:U33)</f>
        <v/>
      </c>
      <c r="V34" s="32">
        <f>SUM(V14:V33)</f>
        <v/>
      </c>
      <c r="W34" s="32">
        <f>SUM(W14:W33)</f>
        <v/>
      </c>
      <c r="X34" s="32">
        <f>SUM(X14:X33)</f>
        <v/>
      </c>
      <c r="Y34" s="32">
        <f>SUM(Y14:Y33)</f>
        <v/>
      </c>
      <c r="Z34" s="32">
        <f>SUM(Z14:Z33)</f>
        <v/>
      </c>
      <c r="AA34" s="32">
        <f>SUM(AA14:AA33)</f>
        <v/>
      </c>
      <c r="AB34" s="32">
        <f>SUM(AB14:AB33)</f>
        <v/>
      </c>
      <c r="AC34" s="32">
        <f>SUM(AC14:AC33)</f>
        <v/>
      </c>
    </row>
    <row r="35"/>
    <row r="36">
      <c r="B36" s="31" t="inlineStr">
        <is>
          <t>Ajuste intermedio no asignado a matriz</t>
        </is>
      </c>
      <c r="C36" s="32" t="n">
        <v>0</v>
      </c>
      <c r="D36" s="32" t="n">
        <v>0</v>
      </c>
      <c r="E36" s="32" t="n">
        <v>0</v>
      </c>
      <c r="F36" s="32" t="n">
        <v>0</v>
      </c>
      <c r="G36" s="32" t="n">
        <v>0</v>
      </c>
      <c r="H36" s="32" t="n">
        <v>0</v>
      </c>
      <c r="I36" s="32" t="n">
        <v>0</v>
      </c>
      <c r="J36" s="32" t="n">
        <v>0</v>
      </c>
      <c r="K36" s="32" t="n">
        <v>0</v>
      </c>
      <c r="L36" s="32" t="n">
        <v>0</v>
      </c>
      <c r="M36" s="32" t="n">
        <v>0</v>
      </c>
      <c r="N36" s="32" t="n">
        <v>0</v>
      </c>
      <c r="O36" s="32" t="n">
        <v>0</v>
      </c>
      <c r="P36" s="32" t="n">
        <v>0</v>
      </c>
      <c r="Q36" s="32" t="n">
        <v>0</v>
      </c>
      <c r="R36" s="32" t="n">
        <v>0</v>
      </c>
      <c r="S36" s="32" t="n">
        <v>0</v>
      </c>
      <c r="T36" s="32" t="n">
        <v>0</v>
      </c>
      <c r="U36" s="32" t="n">
        <v>0</v>
      </c>
      <c r="V36" s="32" t="n">
        <v>0</v>
      </c>
      <c r="AC36" s="32">
        <f>SUM(C36:V36)</f>
        <v/>
      </c>
    </row>
    <row r="37"/>
    <row r="38">
      <c r="B38" s="31" t="inlineStr">
        <is>
          <t>Valor agregado</t>
        </is>
      </c>
      <c r="C38" s="32" t="n">
        <v>260145687</v>
      </c>
      <c r="D38" s="32" t="n">
        <v>430060779</v>
      </c>
      <c r="E38" s="32" t="n">
        <v>92089369</v>
      </c>
      <c r="F38" s="32" t="n">
        <v>473680479</v>
      </c>
      <c r="G38" s="32" t="n">
        <v>1291292836</v>
      </c>
      <c r="H38" s="32" t="n">
        <v>1086891495</v>
      </c>
      <c r="I38" s="32" t="n">
        <v>521558270</v>
      </c>
      <c r="J38" s="32" t="n">
        <v>8990120</v>
      </c>
      <c r="K38" s="32" t="n">
        <v>191223401</v>
      </c>
      <c r="L38" s="32" t="n">
        <v>183462134</v>
      </c>
      <c r="M38" s="32" t="n">
        <v>804759549</v>
      </c>
      <c r="N38" s="32" t="n">
        <v>278635121</v>
      </c>
      <c r="O38" s="32" t="n">
        <v>22081014</v>
      </c>
      <c r="P38" s="32" t="n">
        <v>170479816</v>
      </c>
      <c r="Q38" s="32" t="n">
        <v>373213535</v>
      </c>
      <c r="R38" s="32" t="n">
        <v>222302779</v>
      </c>
      <c r="S38" s="32" t="n">
        <v>28876793</v>
      </c>
      <c r="T38" s="32" t="n">
        <v>203686255</v>
      </c>
      <c r="U38" s="32" t="n">
        <v>208164799</v>
      </c>
      <c r="V38" s="32" t="n">
        <v>316931618</v>
      </c>
      <c r="AC38" s="32">
        <f>SUM(C38:V38)</f>
        <v/>
      </c>
    </row>
    <row r="39"/>
    <row r="40">
      <c r="B40" s="31" t="inlineStr">
        <is>
          <t>Produccion total</t>
        </is>
      </c>
      <c r="C40" s="32">
        <f>C34+C36+C38</f>
        <v/>
      </c>
      <c r="D40" s="32">
        <f>D34+D36+D38</f>
        <v/>
      </c>
      <c r="E40" s="32">
        <f>E34+E36+E38</f>
        <v/>
      </c>
      <c r="F40" s="32">
        <f>F34+F36+F38</f>
        <v/>
      </c>
      <c r="G40" s="32">
        <f>G34+G36+G38</f>
        <v/>
      </c>
      <c r="H40" s="32">
        <f>H34+H36+H38</f>
        <v/>
      </c>
      <c r="I40" s="32">
        <f>I34+I36+I38</f>
        <v/>
      </c>
      <c r="J40" s="32">
        <f>J34+J36+J38</f>
        <v/>
      </c>
      <c r="K40" s="32">
        <f>K34+K36+K38</f>
        <v/>
      </c>
      <c r="L40" s="32">
        <f>L34+L36+L38</f>
        <v/>
      </c>
      <c r="M40" s="32">
        <f>M34+M36+M38</f>
        <v/>
      </c>
      <c r="N40" s="32">
        <f>N34+N36+N38</f>
        <v/>
      </c>
      <c r="O40" s="32">
        <f>O34+O36+O38</f>
        <v/>
      </c>
      <c r="P40" s="32">
        <f>P34+P36+P38</f>
        <v/>
      </c>
      <c r="Q40" s="32">
        <f>Q34+Q36+Q38</f>
        <v/>
      </c>
      <c r="R40" s="32">
        <f>R34+R36+R38</f>
        <v/>
      </c>
      <c r="S40" s="32">
        <f>S34+S36+S38</f>
        <v/>
      </c>
      <c r="T40" s="32">
        <f>T34+T36+T38</f>
        <v/>
      </c>
      <c r="U40" s="32">
        <f>U34+U36+U38</f>
        <v/>
      </c>
      <c r="V40" s="32">
        <f>V34+V36+V38</f>
        <v/>
      </c>
      <c r="AC40" s="32">
        <f>SUM(C40:V40)</f>
        <v/>
      </c>
    </row>
    <row r="41">
      <c r="B41" s="31" t="inlineStr">
        <is>
          <t>Produccion fuente</t>
        </is>
      </c>
      <c r="C41" s="32" t="n">
        <v>423557304</v>
      </c>
      <c r="D41" s="32" t="n">
        <v>541488761</v>
      </c>
      <c r="E41" s="32" t="n">
        <v>238541112</v>
      </c>
      <c r="F41" s="32" t="n">
        <v>968319580</v>
      </c>
      <c r="G41" s="32" t="n">
        <v>4059426635</v>
      </c>
      <c r="H41" s="32" t="n">
        <v>1461397342</v>
      </c>
      <c r="I41" s="32" t="n">
        <v>816724172</v>
      </c>
      <c r="J41" s="32" t="n">
        <v>19780853</v>
      </c>
      <c r="K41" s="32" t="n">
        <v>313967631</v>
      </c>
      <c r="L41" s="32" t="n">
        <v>308010790</v>
      </c>
      <c r="M41" s="32" t="n">
        <v>887319369</v>
      </c>
      <c r="N41" s="32" t="n">
        <v>390910772</v>
      </c>
      <c r="O41" s="32" t="n">
        <v>41358042</v>
      </c>
      <c r="P41" s="32" t="n">
        <v>221259048</v>
      </c>
      <c r="Q41" s="32" t="n">
        <v>416365676</v>
      </c>
      <c r="R41" s="32" t="n">
        <v>293306066</v>
      </c>
      <c r="S41" s="32" t="n">
        <v>41011314</v>
      </c>
      <c r="T41" s="32" t="n">
        <v>279946186</v>
      </c>
      <c r="U41" s="32" t="n">
        <v>279697039</v>
      </c>
      <c r="V41" s="32" t="n">
        <v>422687560</v>
      </c>
      <c r="AC41" s="32">
        <f>SUM(C41:V41)</f>
        <v/>
      </c>
    </row>
    <row r="42">
      <c r="B42" s="33" t="inlineStr">
        <is>
          <t>Check produccion total - fuente</t>
        </is>
      </c>
      <c r="C42" s="34">
        <f>C40-C41</f>
        <v/>
      </c>
      <c r="D42" s="34">
        <f>D40-D41</f>
        <v/>
      </c>
      <c r="E42" s="34">
        <f>E40-E41</f>
        <v/>
      </c>
      <c r="F42" s="34">
        <f>F40-F41</f>
        <v/>
      </c>
      <c r="G42" s="34">
        <f>G40-G41</f>
        <v/>
      </c>
      <c r="H42" s="34">
        <f>H40-H41</f>
        <v/>
      </c>
      <c r="I42" s="34">
        <f>I40-I41</f>
        <v/>
      </c>
      <c r="J42" s="34">
        <f>J40-J41</f>
        <v/>
      </c>
      <c r="K42" s="34">
        <f>K40-K41</f>
        <v/>
      </c>
      <c r="L42" s="34">
        <f>L40-L41</f>
        <v/>
      </c>
      <c r="M42" s="34">
        <f>M40-M41</f>
        <v/>
      </c>
      <c r="N42" s="34">
        <f>N40-N41</f>
        <v/>
      </c>
      <c r="O42" s="34">
        <f>O40-O41</f>
        <v/>
      </c>
      <c r="P42" s="34">
        <f>P40-P41</f>
        <v/>
      </c>
      <c r="Q42" s="34">
        <f>Q40-Q41</f>
        <v/>
      </c>
      <c r="R42" s="34">
        <f>R40-R41</f>
        <v/>
      </c>
      <c r="S42" s="34">
        <f>S40-S41</f>
        <v/>
      </c>
      <c r="T42" s="34">
        <f>T40-T41</f>
        <v/>
      </c>
      <c r="U42" s="34">
        <f>U40-U41</f>
        <v/>
      </c>
      <c r="V42" s="34">
        <f>V40-V41</f>
        <v/>
      </c>
      <c r="AC42" s="34">
        <f>SUM(C42:V42)</f>
        <v/>
      </c>
    </row>
    <row r="43"/>
    <row r="44">
      <c r="B44" s="27" t="inlineStr">
        <is>
          <t>Nota</t>
        </is>
      </c>
      <c r="C44" s="27" t="inlineStr">
        <is>
          <t>Z contiene consumo intermedio nacional/domestico. El ajuste intermedio fuera de Z queda visible antes del valor agregado.</t>
        </is>
      </c>
    </row>
  </sheetData>
  <mergeCells count="9">
    <mergeCell ref="A1:H1"/>
    <mergeCell ref="A3:H4"/>
    <mergeCell ref="B10:B12"/>
    <mergeCell ref="A10:A12"/>
    <mergeCell ref="X10:AA10"/>
    <mergeCell ref="C10:V10"/>
    <mergeCell ref="AC10:AC12"/>
    <mergeCell ref="AB10:AB12"/>
    <mergeCell ref="W10:W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44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/>
    <row r="2"/>
    <row r="3" ht="16" customHeight="1">
      <c r="A3" s="19" t="inlineStr">
        <is>
          <t>Matriz insumo producto, actividad por actividad - Importada / ajuste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2003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2" t="inlineStr">
        <is>
          <t>Total consumo intermedio</t>
        </is>
      </c>
      <c r="X10" s="22" t="inlineStr">
        <is>
          <t>Demanda final</t>
        </is>
      </c>
      <c r="Y10" s="23" t="n"/>
      <c r="Z10" s="23" t="n"/>
      <c r="AA10" s="23" t="n"/>
      <c r="AB10" s="22" t="inlineStr">
        <is>
          <t>Total demanda final</t>
        </is>
      </c>
      <c r="AC10" s="22" t="inlineStr">
        <is>
          <t>Total</t>
        </is>
      </c>
    </row>
    <row r="11" ht="15" customHeight="1">
      <c r="C11" s="24" t="inlineStr">
        <is>
          <t>11</t>
        </is>
      </c>
      <c r="D11" s="24" t="inlineStr">
        <is>
          <t>21</t>
        </is>
      </c>
      <c r="E11" s="24" t="inlineStr">
        <is>
          <t>22</t>
        </is>
      </c>
      <c r="F11" s="24" t="inlineStr">
        <is>
          <t>23</t>
        </is>
      </c>
      <c r="G11" s="24" t="inlineStr">
        <is>
          <t>31-33</t>
        </is>
      </c>
      <c r="H11" s="24" t="inlineStr">
        <is>
          <t>43-46</t>
        </is>
      </c>
      <c r="I11" s="24" t="inlineStr">
        <is>
          <t>48</t>
        </is>
      </c>
      <c r="J11" s="24" t="inlineStr">
        <is>
          <t>49</t>
        </is>
      </c>
      <c r="K11" s="24" t="inlineStr">
        <is>
          <t>51</t>
        </is>
      </c>
      <c r="L11" s="24" t="inlineStr">
        <is>
          <t>52</t>
        </is>
      </c>
      <c r="M11" s="24" t="inlineStr">
        <is>
          <t>53</t>
        </is>
      </c>
      <c r="N11" s="24" t="inlineStr">
        <is>
          <t>54</t>
        </is>
      </c>
      <c r="O11" s="24" t="inlineStr">
        <is>
          <t>55</t>
        </is>
      </c>
      <c r="P11" s="24" t="inlineStr">
        <is>
          <t>56</t>
        </is>
      </c>
      <c r="Q11" s="24" t="inlineStr">
        <is>
          <t>61</t>
        </is>
      </c>
      <c r="R11" s="24" t="inlineStr">
        <is>
          <t>62</t>
        </is>
      </c>
      <c r="S11" s="24" t="inlineStr">
        <is>
          <t>71</t>
        </is>
      </c>
      <c r="T11" s="24" t="inlineStr">
        <is>
          <t>72</t>
        </is>
      </c>
      <c r="U11" s="24" t="inlineStr">
        <is>
          <t>81</t>
        </is>
      </c>
      <c r="V11" s="24" t="inlineStr">
        <is>
          <t>93</t>
        </is>
      </c>
      <c r="X11" s="24" t="inlineStr"/>
      <c r="Y11" s="24" t="inlineStr"/>
      <c r="Z11" s="24" t="inlineStr"/>
      <c r="AA11" s="24" t="inlineStr"/>
    </row>
    <row r="12" ht="90" customHeight="1">
      <c r="A12" s="25" t="n"/>
      <c r="B12" s="25" t="n"/>
      <c r="C12" s="26" t="inlineStr">
        <is>
          <t>Agricultura, ganadería, aprovechamiento forestal, pesca y caza</t>
        </is>
      </c>
      <c r="D12" s="26" t="inlineStr">
        <is>
          <t>Minería</t>
        </is>
      </c>
      <c r="E12" s="26" t="inlineStr">
        <is>
          <t>Electricidad, agua y suministro de gas por ductos al consumidor final</t>
        </is>
      </c>
      <c r="F12" s="26" t="inlineStr">
        <is>
          <t>Construcción</t>
        </is>
      </c>
      <c r="G12" s="26" t="inlineStr">
        <is>
          <t>Industrias manufactureras</t>
        </is>
      </c>
      <c r="H12" s="26" t="inlineStr">
        <is>
          <t>Comercio</t>
        </is>
      </c>
      <c r="I12" s="26" t="inlineStr">
        <is>
          <t>Transportes</t>
        </is>
      </c>
      <c r="J12" s="26" t="inlineStr">
        <is>
          <t>Correos y almacenamiento</t>
        </is>
      </c>
      <c r="K12" s="26" t="inlineStr">
        <is>
          <t>Información en medios masivos</t>
        </is>
      </c>
      <c r="L12" s="26" t="inlineStr">
        <is>
          <t>Servicios financieros y de seguros</t>
        </is>
      </c>
      <c r="M12" s="26" t="inlineStr">
        <is>
          <t>Servicios inmobiliarios y de alquiler de bienes muebles e intangibles</t>
        </is>
      </c>
      <c r="N12" s="26" t="inlineStr">
        <is>
          <t>Servicios profesionales, científicos y técnicos</t>
        </is>
      </c>
      <c r="O12" s="26" t="inlineStr">
        <is>
          <t>Dirección de corporativos y empresas</t>
        </is>
      </c>
      <c r="P12" s="26" t="inlineStr">
        <is>
          <t>Servicios de apoyo a los negocios y manejo de desechos y servicios de remediación</t>
        </is>
      </c>
      <c r="Q12" s="26" t="inlineStr">
        <is>
          <t>Servicios educativos</t>
        </is>
      </c>
      <c r="R12" s="26" t="inlineStr">
        <is>
          <t>Servicios de salud y de asistencia social</t>
        </is>
      </c>
      <c r="S12" s="26" t="inlineStr">
        <is>
          <t>Servicios de esparcimiento culturales y deportivos, y otros servicios recreativos</t>
        </is>
      </c>
      <c r="T12" s="26" t="inlineStr">
        <is>
          <t>Servicios de alojamiento temporal y de preparación de alimentos y bebidas</t>
        </is>
      </c>
      <c r="U12" s="26" t="inlineStr">
        <is>
          <t>Otros servicios excepto actividades del Gobierno</t>
        </is>
      </c>
      <c r="V12" s="26" t="inlineStr">
        <is>
          <t>Actividades del Gobierno y de organismos internacionales y extraterritoriales</t>
        </is>
      </c>
      <c r="W12" s="25" t="n"/>
      <c r="X12" s="26" t="inlineStr">
        <is>
          <t>Gasto de consumo final</t>
        </is>
      </c>
      <c r="Y12" s="26" t="inlineStr">
        <is>
          <t>Formacion bruta de capital</t>
        </is>
      </c>
      <c r="Z12" s="26" t="inlineStr">
        <is>
          <t>Exportaciones netas</t>
        </is>
      </c>
      <c r="AA12" s="26" t="inlineStr">
        <is>
          <t>Sin desglose fuente</t>
        </is>
      </c>
      <c r="AB12" s="25" t="n"/>
      <c r="AC12" s="25" t="n"/>
    </row>
    <row r="13"/>
    <row r="14">
      <c r="A14" s="27" t="inlineStr">
        <is>
          <t>11</t>
        </is>
      </c>
      <c r="B14" s="27" t="inlineStr">
        <is>
          <t>Agricultura, ganadería, aprovechamiento forestal, pesca y caza</t>
        </is>
      </c>
      <c r="C14" s="28" t="n">
        <v>0</v>
      </c>
      <c r="D14" s="28" t="n">
        <v>0</v>
      </c>
      <c r="E14" s="28" t="n">
        <v>0</v>
      </c>
      <c r="F14" s="28" t="n">
        <v>0</v>
      </c>
      <c r="G14" s="28" t="n">
        <v>0</v>
      </c>
      <c r="H14" s="28" t="n">
        <v>0</v>
      </c>
      <c r="I14" s="28" t="n">
        <v>0</v>
      </c>
      <c r="J14" s="28" t="n">
        <v>0</v>
      </c>
      <c r="K14" s="28" t="n">
        <v>0</v>
      </c>
      <c r="L14" s="28" t="n">
        <v>0</v>
      </c>
      <c r="M14" s="28" t="n">
        <v>0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0</v>
      </c>
      <c r="S14" s="28" t="n">
        <v>0</v>
      </c>
      <c r="T14" s="28" t="n">
        <v>0</v>
      </c>
      <c r="U14" s="28" t="n">
        <v>0</v>
      </c>
      <c r="V14" s="28" t="n">
        <v>0</v>
      </c>
      <c r="W14" s="28">
        <f>SUM(C14:V14)</f>
        <v/>
      </c>
      <c r="X14" s="28" t="n">
        <v>0</v>
      </c>
      <c r="Y14" s="28" t="n">
        <v>0</v>
      </c>
      <c r="Z14" s="28" t="n">
        <v>0</v>
      </c>
      <c r="AA14" s="28" t="n">
        <v>0</v>
      </c>
      <c r="AB14" s="28">
        <f>SUM(X14:AA14)</f>
        <v/>
      </c>
      <c r="AC14" s="28">
        <f>W14+AB14</f>
        <v/>
      </c>
    </row>
    <row r="15">
      <c r="A15" s="29" t="inlineStr">
        <is>
          <t>21</t>
        </is>
      </c>
      <c r="B15" s="29" t="inlineStr">
        <is>
          <t>Minería</t>
        </is>
      </c>
      <c r="C15" s="30" t="n">
        <v>0</v>
      </c>
      <c r="D15" s="30" t="n">
        <v>0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0</v>
      </c>
      <c r="L15" s="30" t="n">
        <v>0</v>
      </c>
      <c r="M15" s="30" t="n">
        <v>0</v>
      </c>
      <c r="N15" s="30" t="n">
        <v>0</v>
      </c>
      <c r="O15" s="30" t="n">
        <v>0</v>
      </c>
      <c r="P15" s="30" t="n">
        <v>0</v>
      </c>
      <c r="Q15" s="30" t="n">
        <v>0</v>
      </c>
      <c r="R15" s="30" t="n">
        <v>0</v>
      </c>
      <c r="S15" s="30" t="n">
        <v>0</v>
      </c>
      <c r="T15" s="30" t="n">
        <v>0</v>
      </c>
      <c r="U15" s="30" t="n">
        <v>0</v>
      </c>
      <c r="V15" s="30" t="n">
        <v>0</v>
      </c>
      <c r="W15" s="30">
        <f>SUM(C15:V15)</f>
        <v/>
      </c>
      <c r="X15" s="30" t="n">
        <v>0</v>
      </c>
      <c r="Y15" s="30" t="n">
        <v>0</v>
      </c>
      <c r="Z15" s="30" t="n">
        <v>0</v>
      </c>
      <c r="AA15" s="30" t="n">
        <v>0</v>
      </c>
      <c r="AB15" s="30">
        <f>SUM(X15:AA15)</f>
        <v/>
      </c>
      <c r="AC15" s="30">
        <f>W15+AB15</f>
        <v/>
      </c>
    </row>
    <row r="16">
      <c r="A16" s="27" t="inlineStr">
        <is>
          <t>22</t>
        </is>
      </c>
      <c r="B16" s="27" t="inlineStr">
        <is>
          <t>Electricidad, agua y suministro de gas por ductos al consumidor final</t>
        </is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  <c r="M16" s="28" t="n">
        <v>0</v>
      </c>
      <c r="N16" s="28" t="n">
        <v>0</v>
      </c>
      <c r="O16" s="28" t="n">
        <v>0</v>
      </c>
      <c r="P16" s="28" t="n">
        <v>0</v>
      </c>
      <c r="Q16" s="28" t="n">
        <v>0</v>
      </c>
      <c r="R16" s="28" t="n">
        <v>0</v>
      </c>
      <c r="S16" s="28" t="n">
        <v>0</v>
      </c>
      <c r="T16" s="28" t="n">
        <v>0</v>
      </c>
      <c r="U16" s="28" t="n">
        <v>0</v>
      </c>
      <c r="V16" s="28" t="n">
        <v>0</v>
      </c>
      <c r="W16" s="28">
        <f>SUM(C16:V16)</f>
        <v/>
      </c>
      <c r="X16" s="28" t="n">
        <v>0</v>
      </c>
      <c r="Y16" s="28" t="n">
        <v>0</v>
      </c>
      <c r="Z16" s="28" t="n">
        <v>0</v>
      </c>
      <c r="AA16" s="28" t="n">
        <v>0</v>
      </c>
      <c r="AB16" s="28">
        <f>SUM(X16:AA16)</f>
        <v/>
      </c>
      <c r="AC16" s="28">
        <f>W16+AB16</f>
        <v/>
      </c>
    </row>
    <row r="17">
      <c r="A17" s="29" t="inlineStr">
        <is>
          <t>23</t>
        </is>
      </c>
      <c r="B17" s="29" t="inlineStr">
        <is>
          <t>Construcción</t>
        </is>
      </c>
      <c r="C17" s="30" t="n">
        <v>0</v>
      </c>
      <c r="D17" s="30" t="n">
        <v>0</v>
      </c>
      <c r="E17" s="30" t="n">
        <v>0</v>
      </c>
      <c r="F17" s="30" t="n">
        <v>0</v>
      </c>
      <c r="G17" s="30" t="n">
        <v>0</v>
      </c>
      <c r="H17" s="30" t="n">
        <v>0</v>
      </c>
      <c r="I17" s="30" t="n">
        <v>0</v>
      </c>
      <c r="J17" s="30" t="n">
        <v>0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0</v>
      </c>
      <c r="P17" s="30" t="n">
        <v>0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0</v>
      </c>
      <c r="W17" s="30">
        <f>SUM(C17:V17)</f>
        <v/>
      </c>
      <c r="X17" s="30" t="n">
        <v>0</v>
      </c>
      <c r="Y17" s="30" t="n">
        <v>0</v>
      </c>
      <c r="Z17" s="30" t="n">
        <v>0</v>
      </c>
      <c r="AA17" s="30" t="n">
        <v>0</v>
      </c>
      <c r="AB17" s="30">
        <f>SUM(X17:AA17)</f>
        <v/>
      </c>
      <c r="AC17" s="30">
        <f>W17+AB17</f>
        <v/>
      </c>
    </row>
    <row r="18">
      <c r="A18" s="27" t="inlineStr">
        <is>
          <t>31-33</t>
        </is>
      </c>
      <c r="B18" s="27" t="inlineStr">
        <is>
          <t>Industrias manufactureras</t>
        </is>
      </c>
      <c r="C18" s="28" t="n">
        <v>0</v>
      </c>
      <c r="D18" s="28" t="n">
        <v>0</v>
      </c>
      <c r="E18" s="28" t="n">
        <v>0</v>
      </c>
      <c r="F18" s="28" t="n">
        <v>0</v>
      </c>
      <c r="G18" s="28" t="n">
        <v>0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0</v>
      </c>
      <c r="S18" s="28" t="n">
        <v>0</v>
      </c>
      <c r="T18" s="28" t="n">
        <v>0</v>
      </c>
      <c r="U18" s="28" t="n">
        <v>0</v>
      </c>
      <c r="V18" s="28" t="n">
        <v>0</v>
      </c>
      <c r="W18" s="28">
        <f>SUM(C18:V18)</f>
        <v/>
      </c>
      <c r="X18" s="28" t="n">
        <v>0</v>
      </c>
      <c r="Y18" s="28" t="n">
        <v>0</v>
      </c>
      <c r="Z18" s="28" t="n">
        <v>0</v>
      </c>
      <c r="AA18" s="28" t="n">
        <v>0</v>
      </c>
      <c r="AB18" s="28">
        <f>SUM(X18:AA18)</f>
        <v/>
      </c>
      <c r="AC18" s="28">
        <f>W18+AB18</f>
        <v/>
      </c>
    </row>
    <row r="19">
      <c r="A19" s="29" t="inlineStr">
        <is>
          <t>43-46</t>
        </is>
      </c>
      <c r="B19" s="29" t="inlineStr">
        <is>
          <t>Comercio</t>
        </is>
      </c>
      <c r="C19" s="30" t="n">
        <v>0</v>
      </c>
      <c r="D19" s="30" t="n">
        <v>0</v>
      </c>
      <c r="E19" s="30" t="n">
        <v>0</v>
      </c>
      <c r="F19" s="30" t="n">
        <v>0</v>
      </c>
      <c r="G19" s="30" t="n">
        <v>0</v>
      </c>
      <c r="H19" s="30" t="n">
        <v>0</v>
      </c>
      <c r="I19" s="30" t="n">
        <v>0</v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0</v>
      </c>
      <c r="O19" s="30" t="n">
        <v>0</v>
      </c>
      <c r="P19" s="30" t="n">
        <v>0</v>
      </c>
      <c r="Q19" s="30" t="n">
        <v>0</v>
      </c>
      <c r="R19" s="30" t="n">
        <v>0</v>
      </c>
      <c r="S19" s="30" t="n">
        <v>0</v>
      </c>
      <c r="T19" s="30" t="n">
        <v>0</v>
      </c>
      <c r="U19" s="30" t="n">
        <v>0</v>
      </c>
      <c r="V19" s="30" t="n">
        <v>0</v>
      </c>
      <c r="W19" s="30">
        <f>SUM(C19:V19)</f>
        <v/>
      </c>
      <c r="X19" s="30" t="n">
        <v>0</v>
      </c>
      <c r="Y19" s="30" t="n">
        <v>0</v>
      </c>
      <c r="Z19" s="30" t="n">
        <v>0</v>
      </c>
      <c r="AA19" s="30" t="n">
        <v>0</v>
      </c>
      <c r="AB19" s="30">
        <f>SUM(X19:AA19)</f>
        <v/>
      </c>
      <c r="AC19" s="30">
        <f>W19+AB19</f>
        <v/>
      </c>
    </row>
    <row r="20">
      <c r="A20" s="27" t="inlineStr">
        <is>
          <t>48</t>
        </is>
      </c>
      <c r="B20" s="27" t="inlineStr">
        <is>
          <t>Transportes</t>
        </is>
      </c>
      <c r="C20" s="28" t="n">
        <v>0</v>
      </c>
      <c r="D20" s="28" t="n">
        <v>0</v>
      </c>
      <c r="E20" s="28" t="n">
        <v>0</v>
      </c>
      <c r="F20" s="28" t="n">
        <v>0</v>
      </c>
      <c r="G20" s="28" t="n">
        <v>0</v>
      </c>
      <c r="H20" s="28" t="n">
        <v>0</v>
      </c>
      <c r="I20" s="28" t="n">
        <v>0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28" t="n">
        <v>0</v>
      </c>
      <c r="R20" s="28" t="n">
        <v>0</v>
      </c>
      <c r="S20" s="28" t="n">
        <v>0</v>
      </c>
      <c r="T20" s="28" t="n">
        <v>0</v>
      </c>
      <c r="U20" s="28" t="n">
        <v>0</v>
      </c>
      <c r="V20" s="28" t="n">
        <v>0</v>
      </c>
      <c r="W20" s="28">
        <f>SUM(C20:V20)</f>
        <v/>
      </c>
      <c r="X20" s="28" t="n">
        <v>0</v>
      </c>
      <c r="Y20" s="28" t="n">
        <v>0</v>
      </c>
      <c r="Z20" s="28" t="n">
        <v>0</v>
      </c>
      <c r="AA20" s="28" t="n">
        <v>0</v>
      </c>
      <c r="AB20" s="28">
        <f>SUM(X20:AA20)</f>
        <v/>
      </c>
      <c r="AC20" s="28">
        <f>W20+AB20</f>
        <v/>
      </c>
    </row>
    <row r="21">
      <c r="A21" s="29" t="inlineStr">
        <is>
          <t>49</t>
        </is>
      </c>
      <c r="B21" s="29" t="inlineStr">
        <is>
          <t>Correos y almacenamiento</t>
        </is>
      </c>
      <c r="C21" s="30" t="n">
        <v>0</v>
      </c>
      <c r="D21" s="30" t="n">
        <v>0</v>
      </c>
      <c r="E21" s="30" t="n">
        <v>0</v>
      </c>
      <c r="F21" s="30" t="n">
        <v>0</v>
      </c>
      <c r="G21" s="30" t="n">
        <v>0</v>
      </c>
      <c r="H21" s="30" t="n">
        <v>0</v>
      </c>
      <c r="I21" s="30" t="n">
        <v>0</v>
      </c>
      <c r="J21" s="30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30" t="n">
        <v>0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0</v>
      </c>
      <c r="W21" s="30">
        <f>SUM(C21:V21)</f>
        <v/>
      </c>
      <c r="X21" s="30" t="n">
        <v>0</v>
      </c>
      <c r="Y21" s="30" t="n">
        <v>0</v>
      </c>
      <c r="Z21" s="30" t="n">
        <v>0</v>
      </c>
      <c r="AA21" s="30" t="n">
        <v>0</v>
      </c>
      <c r="AB21" s="30">
        <f>SUM(X21:AA21)</f>
        <v/>
      </c>
      <c r="AC21" s="30">
        <f>W21+AB21</f>
        <v/>
      </c>
    </row>
    <row r="22">
      <c r="A22" s="27" t="inlineStr">
        <is>
          <t>51</t>
        </is>
      </c>
      <c r="B22" s="27" t="inlineStr">
        <is>
          <t>Información en medios masivos</t>
        </is>
      </c>
      <c r="C22" s="28" t="n">
        <v>0</v>
      </c>
      <c r="D22" s="28" t="n">
        <v>0</v>
      </c>
      <c r="E22" s="28" t="n">
        <v>0</v>
      </c>
      <c r="F22" s="28" t="n">
        <v>0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28" t="n">
        <v>0</v>
      </c>
      <c r="N22" s="28" t="n">
        <v>0</v>
      </c>
      <c r="O22" s="28" t="n">
        <v>0</v>
      </c>
      <c r="P22" s="28" t="n">
        <v>0</v>
      </c>
      <c r="Q22" s="28" t="n">
        <v>0</v>
      </c>
      <c r="R22" s="28" t="n">
        <v>0</v>
      </c>
      <c r="S22" s="28" t="n">
        <v>0</v>
      </c>
      <c r="T22" s="28" t="n">
        <v>0</v>
      </c>
      <c r="U22" s="28" t="n">
        <v>0</v>
      </c>
      <c r="V22" s="28" t="n">
        <v>0</v>
      </c>
      <c r="W22" s="28">
        <f>SUM(C22:V22)</f>
        <v/>
      </c>
      <c r="X22" s="28" t="n">
        <v>0</v>
      </c>
      <c r="Y22" s="28" t="n">
        <v>0</v>
      </c>
      <c r="Z22" s="28" t="n">
        <v>0</v>
      </c>
      <c r="AA22" s="28" t="n">
        <v>0</v>
      </c>
      <c r="AB22" s="28">
        <f>SUM(X22:AA22)</f>
        <v/>
      </c>
      <c r="AC22" s="28">
        <f>W22+AB22</f>
        <v/>
      </c>
    </row>
    <row r="23">
      <c r="A23" s="29" t="inlineStr">
        <is>
          <t>52</t>
        </is>
      </c>
      <c r="B23" s="29" t="inlineStr">
        <is>
          <t>Servicios financieros y de seguros</t>
        </is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>
        <f>SUM(C23:V23)</f>
        <v/>
      </c>
      <c r="X23" s="30" t="n">
        <v>0</v>
      </c>
      <c r="Y23" s="30" t="n">
        <v>0</v>
      </c>
      <c r="Z23" s="30" t="n">
        <v>0</v>
      </c>
      <c r="AA23" s="30" t="n">
        <v>0</v>
      </c>
      <c r="AB23" s="30">
        <f>SUM(X23:AA23)</f>
        <v/>
      </c>
      <c r="AC23" s="30">
        <f>W23+AB23</f>
        <v/>
      </c>
    </row>
    <row r="24">
      <c r="A24" s="27" t="inlineStr">
        <is>
          <t>53</t>
        </is>
      </c>
      <c r="B24" s="27" t="inlineStr">
        <is>
          <t>Servicios inmobiliarios y de alquiler de bienes muebles e intangibles</t>
        </is>
      </c>
      <c r="C24" s="28" t="n">
        <v>0</v>
      </c>
      <c r="D24" s="28" t="n">
        <v>0</v>
      </c>
      <c r="E24" s="28" t="n">
        <v>0</v>
      </c>
      <c r="F24" s="28" t="n">
        <v>0</v>
      </c>
      <c r="G24" s="28" t="n">
        <v>0</v>
      </c>
      <c r="H24" s="28" t="n">
        <v>0</v>
      </c>
      <c r="I24" s="28" t="n">
        <v>0</v>
      </c>
      <c r="J24" s="28" t="n">
        <v>0</v>
      </c>
      <c r="K24" s="28" t="n">
        <v>0</v>
      </c>
      <c r="L24" s="28" t="n">
        <v>0</v>
      </c>
      <c r="M24" s="28" t="n">
        <v>0</v>
      </c>
      <c r="N24" s="28" t="n">
        <v>0</v>
      </c>
      <c r="O24" s="28" t="n">
        <v>0</v>
      </c>
      <c r="P24" s="28" t="n">
        <v>0</v>
      </c>
      <c r="Q24" s="28" t="n">
        <v>0</v>
      </c>
      <c r="R24" s="28" t="n">
        <v>0</v>
      </c>
      <c r="S24" s="28" t="n">
        <v>0</v>
      </c>
      <c r="T24" s="28" t="n">
        <v>0</v>
      </c>
      <c r="U24" s="28" t="n">
        <v>0</v>
      </c>
      <c r="V24" s="28" t="n">
        <v>0</v>
      </c>
      <c r="W24" s="28">
        <f>SUM(C24:V24)</f>
        <v/>
      </c>
      <c r="X24" s="28" t="n">
        <v>0</v>
      </c>
      <c r="Y24" s="28" t="n">
        <v>0</v>
      </c>
      <c r="Z24" s="28" t="n">
        <v>0</v>
      </c>
      <c r="AA24" s="28" t="n">
        <v>0</v>
      </c>
      <c r="AB24" s="28">
        <f>SUM(X24:AA24)</f>
        <v/>
      </c>
      <c r="AC24" s="28">
        <f>W24+AB24</f>
        <v/>
      </c>
    </row>
    <row r="25">
      <c r="A25" s="29" t="inlineStr">
        <is>
          <t>54</t>
        </is>
      </c>
      <c r="B25" s="29" t="inlineStr">
        <is>
          <t>Servicios profesionales, científicos y técnicos</t>
        </is>
      </c>
      <c r="C25" s="30" t="n">
        <v>0</v>
      </c>
      <c r="D25" s="30" t="n">
        <v>0</v>
      </c>
      <c r="E25" s="30" t="n">
        <v>0</v>
      </c>
      <c r="F25" s="30" t="n">
        <v>0</v>
      </c>
      <c r="G25" s="30" t="n">
        <v>0</v>
      </c>
      <c r="H25" s="30" t="n">
        <v>0</v>
      </c>
      <c r="I25" s="30" t="n">
        <v>0</v>
      </c>
      <c r="J25" s="30" t="n">
        <v>0</v>
      </c>
      <c r="K25" s="30" t="n">
        <v>0</v>
      </c>
      <c r="L25" s="30" t="n">
        <v>0</v>
      </c>
      <c r="M25" s="30" t="n">
        <v>0</v>
      </c>
      <c r="N25" s="30" t="n">
        <v>0</v>
      </c>
      <c r="O25" s="30" t="n">
        <v>0</v>
      </c>
      <c r="P25" s="30" t="n">
        <v>0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30" t="n">
        <v>0</v>
      </c>
      <c r="W25" s="30">
        <f>SUM(C25:V25)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0">
        <f>SUM(X25:AA25)</f>
        <v/>
      </c>
      <c r="AC25" s="30">
        <f>W25+AB25</f>
        <v/>
      </c>
    </row>
    <row r="26">
      <c r="A26" s="27" t="inlineStr">
        <is>
          <t>55</t>
        </is>
      </c>
      <c r="B26" s="27" t="inlineStr">
        <is>
          <t>Dirección de corporativos y empresas</t>
        </is>
      </c>
      <c r="C26" s="28" t="n">
        <v>0</v>
      </c>
      <c r="D26" s="28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0</v>
      </c>
      <c r="O26" s="28" t="n">
        <v>0</v>
      </c>
      <c r="P26" s="28" t="n">
        <v>0</v>
      </c>
      <c r="Q26" s="28" t="n">
        <v>0</v>
      </c>
      <c r="R26" s="28" t="n">
        <v>0</v>
      </c>
      <c r="S26" s="28" t="n">
        <v>0</v>
      </c>
      <c r="T26" s="28" t="n">
        <v>0</v>
      </c>
      <c r="U26" s="28" t="n">
        <v>0</v>
      </c>
      <c r="V26" s="28" t="n">
        <v>0</v>
      </c>
      <c r="W26" s="28">
        <f>SUM(C26:V26)</f>
        <v/>
      </c>
      <c r="X26" s="28" t="n">
        <v>0</v>
      </c>
      <c r="Y26" s="28" t="n">
        <v>0</v>
      </c>
      <c r="Z26" s="28" t="n">
        <v>0</v>
      </c>
      <c r="AA26" s="28" t="n">
        <v>0</v>
      </c>
      <c r="AB26" s="28">
        <f>SUM(X26:AA26)</f>
        <v/>
      </c>
      <c r="AC26" s="28">
        <f>W26+AB26</f>
        <v/>
      </c>
    </row>
    <row r="27">
      <c r="A27" s="29" t="inlineStr">
        <is>
          <t>56</t>
        </is>
      </c>
      <c r="B27" s="29" t="inlineStr">
        <is>
          <t>Servicios de apoyo a los negocios y manejo de desechos y servicios de remediación</t>
        </is>
      </c>
      <c r="C27" s="30" t="n">
        <v>0</v>
      </c>
      <c r="D27" s="30" t="n">
        <v>0</v>
      </c>
      <c r="E27" s="30" t="n">
        <v>0</v>
      </c>
      <c r="F27" s="30" t="n">
        <v>0</v>
      </c>
      <c r="G27" s="30" t="n">
        <v>0</v>
      </c>
      <c r="H27" s="30" t="n">
        <v>0</v>
      </c>
      <c r="I27" s="30" t="n">
        <v>0</v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0</v>
      </c>
      <c r="P27" s="30" t="n">
        <v>0</v>
      </c>
      <c r="Q27" s="30" t="n">
        <v>0</v>
      </c>
      <c r="R27" s="30" t="n">
        <v>0</v>
      </c>
      <c r="S27" s="30" t="n">
        <v>0</v>
      </c>
      <c r="T27" s="30" t="n">
        <v>0</v>
      </c>
      <c r="U27" s="30" t="n">
        <v>0</v>
      </c>
      <c r="V27" s="30" t="n">
        <v>0</v>
      </c>
      <c r="W27" s="30">
        <f>SUM(C27:V27)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0">
        <f>SUM(X27:AA27)</f>
        <v/>
      </c>
      <c r="AC27" s="30">
        <f>W27+AB27</f>
        <v/>
      </c>
    </row>
    <row r="28">
      <c r="A28" s="27" t="inlineStr">
        <is>
          <t>61</t>
        </is>
      </c>
      <c r="B28" s="27" t="inlineStr">
        <is>
          <t>Servicios educativos</t>
        </is>
      </c>
      <c r="C28" s="28" t="n">
        <v>0</v>
      </c>
      <c r="D28" s="28" t="n">
        <v>0</v>
      </c>
      <c r="E28" s="28" t="n">
        <v>0</v>
      </c>
      <c r="F28" s="28" t="n">
        <v>0</v>
      </c>
      <c r="G28" s="28" t="n">
        <v>0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  <c r="M28" s="28" t="n">
        <v>0</v>
      </c>
      <c r="N28" s="28" t="n">
        <v>0</v>
      </c>
      <c r="O28" s="28" t="n">
        <v>0</v>
      </c>
      <c r="P28" s="28" t="n">
        <v>0</v>
      </c>
      <c r="Q28" s="28" t="n">
        <v>0</v>
      </c>
      <c r="R28" s="28" t="n">
        <v>0</v>
      </c>
      <c r="S28" s="28" t="n">
        <v>0</v>
      </c>
      <c r="T28" s="28" t="n">
        <v>0</v>
      </c>
      <c r="U28" s="28" t="n">
        <v>0</v>
      </c>
      <c r="V28" s="28" t="n">
        <v>0</v>
      </c>
      <c r="W28" s="28">
        <f>SUM(C28:V28)</f>
        <v/>
      </c>
      <c r="X28" s="28" t="n">
        <v>0</v>
      </c>
      <c r="Y28" s="28" t="n">
        <v>0</v>
      </c>
      <c r="Z28" s="28" t="n">
        <v>0</v>
      </c>
      <c r="AA28" s="28" t="n">
        <v>0</v>
      </c>
      <c r="AB28" s="28">
        <f>SUM(X28:AA28)</f>
        <v/>
      </c>
      <c r="AC28" s="28">
        <f>W28+AB28</f>
        <v/>
      </c>
    </row>
    <row r="29">
      <c r="A29" s="29" t="inlineStr">
        <is>
          <t>62</t>
        </is>
      </c>
      <c r="B29" s="29" t="inlineStr">
        <is>
          <t>Servicios de salud y de asistencia social</t>
        </is>
      </c>
      <c r="C29" s="30" t="n">
        <v>0</v>
      </c>
      <c r="D29" s="30" t="n">
        <v>0</v>
      </c>
      <c r="E29" s="30" t="n">
        <v>0</v>
      </c>
      <c r="F29" s="30" t="n">
        <v>0</v>
      </c>
      <c r="G29" s="30" t="n">
        <v>0</v>
      </c>
      <c r="H29" s="30" t="n">
        <v>0</v>
      </c>
      <c r="I29" s="30" t="n">
        <v>0</v>
      </c>
      <c r="J29" s="30" t="n">
        <v>0</v>
      </c>
      <c r="K29" s="30" t="n">
        <v>0</v>
      </c>
      <c r="L29" s="30" t="n">
        <v>0</v>
      </c>
      <c r="M29" s="30" t="n">
        <v>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>
        <f>SUM(C29:V29)</f>
        <v/>
      </c>
      <c r="X29" s="30" t="n">
        <v>0</v>
      </c>
      <c r="Y29" s="30" t="n">
        <v>0</v>
      </c>
      <c r="Z29" s="30" t="n">
        <v>0</v>
      </c>
      <c r="AA29" s="30" t="n">
        <v>0</v>
      </c>
      <c r="AB29" s="30">
        <f>SUM(X29:AA29)</f>
        <v/>
      </c>
      <c r="AC29" s="30">
        <f>W29+AB29</f>
        <v/>
      </c>
    </row>
    <row r="30">
      <c r="A30" s="27" t="inlineStr">
        <is>
          <t>71</t>
        </is>
      </c>
      <c r="B30" s="27" t="inlineStr">
        <is>
          <t>Servicios de esparcimiento culturales y deportivos, y otros servicios recreativos</t>
        </is>
      </c>
      <c r="C30" s="28" t="n">
        <v>0</v>
      </c>
      <c r="D30" s="28" t="n">
        <v>0</v>
      </c>
      <c r="E30" s="28" t="n">
        <v>0</v>
      </c>
      <c r="F30" s="28" t="n">
        <v>0</v>
      </c>
      <c r="G30" s="28" t="n">
        <v>0</v>
      </c>
      <c r="H30" s="28" t="n">
        <v>0</v>
      </c>
      <c r="I30" s="28" t="n">
        <v>0</v>
      </c>
      <c r="J30" s="28" t="n">
        <v>0</v>
      </c>
      <c r="K30" s="28" t="n">
        <v>0</v>
      </c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</v>
      </c>
      <c r="T30" s="28" t="n">
        <v>0</v>
      </c>
      <c r="U30" s="28" t="n">
        <v>0</v>
      </c>
      <c r="V30" s="28" t="n">
        <v>0</v>
      </c>
      <c r="W30" s="28">
        <f>SUM(C30:V30)</f>
        <v/>
      </c>
      <c r="X30" s="28" t="n">
        <v>0</v>
      </c>
      <c r="Y30" s="28" t="n">
        <v>0</v>
      </c>
      <c r="Z30" s="28" t="n">
        <v>0</v>
      </c>
      <c r="AA30" s="28" t="n">
        <v>0</v>
      </c>
      <c r="AB30" s="28">
        <f>SUM(X30:AA30)</f>
        <v/>
      </c>
      <c r="AC30" s="28">
        <f>W30+AB30</f>
        <v/>
      </c>
    </row>
    <row r="31">
      <c r="A31" s="29" t="inlineStr">
        <is>
          <t>72</t>
        </is>
      </c>
      <c r="B31" s="29" t="inlineStr">
        <is>
          <t>Servicios de alojamiento temporal y de preparación de alimentos y bebidas</t>
        </is>
      </c>
      <c r="C31" s="30" t="n">
        <v>0</v>
      </c>
      <c r="D31" s="30" t="n">
        <v>0</v>
      </c>
      <c r="E31" s="30" t="n">
        <v>0</v>
      </c>
      <c r="F31" s="30" t="n">
        <v>0</v>
      </c>
      <c r="G31" s="30" t="n">
        <v>0</v>
      </c>
      <c r="H31" s="30" t="n">
        <v>0</v>
      </c>
      <c r="I31" s="30" t="n">
        <v>0</v>
      </c>
      <c r="J31" s="30" t="n">
        <v>0</v>
      </c>
      <c r="K31" s="30" t="n">
        <v>0</v>
      </c>
      <c r="L31" s="30" t="n">
        <v>0</v>
      </c>
      <c r="M31" s="30" t="n">
        <v>0</v>
      </c>
      <c r="N31" s="30" t="n">
        <v>0</v>
      </c>
      <c r="O31" s="30" t="n">
        <v>0</v>
      </c>
      <c r="P31" s="30" t="n">
        <v>0</v>
      </c>
      <c r="Q31" s="30" t="n">
        <v>0</v>
      </c>
      <c r="R31" s="30" t="n">
        <v>0</v>
      </c>
      <c r="S31" s="30" t="n">
        <v>0</v>
      </c>
      <c r="T31" s="30" t="n">
        <v>0</v>
      </c>
      <c r="U31" s="30" t="n">
        <v>0</v>
      </c>
      <c r="V31" s="30" t="n">
        <v>0</v>
      </c>
      <c r="W31" s="30">
        <f>SUM(C31:V31)</f>
        <v/>
      </c>
      <c r="X31" s="30" t="n">
        <v>0</v>
      </c>
      <c r="Y31" s="30" t="n">
        <v>0</v>
      </c>
      <c r="Z31" s="30" t="n">
        <v>0</v>
      </c>
      <c r="AA31" s="30" t="n">
        <v>0</v>
      </c>
      <c r="AB31" s="30">
        <f>SUM(X31:AA31)</f>
        <v/>
      </c>
      <c r="AC31" s="30">
        <f>W31+AB31</f>
        <v/>
      </c>
    </row>
    <row r="32">
      <c r="A32" s="27" t="inlineStr">
        <is>
          <t>81</t>
        </is>
      </c>
      <c r="B32" s="27" t="inlineStr">
        <is>
          <t>Otros servicios excepto actividades del Gobierno</t>
        </is>
      </c>
      <c r="C32" s="28" t="n">
        <v>0</v>
      </c>
      <c r="D32" s="28" t="n">
        <v>0</v>
      </c>
      <c r="E32" s="28" t="n">
        <v>0</v>
      </c>
      <c r="F32" s="28" t="n">
        <v>0</v>
      </c>
      <c r="G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  <c r="N32" s="28" t="n">
        <v>0</v>
      </c>
      <c r="O32" s="28" t="n">
        <v>0</v>
      </c>
      <c r="P32" s="28" t="n">
        <v>0</v>
      </c>
      <c r="Q32" s="28" t="n">
        <v>0</v>
      </c>
      <c r="R32" s="28" t="n">
        <v>0</v>
      </c>
      <c r="S32" s="28" t="n">
        <v>0</v>
      </c>
      <c r="T32" s="28" t="n">
        <v>0</v>
      </c>
      <c r="U32" s="28" t="n">
        <v>0</v>
      </c>
      <c r="V32" s="28" t="n">
        <v>0</v>
      </c>
      <c r="W32" s="28">
        <f>SUM(C32:V32)</f>
        <v/>
      </c>
      <c r="X32" s="28" t="n">
        <v>0</v>
      </c>
      <c r="Y32" s="28" t="n">
        <v>0</v>
      </c>
      <c r="Z32" s="28" t="n">
        <v>0</v>
      </c>
      <c r="AA32" s="28" t="n">
        <v>0</v>
      </c>
      <c r="AB32" s="28">
        <f>SUM(X32:AA32)</f>
        <v/>
      </c>
      <c r="AC32" s="28">
        <f>W32+AB32</f>
        <v/>
      </c>
    </row>
    <row r="33">
      <c r="A33" s="29" t="inlineStr">
        <is>
          <t>93</t>
        </is>
      </c>
      <c r="B33" s="29" t="inlineStr">
        <is>
          <t>Actividades del Gobierno y de organismos internacionales y extraterritoriales</t>
        </is>
      </c>
      <c r="C33" s="30" t="n">
        <v>0</v>
      </c>
      <c r="D33" s="30" t="n">
        <v>0</v>
      </c>
      <c r="E33" s="30" t="n">
        <v>0</v>
      </c>
      <c r="F33" s="30" t="n">
        <v>0</v>
      </c>
      <c r="G33" s="30" t="n">
        <v>0</v>
      </c>
      <c r="H33" s="30" t="n">
        <v>0</v>
      </c>
      <c r="I33" s="30" t="n">
        <v>0</v>
      </c>
      <c r="J33" s="30" t="n">
        <v>0</v>
      </c>
      <c r="K33" s="30" t="n">
        <v>0</v>
      </c>
      <c r="L33" s="30" t="n">
        <v>0</v>
      </c>
      <c r="M33" s="30" t="n">
        <v>0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</v>
      </c>
      <c r="U33" s="30" t="n">
        <v>0</v>
      </c>
      <c r="V33" s="30" t="n">
        <v>0</v>
      </c>
      <c r="W33" s="30">
        <f>SUM(C33:V33)</f>
        <v/>
      </c>
      <c r="X33" s="30" t="n">
        <v>0</v>
      </c>
      <c r="Y33" s="30" t="n">
        <v>0</v>
      </c>
      <c r="Z33" s="30" t="n">
        <v>0</v>
      </c>
      <c r="AA33" s="30" t="n">
        <v>0</v>
      </c>
      <c r="AB33" s="30">
        <f>SUM(X33:AA33)</f>
        <v/>
      </c>
      <c r="AC33" s="30">
        <f>W33+AB33</f>
        <v/>
      </c>
    </row>
    <row r="34">
      <c r="B34" s="31" t="inlineStr">
        <is>
          <t>Total consumo intermedio</t>
        </is>
      </c>
      <c r="C34" s="32">
        <f>SUM(C14:C33)</f>
        <v/>
      </c>
      <c r="D34" s="32">
        <f>SUM(D14:D33)</f>
        <v/>
      </c>
      <c r="E34" s="32">
        <f>SUM(E14:E33)</f>
        <v/>
      </c>
      <c r="F34" s="32">
        <f>SUM(F14:F33)</f>
        <v/>
      </c>
      <c r="G34" s="32">
        <f>SUM(G14:G33)</f>
        <v/>
      </c>
      <c r="H34" s="32">
        <f>SUM(H14:H33)</f>
        <v/>
      </c>
      <c r="I34" s="32">
        <f>SUM(I14:I33)</f>
        <v/>
      </c>
      <c r="J34" s="32">
        <f>SUM(J14:J33)</f>
        <v/>
      </c>
      <c r="K34" s="32">
        <f>SUM(K14:K33)</f>
        <v/>
      </c>
      <c r="L34" s="32">
        <f>SUM(L14:L33)</f>
        <v/>
      </c>
      <c r="M34" s="32">
        <f>SUM(M14:M33)</f>
        <v/>
      </c>
      <c r="N34" s="32">
        <f>SUM(N14:N33)</f>
        <v/>
      </c>
      <c r="O34" s="32">
        <f>SUM(O14:O33)</f>
        <v/>
      </c>
      <c r="P34" s="32">
        <f>SUM(P14:P33)</f>
        <v/>
      </c>
      <c r="Q34" s="32">
        <f>SUM(Q14:Q33)</f>
        <v/>
      </c>
      <c r="R34" s="32">
        <f>SUM(R14:R33)</f>
        <v/>
      </c>
      <c r="S34" s="32">
        <f>SUM(S14:S33)</f>
        <v/>
      </c>
      <c r="T34" s="32">
        <f>SUM(T14:T33)</f>
        <v/>
      </c>
      <c r="U34" s="32">
        <f>SUM(U14:U33)</f>
        <v/>
      </c>
      <c r="V34" s="32">
        <f>SUM(V14:V33)</f>
        <v/>
      </c>
      <c r="W34" s="32">
        <f>SUM(W14:W33)</f>
        <v/>
      </c>
      <c r="X34" s="32">
        <f>SUM(X14:X33)</f>
        <v/>
      </c>
      <c r="Y34" s="32">
        <f>SUM(Y14:Y33)</f>
        <v/>
      </c>
      <c r="Z34" s="32">
        <f>SUM(Z14:Z33)</f>
        <v/>
      </c>
      <c r="AA34" s="32">
        <f>SUM(AA14:AA33)</f>
        <v/>
      </c>
      <c r="AB34" s="32">
        <f>SUM(AB14:AB33)</f>
        <v/>
      </c>
      <c r="AC34" s="32">
        <f>SUM(AC14:AC33)</f>
        <v/>
      </c>
    </row>
    <row r="35"/>
    <row r="36">
      <c r="B36" s="31" t="inlineStr">
        <is>
          <t>Ajuste intermedio no asignado a matriz</t>
        </is>
      </c>
      <c r="C36" s="32" t="n">
        <v>0</v>
      </c>
      <c r="D36" s="32" t="n">
        <v>0</v>
      </c>
      <c r="E36" s="32" t="n">
        <v>0</v>
      </c>
      <c r="F36" s="32" t="n">
        <v>0</v>
      </c>
      <c r="G36" s="32" t="n">
        <v>0</v>
      </c>
      <c r="H36" s="32" t="n">
        <v>0</v>
      </c>
      <c r="I36" s="32" t="n">
        <v>0</v>
      </c>
      <c r="J36" s="32" t="n">
        <v>0</v>
      </c>
      <c r="K36" s="32" t="n">
        <v>0</v>
      </c>
      <c r="L36" s="32" t="n">
        <v>0</v>
      </c>
      <c r="M36" s="32" t="n">
        <v>0</v>
      </c>
      <c r="N36" s="32" t="n">
        <v>0</v>
      </c>
      <c r="O36" s="32" t="n">
        <v>0</v>
      </c>
      <c r="P36" s="32" t="n">
        <v>0</v>
      </c>
      <c r="Q36" s="32" t="n">
        <v>0</v>
      </c>
      <c r="R36" s="32" t="n">
        <v>0</v>
      </c>
      <c r="S36" s="32" t="n">
        <v>0</v>
      </c>
      <c r="T36" s="32" t="n">
        <v>0</v>
      </c>
      <c r="U36" s="32" t="n">
        <v>0</v>
      </c>
      <c r="V36" s="32" t="n">
        <v>0</v>
      </c>
      <c r="AC36" s="32">
        <f>SUM(C36:V36)</f>
        <v/>
      </c>
    </row>
    <row r="37"/>
    <row r="38">
      <c r="B38" s="31" t="inlineStr">
        <is>
          <t>Sin valor agregado</t>
        </is>
      </c>
      <c r="C38" s="32" t="n">
        <v>0</v>
      </c>
      <c r="D38" s="32" t="n">
        <v>0</v>
      </c>
      <c r="E38" s="32" t="n">
        <v>0</v>
      </c>
      <c r="F38" s="32" t="n">
        <v>0</v>
      </c>
      <c r="G38" s="32" t="n">
        <v>0</v>
      </c>
      <c r="H38" s="32" t="n">
        <v>0</v>
      </c>
      <c r="I38" s="32" t="n">
        <v>0</v>
      </c>
      <c r="J38" s="32" t="n">
        <v>0</v>
      </c>
      <c r="K38" s="32" t="n">
        <v>0</v>
      </c>
      <c r="L38" s="32" t="n">
        <v>0</v>
      </c>
      <c r="M38" s="32" t="n">
        <v>0</v>
      </c>
      <c r="N38" s="32" t="n">
        <v>0</v>
      </c>
      <c r="O38" s="32" t="n">
        <v>0</v>
      </c>
      <c r="P38" s="32" t="n">
        <v>0</v>
      </c>
      <c r="Q38" s="32" t="n">
        <v>0</v>
      </c>
      <c r="R38" s="32" t="n">
        <v>0</v>
      </c>
      <c r="S38" s="32" t="n">
        <v>0</v>
      </c>
      <c r="T38" s="32" t="n">
        <v>0</v>
      </c>
      <c r="U38" s="32" t="n">
        <v>0</v>
      </c>
      <c r="V38" s="32" t="n">
        <v>0</v>
      </c>
      <c r="AC38" s="32">
        <f>SUM(C38:V38)</f>
        <v/>
      </c>
    </row>
    <row r="39"/>
    <row r="40">
      <c r="B40" s="31" t="inlineStr">
        <is>
          <t>Produccion total</t>
        </is>
      </c>
      <c r="C40" s="32">
        <f>C34+C36+C38</f>
        <v/>
      </c>
      <c r="D40" s="32">
        <f>D34+D36+D38</f>
        <v/>
      </c>
      <c r="E40" s="32">
        <f>E34+E36+E38</f>
        <v/>
      </c>
      <c r="F40" s="32">
        <f>F34+F36+F38</f>
        <v/>
      </c>
      <c r="G40" s="32">
        <f>G34+G36+G38</f>
        <v/>
      </c>
      <c r="H40" s="32">
        <f>H34+H36+H38</f>
        <v/>
      </c>
      <c r="I40" s="32">
        <f>I34+I36+I38</f>
        <v/>
      </c>
      <c r="J40" s="32">
        <f>J34+J36+J38</f>
        <v/>
      </c>
      <c r="K40" s="32">
        <f>K34+K36+K38</f>
        <v/>
      </c>
      <c r="L40" s="32">
        <f>L34+L36+L38</f>
        <v/>
      </c>
      <c r="M40" s="32">
        <f>M34+M36+M38</f>
        <v/>
      </c>
      <c r="N40" s="32">
        <f>N34+N36+N38</f>
        <v/>
      </c>
      <c r="O40" s="32">
        <f>O34+O36+O38</f>
        <v/>
      </c>
      <c r="P40" s="32">
        <f>P34+P36+P38</f>
        <v/>
      </c>
      <c r="Q40" s="32">
        <f>Q34+Q36+Q38</f>
        <v/>
      </c>
      <c r="R40" s="32">
        <f>R34+R36+R38</f>
        <v/>
      </c>
      <c r="S40" s="32">
        <f>S34+S36+S38</f>
        <v/>
      </c>
      <c r="T40" s="32">
        <f>T34+T36+T38</f>
        <v/>
      </c>
      <c r="U40" s="32">
        <f>U34+U36+U38</f>
        <v/>
      </c>
      <c r="V40" s="32">
        <f>V34+V36+V38</f>
        <v/>
      </c>
      <c r="AC40" s="32">
        <f>SUM(C40:V40)</f>
        <v/>
      </c>
    </row>
    <row r="41">
      <c r="B41" s="31" t="inlineStr">
        <is>
          <t>Produccion fuente</t>
        </is>
      </c>
      <c r="C41" s="32" t="n">
        <v>0</v>
      </c>
      <c r="D41" s="32" t="n">
        <v>0</v>
      </c>
      <c r="E41" s="32" t="n">
        <v>0</v>
      </c>
      <c r="F41" s="32" t="n">
        <v>0</v>
      </c>
      <c r="G41" s="32" t="n">
        <v>0</v>
      </c>
      <c r="H41" s="32" t="n">
        <v>0</v>
      </c>
      <c r="I41" s="32" t="n">
        <v>0</v>
      </c>
      <c r="J41" s="32" t="n">
        <v>0</v>
      </c>
      <c r="K41" s="32" t="n">
        <v>0</v>
      </c>
      <c r="L41" s="32" t="n">
        <v>0</v>
      </c>
      <c r="M41" s="32" t="n">
        <v>0</v>
      </c>
      <c r="N41" s="32" t="n">
        <v>0</v>
      </c>
      <c r="O41" s="32" t="n">
        <v>0</v>
      </c>
      <c r="P41" s="32" t="n">
        <v>0</v>
      </c>
      <c r="Q41" s="32" t="n">
        <v>0</v>
      </c>
      <c r="R41" s="32" t="n">
        <v>0</v>
      </c>
      <c r="S41" s="32" t="n">
        <v>0</v>
      </c>
      <c r="T41" s="32" t="n">
        <v>0</v>
      </c>
      <c r="U41" s="32" t="n">
        <v>0</v>
      </c>
      <c r="V41" s="32" t="n">
        <v>0</v>
      </c>
      <c r="AC41" s="32">
        <f>SUM(C41:V41)</f>
        <v/>
      </c>
    </row>
    <row r="42">
      <c r="B42" s="33" t="inlineStr">
        <is>
          <t>Check produccion total - fuente</t>
        </is>
      </c>
      <c r="C42" s="34">
        <f>C40-C41</f>
        <v/>
      </c>
      <c r="D42" s="34">
        <f>D40-D41</f>
        <v/>
      </c>
      <c r="E42" s="34">
        <f>E40-E41</f>
        <v/>
      </c>
      <c r="F42" s="34">
        <f>F40-F41</f>
        <v/>
      </c>
      <c r="G42" s="34">
        <f>G40-G41</f>
        <v/>
      </c>
      <c r="H42" s="34">
        <f>H40-H41</f>
        <v/>
      </c>
      <c r="I42" s="34">
        <f>I40-I41</f>
        <v/>
      </c>
      <c r="J42" s="34">
        <f>J40-J41</f>
        <v/>
      </c>
      <c r="K42" s="34">
        <f>K40-K41</f>
        <v/>
      </c>
      <c r="L42" s="34">
        <f>L40-L41</f>
        <v/>
      </c>
      <c r="M42" s="34">
        <f>M40-M41</f>
        <v/>
      </c>
      <c r="N42" s="34">
        <f>N40-N41</f>
        <v/>
      </c>
      <c r="O42" s="34">
        <f>O40-O41</f>
        <v/>
      </c>
      <c r="P42" s="34">
        <f>P40-P41</f>
        <v/>
      </c>
      <c r="Q42" s="34">
        <f>Q40-Q41</f>
        <v/>
      </c>
      <c r="R42" s="34">
        <f>R40-R41</f>
        <v/>
      </c>
      <c r="S42" s="34">
        <f>S40-S41</f>
        <v/>
      </c>
      <c r="T42" s="34">
        <f>T40-T41</f>
        <v/>
      </c>
      <c r="U42" s="34">
        <f>U40-U41</f>
        <v/>
      </c>
      <c r="V42" s="34">
        <f>V40-V41</f>
        <v/>
      </c>
      <c r="AC42" s="34">
        <f>SUM(C42:V42)</f>
        <v/>
      </c>
    </row>
    <row r="43"/>
    <row r="44">
      <c r="B44" s="27" t="inlineStr">
        <is>
          <t>Nota</t>
        </is>
      </c>
      <c r="C44" s="27" t="inlineStr">
        <is>
          <t>No hay matriz importada asignable; el ajuste queda como vector firmado.</t>
        </is>
      </c>
    </row>
  </sheetData>
  <mergeCells count="9">
    <mergeCell ref="A1:H1"/>
    <mergeCell ref="A3:H4"/>
    <mergeCell ref="B10:B12"/>
    <mergeCell ref="A10:A12"/>
    <mergeCell ref="X10:AA10"/>
    <mergeCell ref="C10:V10"/>
    <mergeCell ref="AC10:AC12"/>
    <mergeCell ref="AB10:AB12"/>
    <mergeCell ref="W10:W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44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4" customHeight="1"/>
    <row r="2"/>
    <row r="3" ht="16" customHeight="1">
      <c r="A3" s="19" t="inlineStr">
        <is>
          <t>Matriz insumo producto, actividad por actividad - Total auditable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2003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2" t="inlineStr">
        <is>
          <t>Total consumo intermedio</t>
        </is>
      </c>
      <c r="X10" s="22" t="inlineStr">
        <is>
          <t>Demanda final</t>
        </is>
      </c>
      <c r="Y10" s="23" t="n"/>
      <c r="Z10" s="23" t="n"/>
      <c r="AA10" s="23" t="n"/>
      <c r="AB10" s="22" t="inlineStr">
        <is>
          <t>Total demanda final</t>
        </is>
      </c>
      <c r="AC10" s="22" t="inlineStr">
        <is>
          <t>Total</t>
        </is>
      </c>
    </row>
    <row r="11" ht="15" customHeight="1">
      <c r="C11" s="24" t="inlineStr">
        <is>
          <t>11</t>
        </is>
      </c>
      <c r="D11" s="24" t="inlineStr">
        <is>
          <t>21</t>
        </is>
      </c>
      <c r="E11" s="24" t="inlineStr">
        <is>
          <t>22</t>
        </is>
      </c>
      <c r="F11" s="24" t="inlineStr">
        <is>
          <t>23</t>
        </is>
      </c>
      <c r="G11" s="24" t="inlineStr">
        <is>
          <t>31-33</t>
        </is>
      </c>
      <c r="H11" s="24" t="inlineStr">
        <is>
          <t>43-46</t>
        </is>
      </c>
      <c r="I11" s="24" t="inlineStr">
        <is>
          <t>48</t>
        </is>
      </c>
      <c r="J11" s="24" t="inlineStr">
        <is>
          <t>49</t>
        </is>
      </c>
      <c r="K11" s="24" t="inlineStr">
        <is>
          <t>51</t>
        </is>
      </c>
      <c r="L11" s="24" t="inlineStr">
        <is>
          <t>52</t>
        </is>
      </c>
      <c r="M11" s="24" t="inlineStr">
        <is>
          <t>53</t>
        </is>
      </c>
      <c r="N11" s="24" t="inlineStr">
        <is>
          <t>54</t>
        </is>
      </c>
      <c r="O11" s="24" t="inlineStr">
        <is>
          <t>55</t>
        </is>
      </c>
      <c r="P11" s="24" t="inlineStr">
        <is>
          <t>56</t>
        </is>
      </c>
      <c r="Q11" s="24" t="inlineStr">
        <is>
          <t>61</t>
        </is>
      </c>
      <c r="R11" s="24" t="inlineStr">
        <is>
          <t>62</t>
        </is>
      </c>
      <c r="S11" s="24" t="inlineStr">
        <is>
          <t>71</t>
        </is>
      </c>
      <c r="T11" s="24" t="inlineStr">
        <is>
          <t>72</t>
        </is>
      </c>
      <c r="U11" s="24" t="inlineStr">
        <is>
          <t>81</t>
        </is>
      </c>
      <c r="V11" s="24" t="inlineStr">
        <is>
          <t>93</t>
        </is>
      </c>
      <c r="X11" s="24" t="inlineStr"/>
      <c r="Y11" s="24" t="inlineStr"/>
      <c r="Z11" s="24" t="inlineStr"/>
      <c r="AA11" s="24" t="inlineStr"/>
    </row>
    <row r="12" ht="90" customHeight="1">
      <c r="A12" s="25" t="n"/>
      <c r="B12" s="25" t="n"/>
      <c r="C12" s="26" t="inlineStr">
        <is>
          <t>Agricultura, ganadería, aprovechamiento forestal, pesca y caza</t>
        </is>
      </c>
      <c r="D12" s="26" t="inlineStr">
        <is>
          <t>Minería</t>
        </is>
      </c>
      <c r="E12" s="26" t="inlineStr">
        <is>
          <t>Electricidad, agua y suministro de gas por ductos al consumidor final</t>
        </is>
      </c>
      <c r="F12" s="26" t="inlineStr">
        <is>
          <t>Construcción</t>
        </is>
      </c>
      <c r="G12" s="26" t="inlineStr">
        <is>
          <t>Industrias manufactureras</t>
        </is>
      </c>
      <c r="H12" s="26" t="inlineStr">
        <is>
          <t>Comercio</t>
        </is>
      </c>
      <c r="I12" s="26" t="inlineStr">
        <is>
          <t>Transportes</t>
        </is>
      </c>
      <c r="J12" s="26" t="inlineStr">
        <is>
          <t>Correos y almacenamiento</t>
        </is>
      </c>
      <c r="K12" s="26" t="inlineStr">
        <is>
          <t>Información en medios masivos</t>
        </is>
      </c>
      <c r="L12" s="26" t="inlineStr">
        <is>
          <t>Servicios financieros y de seguros</t>
        </is>
      </c>
      <c r="M12" s="26" t="inlineStr">
        <is>
          <t>Servicios inmobiliarios y de alquiler de bienes muebles e intangibles</t>
        </is>
      </c>
      <c r="N12" s="26" t="inlineStr">
        <is>
          <t>Servicios profesionales, científicos y técnicos</t>
        </is>
      </c>
      <c r="O12" s="26" t="inlineStr">
        <is>
          <t>Dirección de corporativos y empresas</t>
        </is>
      </c>
      <c r="P12" s="26" t="inlineStr">
        <is>
          <t>Servicios de apoyo a los negocios y manejo de desechos y servicios de remediación</t>
        </is>
      </c>
      <c r="Q12" s="26" t="inlineStr">
        <is>
          <t>Servicios educativos</t>
        </is>
      </c>
      <c r="R12" s="26" t="inlineStr">
        <is>
          <t>Servicios de salud y de asistencia social</t>
        </is>
      </c>
      <c r="S12" s="26" t="inlineStr">
        <is>
          <t>Servicios de esparcimiento culturales y deportivos, y otros servicios recreativos</t>
        </is>
      </c>
      <c r="T12" s="26" t="inlineStr">
        <is>
          <t>Servicios de alojamiento temporal y de preparación de alimentos y bebidas</t>
        </is>
      </c>
      <c r="U12" s="26" t="inlineStr">
        <is>
          <t>Otros servicios excepto actividades del Gobierno</t>
        </is>
      </c>
      <c r="V12" s="26" t="inlineStr">
        <is>
          <t>Actividades del Gobierno y de organismos internacionales y extraterritoriales</t>
        </is>
      </c>
      <c r="W12" s="25" t="n"/>
      <c r="X12" s="26" t="inlineStr">
        <is>
          <t>Gasto de consumo final</t>
        </is>
      </c>
      <c r="Y12" s="26" t="inlineStr">
        <is>
          <t>Formacion bruta de capital</t>
        </is>
      </c>
      <c r="Z12" s="26" t="inlineStr">
        <is>
          <t>Exportaciones netas</t>
        </is>
      </c>
      <c r="AA12" s="26" t="inlineStr">
        <is>
          <t>Sin desglose fuente</t>
        </is>
      </c>
      <c r="AB12" s="25" t="n"/>
      <c r="AC12" s="25" t="n"/>
    </row>
    <row r="13"/>
    <row r="14">
      <c r="A14" s="27" t="inlineStr">
        <is>
          <t>11</t>
        </is>
      </c>
      <c r="B14" s="27" t="inlineStr">
        <is>
          <t>Agricultura, ganadería, aprovechamiento forestal, pesca y caza</t>
        </is>
      </c>
      <c r="C14" s="28" t="n">
        <v>45661042</v>
      </c>
      <c r="D14" s="28" t="n">
        <v>283</v>
      </c>
      <c r="E14" s="28" t="n">
        <v>227</v>
      </c>
      <c r="F14" s="28" t="n">
        <v>1820316</v>
      </c>
      <c r="G14" s="28" t="n">
        <v>217161071</v>
      </c>
      <c r="H14" s="28" t="n">
        <v>0</v>
      </c>
      <c r="I14" s="28" t="n">
        <v>0</v>
      </c>
      <c r="J14" s="28" t="n">
        <v>0</v>
      </c>
      <c r="K14" s="28" t="n">
        <v>10</v>
      </c>
      <c r="L14" s="28" t="n">
        <v>0</v>
      </c>
      <c r="M14" s="28" t="n">
        <v>0</v>
      </c>
      <c r="N14" s="28" t="n">
        <v>0</v>
      </c>
      <c r="O14" s="28" t="n">
        <v>0</v>
      </c>
      <c r="P14" s="28" t="n">
        <v>317</v>
      </c>
      <c r="Q14" s="28" t="n">
        <v>0</v>
      </c>
      <c r="R14" s="28" t="n">
        <v>73</v>
      </c>
      <c r="S14" s="28" t="n">
        <v>983</v>
      </c>
      <c r="T14" s="28" t="n">
        <v>6119</v>
      </c>
      <c r="U14" s="28" t="n">
        <v>1584</v>
      </c>
      <c r="V14" s="28" t="n">
        <v>0</v>
      </c>
      <c r="W14" s="28">
        <f>SUM(C14:V14)</f>
        <v/>
      </c>
      <c r="X14" s="28" t="n">
        <v>0</v>
      </c>
      <c r="Y14" s="28" t="n">
        <v>0</v>
      </c>
      <c r="Z14" s="28" t="n">
        <v>158905279</v>
      </c>
      <c r="AA14" s="28" t="n">
        <v>0</v>
      </c>
      <c r="AB14" s="28">
        <f>SUM(X14:AA14)</f>
        <v/>
      </c>
      <c r="AC14" s="28">
        <f>W14+AB14</f>
        <v/>
      </c>
    </row>
    <row r="15">
      <c r="A15" s="29" t="inlineStr">
        <is>
          <t>21</t>
        </is>
      </c>
      <c r="B15" s="29" t="inlineStr">
        <is>
          <t>Minería</t>
        </is>
      </c>
      <c r="C15" s="30" t="n">
        <v>86276</v>
      </c>
      <c r="D15" s="30" t="n">
        <v>7971250</v>
      </c>
      <c r="E15" s="30" t="n">
        <v>3985328</v>
      </c>
      <c r="F15" s="30" t="n">
        <v>12691033</v>
      </c>
      <c r="G15" s="30" t="n">
        <v>280861277</v>
      </c>
      <c r="H15" s="30" t="n">
        <v>0</v>
      </c>
      <c r="I15" s="30" t="n">
        <v>7029</v>
      </c>
      <c r="J15" s="30" t="n">
        <v>0</v>
      </c>
      <c r="K15" s="30" t="n">
        <v>657</v>
      </c>
      <c r="L15" s="30" t="n">
        <v>0</v>
      </c>
      <c r="M15" s="30" t="n">
        <v>222023</v>
      </c>
      <c r="N15" s="30" t="n">
        <v>4271</v>
      </c>
      <c r="O15" s="30" t="n">
        <v>0</v>
      </c>
      <c r="P15" s="30" t="n">
        <v>4116</v>
      </c>
      <c r="Q15" s="30" t="n">
        <v>10</v>
      </c>
      <c r="R15" s="30" t="n">
        <v>211</v>
      </c>
      <c r="S15" s="30" t="n">
        <v>605</v>
      </c>
      <c r="T15" s="30" t="n">
        <v>113953</v>
      </c>
      <c r="U15" s="30" t="n">
        <v>593</v>
      </c>
      <c r="V15" s="30" t="n">
        <v>0</v>
      </c>
      <c r="W15" s="30">
        <f>SUM(C15:V15)</f>
        <v/>
      </c>
      <c r="X15" s="30" t="n">
        <v>0</v>
      </c>
      <c r="Y15" s="30" t="n">
        <v>0</v>
      </c>
      <c r="Z15" s="30" t="n">
        <v>235540129</v>
      </c>
      <c r="AA15" s="30" t="n">
        <v>0</v>
      </c>
      <c r="AB15" s="30">
        <f>SUM(X15:AA15)</f>
        <v/>
      </c>
      <c r="AC15" s="30">
        <f>W15+AB15</f>
        <v/>
      </c>
    </row>
    <row r="16">
      <c r="A16" s="27" t="inlineStr">
        <is>
          <t>22</t>
        </is>
      </c>
      <c r="B16" s="27" t="inlineStr">
        <is>
          <t>Electricidad, agua y suministro de gas por ductos al consumidor final</t>
        </is>
      </c>
      <c r="C16" s="28" t="n">
        <v>4931145</v>
      </c>
      <c r="D16" s="28" t="n">
        <v>3089491</v>
      </c>
      <c r="E16" s="28" t="n">
        <v>33539349</v>
      </c>
      <c r="F16" s="28" t="n">
        <v>3094215</v>
      </c>
      <c r="G16" s="28" t="n">
        <v>49113854</v>
      </c>
      <c r="H16" s="28" t="n">
        <v>14935672</v>
      </c>
      <c r="I16" s="28" t="n">
        <v>4275842</v>
      </c>
      <c r="J16" s="28" t="n">
        <v>209809</v>
      </c>
      <c r="K16" s="28" t="n">
        <v>2101890</v>
      </c>
      <c r="L16" s="28" t="n">
        <v>961559</v>
      </c>
      <c r="M16" s="28" t="n">
        <v>6694012</v>
      </c>
      <c r="N16" s="28" t="n">
        <v>2235677</v>
      </c>
      <c r="O16" s="28" t="n">
        <v>69172</v>
      </c>
      <c r="P16" s="28" t="n">
        <v>959354</v>
      </c>
      <c r="Q16" s="28" t="n">
        <v>2555727</v>
      </c>
      <c r="R16" s="28" t="n">
        <v>3441982</v>
      </c>
      <c r="S16" s="28" t="n">
        <v>643320</v>
      </c>
      <c r="T16" s="28" t="n">
        <v>9781982</v>
      </c>
      <c r="U16" s="28" t="n">
        <v>3196193</v>
      </c>
      <c r="V16" s="28" t="n">
        <v>7547589</v>
      </c>
      <c r="W16" s="28">
        <f>SUM(C16:V16)</f>
        <v/>
      </c>
      <c r="X16" s="28" t="n">
        <v>0</v>
      </c>
      <c r="Y16" s="28" t="n">
        <v>0</v>
      </c>
      <c r="Z16" s="28" t="n">
        <v>85163278</v>
      </c>
      <c r="AA16" s="28" t="n">
        <v>0</v>
      </c>
      <c r="AB16" s="28">
        <f>SUM(X16:AA16)</f>
        <v/>
      </c>
      <c r="AC16" s="28">
        <f>W16+AB16</f>
        <v/>
      </c>
    </row>
    <row r="17">
      <c r="A17" s="29" t="inlineStr">
        <is>
          <t>23</t>
        </is>
      </c>
      <c r="B17" s="29" t="inlineStr">
        <is>
          <t>Construcción</t>
        </is>
      </c>
      <c r="C17" s="30" t="n">
        <v>923712</v>
      </c>
      <c r="D17" s="30" t="n">
        <v>353383</v>
      </c>
      <c r="E17" s="30" t="n">
        <v>579321</v>
      </c>
      <c r="F17" s="30" t="n">
        <v>62592496</v>
      </c>
      <c r="G17" s="30" t="n">
        <v>6448286</v>
      </c>
      <c r="H17" s="30" t="n">
        <v>510917</v>
      </c>
      <c r="I17" s="30" t="n">
        <v>1050488</v>
      </c>
      <c r="J17" s="30" t="n">
        <v>12656</v>
      </c>
      <c r="K17" s="30" t="n">
        <v>73406</v>
      </c>
      <c r="L17" s="30" t="n">
        <v>510362</v>
      </c>
      <c r="M17" s="30" t="n">
        <v>3303577</v>
      </c>
      <c r="N17" s="30" t="n">
        <v>64449</v>
      </c>
      <c r="O17" s="30" t="n">
        <v>293482</v>
      </c>
      <c r="P17" s="30" t="n">
        <v>231582</v>
      </c>
      <c r="Q17" s="30" t="n">
        <v>1108787</v>
      </c>
      <c r="R17" s="30" t="n">
        <v>422310</v>
      </c>
      <c r="S17" s="30" t="n">
        <v>28859</v>
      </c>
      <c r="T17" s="30" t="n">
        <v>853486</v>
      </c>
      <c r="U17" s="30" t="n">
        <v>93548</v>
      </c>
      <c r="V17" s="30" t="n">
        <v>1607285</v>
      </c>
      <c r="W17" s="30">
        <f>SUM(C17:V17)</f>
        <v/>
      </c>
      <c r="X17" s="30" t="n">
        <v>0</v>
      </c>
      <c r="Y17" s="30" t="n">
        <v>0</v>
      </c>
      <c r="Z17" s="30" t="n">
        <v>887257188</v>
      </c>
      <c r="AA17" s="30" t="n">
        <v>0</v>
      </c>
      <c r="AB17" s="30">
        <f>SUM(X17:AA17)</f>
        <v/>
      </c>
      <c r="AC17" s="30">
        <f>W17+AB17</f>
        <v/>
      </c>
    </row>
    <row r="18">
      <c r="A18" s="27" t="inlineStr">
        <is>
          <t>31-33</t>
        </is>
      </c>
      <c r="B18" s="27" t="inlineStr">
        <is>
          <t>Industrias manufactureras</t>
        </is>
      </c>
      <c r="C18" s="28" t="n">
        <v>64290386</v>
      </c>
      <c r="D18" s="28" t="n">
        <v>39284704</v>
      </c>
      <c r="E18" s="28" t="n">
        <v>59910263</v>
      </c>
      <c r="F18" s="28" t="n">
        <v>259846358</v>
      </c>
      <c r="G18" s="28" t="n">
        <v>1566199154</v>
      </c>
      <c r="H18" s="28" t="n">
        <v>112557714</v>
      </c>
      <c r="I18" s="28" t="n">
        <v>117065838</v>
      </c>
      <c r="J18" s="28" t="n">
        <v>4652312</v>
      </c>
      <c r="K18" s="28" t="n">
        <v>26734290</v>
      </c>
      <c r="L18" s="28" t="n">
        <v>6214222</v>
      </c>
      <c r="M18" s="28" t="n">
        <v>20706123</v>
      </c>
      <c r="N18" s="28" t="n">
        <v>37338473</v>
      </c>
      <c r="O18" s="28" t="n">
        <v>1199565</v>
      </c>
      <c r="P18" s="28" t="n">
        <v>18938931</v>
      </c>
      <c r="Q18" s="28" t="n">
        <v>6582785</v>
      </c>
      <c r="R18" s="28" t="n">
        <v>32813018</v>
      </c>
      <c r="S18" s="28" t="n">
        <v>3588960</v>
      </c>
      <c r="T18" s="28" t="n">
        <v>20651187</v>
      </c>
      <c r="U18" s="28" t="n">
        <v>34761552</v>
      </c>
      <c r="V18" s="28" t="n">
        <v>20745267</v>
      </c>
      <c r="W18" s="28">
        <f>SUM(C18:V18)</f>
        <v/>
      </c>
      <c r="X18" s="28" t="n">
        <v>0</v>
      </c>
      <c r="Y18" s="28" t="n">
        <v>0</v>
      </c>
      <c r="Z18" s="28" t="n">
        <v>1605345533</v>
      </c>
      <c r="AA18" s="28" t="n">
        <v>0</v>
      </c>
      <c r="AB18" s="28">
        <f>SUM(X18:AA18)</f>
        <v/>
      </c>
      <c r="AC18" s="28">
        <f>W18+AB18</f>
        <v/>
      </c>
    </row>
    <row r="19">
      <c r="A19" s="29" t="inlineStr">
        <is>
          <t>43-46</t>
        </is>
      </c>
      <c r="B19" s="29" t="inlineStr">
        <is>
          <t>Comercio</t>
        </is>
      </c>
      <c r="C19" s="30" t="n">
        <v>22587553</v>
      </c>
      <c r="D19" s="30" t="n">
        <v>12130118</v>
      </c>
      <c r="E19" s="30" t="n">
        <v>20023361</v>
      </c>
      <c r="F19" s="30" t="n">
        <v>65355295</v>
      </c>
      <c r="G19" s="30" t="n">
        <v>286675302</v>
      </c>
      <c r="H19" s="30" t="n">
        <v>28747650</v>
      </c>
      <c r="I19" s="30" t="n">
        <v>33475782</v>
      </c>
      <c r="J19" s="30" t="n">
        <v>1189923</v>
      </c>
      <c r="K19" s="30" t="n">
        <v>6765024</v>
      </c>
      <c r="L19" s="30" t="n">
        <v>1815393</v>
      </c>
      <c r="M19" s="30" t="n">
        <v>5796449</v>
      </c>
      <c r="N19" s="30" t="n">
        <v>10283343</v>
      </c>
      <c r="O19" s="30" t="n">
        <v>291043</v>
      </c>
      <c r="P19" s="30" t="n">
        <v>4517652</v>
      </c>
      <c r="Q19" s="30" t="n">
        <v>2196342</v>
      </c>
      <c r="R19" s="30" t="n">
        <v>8749160</v>
      </c>
      <c r="S19" s="30" t="n">
        <v>975872</v>
      </c>
      <c r="T19" s="30" t="n">
        <v>6116306</v>
      </c>
      <c r="U19" s="30" t="n">
        <v>8300783</v>
      </c>
      <c r="V19" s="30" t="n">
        <v>5804204</v>
      </c>
      <c r="W19" s="30">
        <f>SUM(C19:V19)</f>
        <v/>
      </c>
      <c r="X19" s="30" t="n">
        <v>0</v>
      </c>
      <c r="Y19" s="30" t="n">
        <v>0</v>
      </c>
      <c r="Z19" s="30" t="n">
        <v>929600787</v>
      </c>
      <c r="AA19" s="30" t="n">
        <v>0</v>
      </c>
      <c r="AB19" s="30">
        <f>SUM(X19:AA19)</f>
        <v/>
      </c>
      <c r="AC19" s="30">
        <f>W19+AB19</f>
        <v/>
      </c>
    </row>
    <row r="20">
      <c r="A20" s="27" t="inlineStr">
        <is>
          <t>48</t>
        </is>
      </c>
      <c r="B20" s="27" t="inlineStr">
        <is>
          <t>Transportes</t>
        </is>
      </c>
      <c r="C20" s="28" t="n">
        <v>8656254</v>
      </c>
      <c r="D20" s="28" t="n">
        <v>6155767</v>
      </c>
      <c r="E20" s="28" t="n">
        <v>9498466</v>
      </c>
      <c r="F20" s="28" t="n">
        <v>23639085</v>
      </c>
      <c r="G20" s="28" t="n">
        <v>103806216</v>
      </c>
      <c r="H20" s="28" t="n">
        <v>9589520</v>
      </c>
      <c r="I20" s="28" t="n">
        <v>21983642</v>
      </c>
      <c r="J20" s="28" t="n">
        <v>500936</v>
      </c>
      <c r="K20" s="28" t="n">
        <v>7333631</v>
      </c>
      <c r="L20" s="28" t="n">
        <v>1751793</v>
      </c>
      <c r="M20" s="28" t="n">
        <v>2789805</v>
      </c>
      <c r="N20" s="28" t="n">
        <v>5391401</v>
      </c>
      <c r="O20" s="28" t="n">
        <v>761736</v>
      </c>
      <c r="P20" s="28" t="n">
        <v>2258451</v>
      </c>
      <c r="Q20" s="28" t="n">
        <v>1276366</v>
      </c>
      <c r="R20" s="28" t="n">
        <v>3079371</v>
      </c>
      <c r="S20" s="28" t="n">
        <v>418633</v>
      </c>
      <c r="T20" s="28" t="n">
        <v>2706197</v>
      </c>
      <c r="U20" s="28" t="n">
        <v>3288322</v>
      </c>
      <c r="V20" s="28" t="n">
        <v>4879213</v>
      </c>
      <c r="W20" s="28">
        <f>SUM(C20:V20)</f>
        <v/>
      </c>
      <c r="X20" s="28" t="n">
        <v>0</v>
      </c>
      <c r="Y20" s="28" t="n">
        <v>0</v>
      </c>
      <c r="Z20" s="28" t="n">
        <v>596959367</v>
      </c>
      <c r="AA20" s="28" t="n">
        <v>0</v>
      </c>
      <c r="AB20" s="28">
        <f>SUM(X20:AA20)</f>
        <v/>
      </c>
      <c r="AC20" s="28">
        <f>W20+AB20</f>
        <v/>
      </c>
    </row>
    <row r="21">
      <c r="A21" s="29" t="inlineStr">
        <is>
          <t>49</t>
        </is>
      </c>
      <c r="B21" s="29" t="inlineStr">
        <is>
          <t>Correos y almacenamiento</t>
        </is>
      </c>
      <c r="C21" s="30" t="n">
        <v>13898</v>
      </c>
      <c r="D21" s="30" t="n">
        <v>20545</v>
      </c>
      <c r="E21" s="30" t="n">
        <v>24709</v>
      </c>
      <c r="F21" s="30" t="n">
        <v>144136</v>
      </c>
      <c r="G21" s="30" t="n">
        <v>342000</v>
      </c>
      <c r="H21" s="30" t="n">
        <v>3321737</v>
      </c>
      <c r="I21" s="30" t="n">
        <v>1459940</v>
      </c>
      <c r="J21" s="30" t="n">
        <v>48089</v>
      </c>
      <c r="K21" s="30" t="n">
        <v>22215</v>
      </c>
      <c r="L21" s="30" t="n">
        <v>2299929</v>
      </c>
      <c r="M21" s="30" t="n">
        <v>183861</v>
      </c>
      <c r="N21" s="30" t="n">
        <v>210276</v>
      </c>
      <c r="O21" s="30" t="n">
        <v>31986</v>
      </c>
      <c r="P21" s="30" t="n">
        <v>39055</v>
      </c>
      <c r="Q21" s="30" t="n">
        <v>252586</v>
      </c>
      <c r="R21" s="30" t="n">
        <v>117085</v>
      </c>
      <c r="S21" s="30" t="n">
        <v>48521</v>
      </c>
      <c r="T21" s="30" t="n">
        <v>49724</v>
      </c>
      <c r="U21" s="30" t="n">
        <v>34960</v>
      </c>
      <c r="V21" s="30" t="n">
        <v>2531384</v>
      </c>
      <c r="W21" s="30">
        <f>SUM(C21:V21)</f>
        <v/>
      </c>
      <c r="X21" s="30" t="n">
        <v>0</v>
      </c>
      <c r="Y21" s="30" t="n">
        <v>0</v>
      </c>
      <c r="Z21" s="30" t="n">
        <v>8584217</v>
      </c>
      <c r="AA21" s="30" t="n">
        <v>0</v>
      </c>
      <c r="AB21" s="30">
        <f>SUM(X21:AA21)</f>
        <v/>
      </c>
      <c r="AC21" s="30">
        <f>W21+AB21</f>
        <v/>
      </c>
    </row>
    <row r="22">
      <c r="A22" s="27" t="inlineStr">
        <is>
          <t>51</t>
        </is>
      </c>
      <c r="B22" s="27" t="inlineStr">
        <is>
          <t>Información en medios masivos</t>
        </is>
      </c>
      <c r="C22" s="28" t="n">
        <v>1385547</v>
      </c>
      <c r="D22" s="28" t="n">
        <v>1242217</v>
      </c>
      <c r="E22" s="28" t="n">
        <v>942115</v>
      </c>
      <c r="F22" s="28" t="n">
        <v>5862350</v>
      </c>
      <c r="G22" s="28" t="n">
        <v>23449654</v>
      </c>
      <c r="H22" s="28" t="n">
        <v>20294570</v>
      </c>
      <c r="I22" s="28" t="n">
        <v>6347599</v>
      </c>
      <c r="J22" s="28" t="n">
        <v>530872</v>
      </c>
      <c r="K22" s="28" t="n">
        <v>21854238</v>
      </c>
      <c r="L22" s="28" t="n">
        <v>7549004</v>
      </c>
      <c r="M22" s="28" t="n">
        <v>7817394</v>
      </c>
      <c r="N22" s="28" t="n">
        <v>10946276</v>
      </c>
      <c r="O22" s="28" t="n">
        <v>1526962</v>
      </c>
      <c r="P22" s="28" t="n">
        <v>4173957</v>
      </c>
      <c r="Q22" s="28" t="n">
        <v>8081111</v>
      </c>
      <c r="R22" s="28" t="n">
        <v>2565583</v>
      </c>
      <c r="S22" s="28" t="n">
        <v>1042380</v>
      </c>
      <c r="T22" s="28" t="n">
        <v>4944201</v>
      </c>
      <c r="U22" s="28" t="n">
        <v>5867040</v>
      </c>
      <c r="V22" s="28" t="n">
        <v>7826681</v>
      </c>
      <c r="W22" s="28">
        <f>SUM(C22:V22)</f>
        <v/>
      </c>
      <c r="X22" s="28" t="n">
        <v>0</v>
      </c>
      <c r="Y22" s="28" t="n">
        <v>0</v>
      </c>
      <c r="Z22" s="28" t="n">
        <v>169717880</v>
      </c>
      <c r="AA22" s="28" t="n">
        <v>0</v>
      </c>
      <c r="AB22" s="28">
        <f>SUM(X22:AA22)</f>
        <v/>
      </c>
      <c r="AC22" s="28">
        <f>W22+AB22</f>
        <v/>
      </c>
    </row>
    <row r="23">
      <c r="A23" s="29" t="inlineStr">
        <is>
          <t>52</t>
        </is>
      </c>
      <c r="B23" s="29" t="inlineStr">
        <is>
          <t>Servicios financieros y de seguros</t>
        </is>
      </c>
      <c r="C23" s="30" t="n">
        <v>5313653</v>
      </c>
      <c r="D23" s="30" t="n">
        <v>15354551</v>
      </c>
      <c r="E23" s="30" t="n">
        <v>4266290</v>
      </c>
      <c r="F23" s="30" t="n">
        <v>7602933</v>
      </c>
      <c r="G23" s="30" t="n">
        <v>22948996</v>
      </c>
      <c r="H23" s="30" t="n">
        <v>43849141</v>
      </c>
      <c r="I23" s="30" t="n">
        <v>24144486</v>
      </c>
      <c r="J23" s="30" t="n">
        <v>245288</v>
      </c>
      <c r="K23" s="30" t="n">
        <v>6422970</v>
      </c>
      <c r="L23" s="30" t="n">
        <v>39189297</v>
      </c>
      <c r="M23" s="30" t="n">
        <v>3720325</v>
      </c>
      <c r="N23" s="30" t="n">
        <v>1772776</v>
      </c>
      <c r="O23" s="30" t="n">
        <v>3175483</v>
      </c>
      <c r="P23" s="30" t="n">
        <v>1010079</v>
      </c>
      <c r="Q23" s="30" t="n">
        <v>716089</v>
      </c>
      <c r="R23" s="30" t="n">
        <v>431481</v>
      </c>
      <c r="S23" s="30" t="n">
        <v>403627</v>
      </c>
      <c r="T23" s="30" t="n">
        <v>4950077</v>
      </c>
      <c r="U23" s="30" t="n">
        <v>1982688</v>
      </c>
      <c r="V23" s="30" t="n">
        <v>8527212</v>
      </c>
      <c r="W23" s="30">
        <f>SUM(C23:V23)</f>
        <v/>
      </c>
      <c r="X23" s="30" t="n">
        <v>0</v>
      </c>
      <c r="Y23" s="30" t="n">
        <v>0</v>
      </c>
      <c r="Z23" s="30" t="n">
        <v>111983348</v>
      </c>
      <c r="AA23" s="30" t="n">
        <v>0</v>
      </c>
      <c r="AB23" s="30">
        <f>SUM(X23:AA23)</f>
        <v/>
      </c>
      <c r="AC23" s="30">
        <f>W23+AB23</f>
        <v/>
      </c>
    </row>
    <row r="24">
      <c r="A24" s="27" t="inlineStr">
        <is>
          <t>53</t>
        </is>
      </c>
      <c r="B24" s="27" t="inlineStr">
        <is>
          <t>Servicios inmobiliarios y de alquiler de bienes muebles e intangibles</t>
        </is>
      </c>
      <c r="C24" s="28" t="n">
        <v>1030466</v>
      </c>
      <c r="D24" s="28" t="n">
        <v>9749663</v>
      </c>
      <c r="E24" s="28" t="n">
        <v>1109374</v>
      </c>
      <c r="F24" s="28" t="n">
        <v>13176425</v>
      </c>
      <c r="G24" s="28" t="n">
        <v>43315225</v>
      </c>
      <c r="H24" s="28" t="n">
        <v>46190181</v>
      </c>
      <c r="I24" s="28" t="n">
        <v>15047219</v>
      </c>
      <c r="J24" s="28" t="n">
        <v>1294193</v>
      </c>
      <c r="K24" s="28" t="n">
        <v>12039452</v>
      </c>
      <c r="L24" s="28" t="n">
        <v>10191016</v>
      </c>
      <c r="M24" s="28" t="n">
        <v>9682073</v>
      </c>
      <c r="N24" s="28" t="n">
        <v>13682392</v>
      </c>
      <c r="O24" s="28" t="n">
        <v>1103736</v>
      </c>
      <c r="P24" s="28" t="n">
        <v>3641681</v>
      </c>
      <c r="Q24" s="28" t="n">
        <v>5418057</v>
      </c>
      <c r="R24" s="28" t="n">
        <v>4671640</v>
      </c>
      <c r="S24" s="28" t="n">
        <v>1343101</v>
      </c>
      <c r="T24" s="28" t="n">
        <v>9890603</v>
      </c>
      <c r="U24" s="28" t="n">
        <v>6166833</v>
      </c>
      <c r="V24" s="28" t="n">
        <v>5407725</v>
      </c>
      <c r="W24" s="28">
        <f>SUM(C24:V24)</f>
        <v/>
      </c>
      <c r="X24" s="28" t="n">
        <v>0</v>
      </c>
      <c r="Y24" s="28" t="n">
        <v>0</v>
      </c>
      <c r="Z24" s="28" t="n">
        <v>673168314</v>
      </c>
      <c r="AA24" s="28" t="n">
        <v>0</v>
      </c>
      <c r="AB24" s="28">
        <f>SUM(X24:AA24)</f>
        <v/>
      </c>
      <c r="AC24" s="28">
        <f>W24+AB24</f>
        <v/>
      </c>
    </row>
    <row r="25">
      <c r="A25" s="29" t="inlineStr">
        <is>
          <t>54</t>
        </is>
      </c>
      <c r="B25" s="29" t="inlineStr">
        <is>
          <t>Servicios profesionales, científicos y técnicos</t>
        </is>
      </c>
      <c r="C25" s="30" t="n">
        <v>5572230</v>
      </c>
      <c r="D25" s="30" t="n">
        <v>4104632</v>
      </c>
      <c r="E25" s="30" t="n">
        <v>3159431</v>
      </c>
      <c r="F25" s="30" t="n">
        <v>18910959</v>
      </c>
      <c r="G25" s="30" t="n">
        <v>55752750</v>
      </c>
      <c r="H25" s="30" t="n">
        <v>76340150</v>
      </c>
      <c r="I25" s="30" t="n">
        <v>16400335</v>
      </c>
      <c r="J25" s="30" t="n">
        <v>650863</v>
      </c>
      <c r="K25" s="30" t="n">
        <v>9475353</v>
      </c>
      <c r="L25" s="30" t="n">
        <v>23389599</v>
      </c>
      <c r="M25" s="30" t="n">
        <v>4294527</v>
      </c>
      <c r="N25" s="30" t="n">
        <v>15713162</v>
      </c>
      <c r="O25" s="30" t="n">
        <v>8187232</v>
      </c>
      <c r="P25" s="30" t="n">
        <v>7712177</v>
      </c>
      <c r="Q25" s="30" t="n">
        <v>7476409</v>
      </c>
      <c r="R25" s="30" t="n">
        <v>2866832</v>
      </c>
      <c r="S25" s="30" t="n">
        <v>1076497</v>
      </c>
      <c r="T25" s="30" t="n">
        <v>3927081</v>
      </c>
      <c r="U25" s="30" t="n">
        <v>3843277</v>
      </c>
      <c r="V25" s="30" t="n">
        <v>11867793</v>
      </c>
      <c r="W25" s="30">
        <f>SUM(C25:V25)</f>
        <v/>
      </c>
      <c r="X25" s="30" t="n">
        <v>0</v>
      </c>
      <c r="Y25" s="30" t="n">
        <v>0</v>
      </c>
      <c r="Z25" s="30" t="n">
        <v>110189483</v>
      </c>
      <c r="AA25" s="30" t="n">
        <v>0</v>
      </c>
      <c r="AB25" s="30">
        <f>SUM(X25:AA25)</f>
        <v/>
      </c>
      <c r="AC25" s="30">
        <f>W25+AB25</f>
        <v/>
      </c>
    </row>
    <row r="26">
      <c r="A26" s="27" t="inlineStr">
        <is>
          <t>55</t>
        </is>
      </c>
      <c r="B26" s="27" t="inlineStr">
        <is>
          <t>Dirección de corporativos y empresas</t>
        </is>
      </c>
      <c r="C26" s="28" t="n">
        <v>0</v>
      </c>
      <c r="D26" s="28" t="n">
        <v>5191917</v>
      </c>
      <c r="E26" s="28" t="n">
        <v>0</v>
      </c>
      <c r="F26" s="28" t="n">
        <v>101263</v>
      </c>
      <c r="G26" s="28" t="n">
        <v>15636558</v>
      </c>
      <c r="H26" s="28" t="n">
        <v>581681</v>
      </c>
      <c r="I26" s="28" t="n">
        <v>266752</v>
      </c>
      <c r="J26" s="28" t="n">
        <v>0</v>
      </c>
      <c r="K26" s="28" t="n">
        <v>18627991</v>
      </c>
      <c r="L26" s="28" t="n">
        <v>45475</v>
      </c>
      <c r="M26" s="28" t="n">
        <v>15202</v>
      </c>
      <c r="N26" s="28" t="n">
        <v>0</v>
      </c>
      <c r="O26" s="28" t="n">
        <v>888523</v>
      </c>
      <c r="P26" s="28" t="n">
        <v>1024</v>
      </c>
      <c r="Q26" s="28" t="n">
        <v>0</v>
      </c>
      <c r="R26" s="28" t="n">
        <v>0</v>
      </c>
      <c r="S26" s="28" t="n">
        <v>0</v>
      </c>
      <c r="T26" s="28" t="n">
        <v>0</v>
      </c>
      <c r="U26" s="28" t="n">
        <v>1656</v>
      </c>
      <c r="V26" s="28" t="n">
        <v>0</v>
      </c>
      <c r="W26" s="28">
        <f>SUM(C26:V26)</f>
        <v/>
      </c>
      <c r="X26" s="28" t="n">
        <v>0</v>
      </c>
      <c r="Y26" s="28" t="n">
        <v>0</v>
      </c>
      <c r="Z26" s="28" t="n">
        <v>0</v>
      </c>
      <c r="AA26" s="28" t="n">
        <v>0</v>
      </c>
      <c r="AB26" s="28">
        <f>SUM(X26:AA26)</f>
        <v/>
      </c>
      <c r="AC26" s="28">
        <f>W26+AB26</f>
        <v/>
      </c>
    </row>
    <row r="27">
      <c r="A27" s="29" t="inlineStr">
        <is>
          <t>56</t>
        </is>
      </c>
      <c r="B27" s="29" t="inlineStr">
        <is>
          <t>Servicios de apoyo a los negocios y manejo de desechos y servicios de remediación</t>
        </is>
      </c>
      <c r="C27" s="30" t="n">
        <v>5900</v>
      </c>
      <c r="D27" s="30" t="n">
        <v>1875404</v>
      </c>
      <c r="E27" s="30" t="n">
        <v>2691184</v>
      </c>
      <c r="F27" s="30" t="n">
        <v>8461440</v>
      </c>
      <c r="G27" s="30" t="n">
        <v>53308191</v>
      </c>
      <c r="H27" s="30" t="n">
        <v>10510634</v>
      </c>
      <c r="I27" s="30" t="n">
        <v>16613327</v>
      </c>
      <c r="J27" s="30" t="n">
        <v>765885</v>
      </c>
      <c r="K27" s="30" t="n">
        <v>7606651</v>
      </c>
      <c r="L27" s="30" t="n">
        <v>24242286</v>
      </c>
      <c r="M27" s="30" t="n">
        <v>15418153</v>
      </c>
      <c r="N27" s="30" t="n">
        <v>9730947</v>
      </c>
      <c r="O27" s="30" t="n">
        <v>516792</v>
      </c>
      <c r="P27" s="30" t="n">
        <v>5640691</v>
      </c>
      <c r="Q27" s="30" t="n">
        <v>4995270</v>
      </c>
      <c r="R27" s="30" t="n">
        <v>8573306</v>
      </c>
      <c r="S27" s="30" t="n">
        <v>1829179</v>
      </c>
      <c r="T27" s="30" t="n">
        <v>9098006</v>
      </c>
      <c r="U27" s="30" t="n">
        <v>2937208</v>
      </c>
      <c r="V27" s="30" t="n">
        <v>12472618</v>
      </c>
      <c r="W27" s="30">
        <f>SUM(C27:V27)</f>
        <v/>
      </c>
      <c r="X27" s="30" t="n">
        <v>0</v>
      </c>
      <c r="Y27" s="30" t="n">
        <v>0</v>
      </c>
      <c r="Z27" s="30" t="n">
        <v>23965976</v>
      </c>
      <c r="AA27" s="30" t="n">
        <v>0</v>
      </c>
      <c r="AB27" s="30">
        <f>SUM(X27:AA27)</f>
        <v/>
      </c>
      <c r="AC27" s="30">
        <f>W27+AB27</f>
        <v/>
      </c>
    </row>
    <row r="28">
      <c r="A28" s="27" t="inlineStr">
        <is>
          <t>61</t>
        </is>
      </c>
      <c r="B28" s="27" t="inlineStr">
        <is>
          <t>Servicios educativos</t>
        </is>
      </c>
      <c r="C28" s="28" t="n">
        <v>0</v>
      </c>
      <c r="D28" s="28" t="n">
        <v>0</v>
      </c>
      <c r="E28" s="28" t="n">
        <v>107579</v>
      </c>
      <c r="F28" s="28" t="n">
        <v>5720</v>
      </c>
      <c r="G28" s="28" t="n">
        <v>3866</v>
      </c>
      <c r="H28" s="28" t="n">
        <v>0</v>
      </c>
      <c r="I28" s="28" t="n">
        <v>275583</v>
      </c>
      <c r="J28" s="28" t="n">
        <v>2023</v>
      </c>
      <c r="K28" s="28" t="n">
        <v>16681</v>
      </c>
      <c r="L28" s="28" t="n">
        <v>815062</v>
      </c>
      <c r="M28" s="28" t="n">
        <v>1815</v>
      </c>
      <c r="N28" s="28" t="n">
        <v>212008</v>
      </c>
      <c r="O28" s="28" t="n">
        <v>0</v>
      </c>
      <c r="P28" s="28" t="n">
        <v>0</v>
      </c>
      <c r="Q28" s="28" t="n">
        <v>607911</v>
      </c>
      <c r="R28" s="28" t="n">
        <v>235862</v>
      </c>
      <c r="S28" s="28" t="n">
        <v>8631</v>
      </c>
      <c r="T28" s="28" t="n">
        <v>393</v>
      </c>
      <c r="U28" s="28" t="n">
        <v>21</v>
      </c>
      <c r="V28" s="28" t="n">
        <v>3724631</v>
      </c>
      <c r="W28" s="28">
        <f>SUM(C28:V28)</f>
        <v/>
      </c>
      <c r="X28" s="28" t="n">
        <v>0</v>
      </c>
      <c r="Y28" s="28" t="n">
        <v>0</v>
      </c>
      <c r="Z28" s="28" t="n">
        <v>410347890</v>
      </c>
      <c r="AA28" s="28" t="n">
        <v>0</v>
      </c>
      <c r="AB28" s="28">
        <f>SUM(X28:AA28)</f>
        <v/>
      </c>
      <c r="AC28" s="28">
        <f>W28+AB28</f>
        <v/>
      </c>
    </row>
    <row r="29">
      <c r="A29" s="29" t="inlineStr">
        <is>
          <t>62</t>
        </is>
      </c>
      <c r="B29" s="29" t="inlineStr">
        <is>
          <t>Servicios de salud y de asistencia social</t>
        </is>
      </c>
      <c r="C29" s="30" t="n">
        <v>0</v>
      </c>
      <c r="D29" s="30" t="n">
        <v>0</v>
      </c>
      <c r="E29" s="30" t="n">
        <v>0</v>
      </c>
      <c r="F29" s="30" t="n">
        <v>0</v>
      </c>
      <c r="G29" s="30" t="n">
        <v>0</v>
      </c>
      <c r="H29" s="30" t="n">
        <v>0</v>
      </c>
      <c r="I29" s="30" t="n">
        <v>0</v>
      </c>
      <c r="J29" s="30" t="n">
        <v>0</v>
      </c>
      <c r="K29" s="30" t="n">
        <v>0</v>
      </c>
      <c r="L29" s="30" t="n">
        <v>0</v>
      </c>
      <c r="M29" s="30" t="n">
        <v>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>
        <f>SUM(C29:V29)</f>
        <v/>
      </c>
      <c r="X29" s="30" t="n">
        <v>0</v>
      </c>
      <c r="Y29" s="30" t="n">
        <v>0</v>
      </c>
      <c r="Z29" s="30" t="n">
        <v>293306066</v>
      </c>
      <c r="AA29" s="30" t="n">
        <v>0</v>
      </c>
      <c r="AB29" s="30">
        <f>SUM(X29:AA29)</f>
        <v/>
      </c>
      <c r="AC29" s="30">
        <f>W29+AB29</f>
        <v/>
      </c>
    </row>
    <row r="30">
      <c r="A30" s="27" t="inlineStr">
        <is>
          <t>71</t>
        </is>
      </c>
      <c r="B30" s="27" t="inlineStr">
        <is>
          <t>Servicios de esparcimiento culturales y deportivos, y otros servicios recreativos</t>
        </is>
      </c>
      <c r="C30" s="28" t="n">
        <v>0</v>
      </c>
      <c r="D30" s="28" t="n">
        <v>0</v>
      </c>
      <c r="E30" s="28" t="n">
        <v>0</v>
      </c>
      <c r="F30" s="28" t="n">
        <v>424</v>
      </c>
      <c r="G30" s="28" t="n">
        <v>12118</v>
      </c>
      <c r="H30" s="28" t="n">
        <v>0</v>
      </c>
      <c r="I30" s="28" t="n">
        <v>6156</v>
      </c>
      <c r="J30" s="28" t="n">
        <v>15</v>
      </c>
      <c r="K30" s="28" t="n">
        <v>299022</v>
      </c>
      <c r="L30" s="28" t="n">
        <v>16</v>
      </c>
      <c r="M30" s="28" t="n">
        <v>3085</v>
      </c>
      <c r="N30" s="28" t="n">
        <v>2241</v>
      </c>
      <c r="O30" s="28" t="n">
        <v>30</v>
      </c>
      <c r="P30" s="28" t="n">
        <v>2293</v>
      </c>
      <c r="Q30" s="28" t="n">
        <v>57117</v>
      </c>
      <c r="R30" s="28" t="n">
        <v>1279</v>
      </c>
      <c r="S30" s="28" t="n">
        <v>12370</v>
      </c>
      <c r="T30" s="28" t="n">
        <v>23083</v>
      </c>
      <c r="U30" s="28" t="n">
        <v>409</v>
      </c>
      <c r="V30" s="28" t="n">
        <v>1103931</v>
      </c>
      <c r="W30" s="28">
        <f>SUM(C30:V30)</f>
        <v/>
      </c>
      <c r="X30" s="28" t="n">
        <v>0</v>
      </c>
      <c r="Y30" s="28" t="n">
        <v>0</v>
      </c>
      <c r="Z30" s="28" t="n">
        <v>39487725</v>
      </c>
      <c r="AA30" s="28" t="n">
        <v>0</v>
      </c>
      <c r="AB30" s="28">
        <f>SUM(X30:AA30)</f>
        <v/>
      </c>
      <c r="AC30" s="28">
        <f>W30+AB30</f>
        <v/>
      </c>
    </row>
    <row r="31">
      <c r="A31" s="29" t="inlineStr">
        <is>
          <t>72</t>
        </is>
      </c>
      <c r="B31" s="29" t="inlineStr">
        <is>
          <t>Servicios de alojamiento temporal y de preparación de alimentos y bebidas</t>
        </is>
      </c>
      <c r="C31" s="30" t="n">
        <v>39658</v>
      </c>
      <c r="D31" s="30" t="n">
        <v>1107602</v>
      </c>
      <c r="E31" s="30" t="n">
        <v>659950</v>
      </c>
      <c r="F31" s="30" t="n">
        <v>2837940</v>
      </c>
      <c r="G31" s="30" t="n">
        <v>12620499</v>
      </c>
      <c r="H31" s="30" t="n">
        <v>77429</v>
      </c>
      <c r="I31" s="30" t="n">
        <v>4668378</v>
      </c>
      <c r="J31" s="30" t="n">
        <v>86658</v>
      </c>
      <c r="K31" s="30" t="n">
        <v>398578</v>
      </c>
      <c r="L31" s="30" t="n">
        <v>1390741</v>
      </c>
      <c r="M31" s="30" t="n">
        <v>304245</v>
      </c>
      <c r="N31" s="30" t="n">
        <v>2005404</v>
      </c>
      <c r="O31" s="30" t="n">
        <v>955714</v>
      </c>
      <c r="P31" s="30" t="n">
        <v>935229</v>
      </c>
      <c r="Q31" s="30" t="n">
        <v>890734</v>
      </c>
      <c r="R31" s="30" t="n">
        <v>893348</v>
      </c>
      <c r="S31" s="30" t="n">
        <v>82128</v>
      </c>
      <c r="T31" s="30" t="n">
        <v>134386</v>
      </c>
      <c r="U31" s="30" t="n">
        <v>247540</v>
      </c>
      <c r="V31" s="30" t="n">
        <v>5127096</v>
      </c>
      <c r="W31" s="30">
        <f>SUM(C31:V31)</f>
        <v/>
      </c>
      <c r="X31" s="30" t="n">
        <v>0</v>
      </c>
      <c r="Y31" s="30" t="n">
        <v>0</v>
      </c>
      <c r="Z31" s="30" t="n">
        <v>244482929</v>
      </c>
      <c r="AA31" s="30" t="n">
        <v>0</v>
      </c>
      <c r="AB31" s="30">
        <f>SUM(X31:AA31)</f>
        <v/>
      </c>
      <c r="AC31" s="30">
        <f>W31+AB31</f>
        <v/>
      </c>
    </row>
    <row r="32">
      <c r="A32" s="27" t="inlineStr">
        <is>
          <t>81</t>
        </is>
      </c>
      <c r="B32" s="27" t="inlineStr">
        <is>
          <t>Otros servicios excepto actividades del Gobierno</t>
        </is>
      </c>
      <c r="C32" s="28" t="n">
        <v>1401338</v>
      </c>
      <c r="D32" s="28" t="n">
        <v>2795361</v>
      </c>
      <c r="E32" s="28" t="n">
        <v>2367770</v>
      </c>
      <c r="F32" s="28" t="n">
        <v>5130771</v>
      </c>
      <c r="G32" s="28" t="n">
        <v>19960683</v>
      </c>
      <c r="H32" s="28" t="n">
        <v>6478071</v>
      </c>
      <c r="I32" s="28" t="n">
        <v>15345612</v>
      </c>
      <c r="J32" s="28" t="n">
        <v>418613</v>
      </c>
      <c r="K32" s="28" t="n">
        <v>2094827</v>
      </c>
      <c r="L32" s="28" t="n">
        <v>3035222</v>
      </c>
      <c r="M32" s="28" t="n">
        <v>1419646</v>
      </c>
      <c r="N32" s="28" t="n">
        <v>2112206</v>
      </c>
      <c r="O32" s="28" t="n">
        <v>219507</v>
      </c>
      <c r="P32" s="28" t="n">
        <v>471456</v>
      </c>
      <c r="Q32" s="28" t="n">
        <v>867186</v>
      </c>
      <c r="R32" s="28" t="n">
        <v>1790983</v>
      </c>
      <c r="S32" s="28" t="n">
        <v>601253</v>
      </c>
      <c r="T32" s="28" t="n">
        <v>2683878</v>
      </c>
      <c r="U32" s="28" t="n">
        <v>369196</v>
      </c>
      <c r="V32" s="28" t="n">
        <v>5768658</v>
      </c>
      <c r="W32" s="28">
        <f>SUM(C32:V32)</f>
        <v/>
      </c>
      <c r="X32" s="28" t="n">
        <v>0</v>
      </c>
      <c r="Y32" s="28" t="n">
        <v>0</v>
      </c>
      <c r="Z32" s="28" t="n">
        <v>204364802</v>
      </c>
      <c r="AA32" s="28" t="n">
        <v>0</v>
      </c>
      <c r="AB32" s="28">
        <f>SUM(X32:AA32)</f>
        <v/>
      </c>
      <c r="AC32" s="28">
        <f>W32+AB32</f>
        <v/>
      </c>
    </row>
    <row r="33">
      <c r="A33" s="29" t="inlineStr">
        <is>
          <t>93</t>
        </is>
      </c>
      <c r="B33" s="29" t="inlineStr">
        <is>
          <t>Actividades del Gobierno y de organismos internacionales y extraterritoriales</t>
        </is>
      </c>
      <c r="C33" s="30" t="n">
        <v>239</v>
      </c>
      <c r="D33" s="30" t="n">
        <v>31</v>
      </c>
      <c r="E33" s="30" t="n">
        <v>1277835</v>
      </c>
      <c r="F33" s="30" t="n">
        <v>30524</v>
      </c>
      <c r="G33" s="30" t="n">
        <v>137</v>
      </c>
      <c r="H33" s="30" t="n">
        <v>0</v>
      </c>
      <c r="I33" s="30" t="n">
        <v>3222025</v>
      </c>
      <c r="J33" s="30" t="n">
        <v>19134</v>
      </c>
      <c r="K33" s="30" t="n">
        <v>0</v>
      </c>
      <c r="L33" s="30" t="n">
        <v>1199264</v>
      </c>
      <c r="M33" s="30" t="n">
        <v>6542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</v>
      </c>
      <c r="U33" s="30" t="n">
        <v>3086</v>
      </c>
      <c r="V33" s="30" t="n">
        <v>0</v>
      </c>
      <c r="W33" s="30">
        <f>SUM(C33:V33)</f>
        <v/>
      </c>
      <c r="X33" s="30" t="n">
        <v>0</v>
      </c>
      <c r="Y33" s="30" t="n">
        <v>0</v>
      </c>
      <c r="Z33" s="30" t="n">
        <v>416928743</v>
      </c>
      <c r="AA33" s="30" t="n">
        <v>0</v>
      </c>
      <c r="AB33" s="30">
        <f>SUM(X33:AA33)</f>
        <v/>
      </c>
      <c r="AC33" s="30">
        <f>W33+AB33</f>
        <v/>
      </c>
    </row>
    <row r="34">
      <c r="B34" s="31" t="inlineStr">
        <is>
          <t>Total consumo intermedio</t>
        </is>
      </c>
      <c r="C34" s="32">
        <f>SUM(C14:C33)</f>
        <v/>
      </c>
      <c r="D34" s="32">
        <f>SUM(D14:D33)</f>
        <v/>
      </c>
      <c r="E34" s="32">
        <f>SUM(E14:E33)</f>
        <v/>
      </c>
      <c r="F34" s="32">
        <f>SUM(F14:F33)</f>
        <v/>
      </c>
      <c r="G34" s="32">
        <f>SUM(G14:G33)</f>
        <v/>
      </c>
      <c r="H34" s="32">
        <f>SUM(H14:H33)</f>
        <v/>
      </c>
      <c r="I34" s="32">
        <f>SUM(I14:I33)</f>
        <v/>
      </c>
      <c r="J34" s="32">
        <f>SUM(J14:J33)</f>
        <v/>
      </c>
      <c r="K34" s="32">
        <f>SUM(K14:K33)</f>
        <v/>
      </c>
      <c r="L34" s="32">
        <f>SUM(L14:L33)</f>
        <v/>
      </c>
      <c r="M34" s="32">
        <f>SUM(M14:M33)</f>
        <v/>
      </c>
      <c r="N34" s="32">
        <f>SUM(N14:N33)</f>
        <v/>
      </c>
      <c r="O34" s="32">
        <f>SUM(O14:O33)</f>
        <v/>
      </c>
      <c r="P34" s="32">
        <f>SUM(P14:P33)</f>
        <v/>
      </c>
      <c r="Q34" s="32">
        <f>SUM(Q14:Q33)</f>
        <v/>
      </c>
      <c r="R34" s="32">
        <f>SUM(R14:R33)</f>
        <v/>
      </c>
      <c r="S34" s="32">
        <f>SUM(S14:S33)</f>
        <v/>
      </c>
      <c r="T34" s="32">
        <f>SUM(T14:T33)</f>
        <v/>
      </c>
      <c r="U34" s="32">
        <f>SUM(U14:U33)</f>
        <v/>
      </c>
      <c r="V34" s="32">
        <f>SUM(V14:V33)</f>
        <v/>
      </c>
      <c r="W34" s="32">
        <f>SUM(W14:W33)</f>
        <v/>
      </c>
      <c r="X34" s="32">
        <f>SUM(X14:X33)</f>
        <v/>
      </c>
      <c r="Y34" s="32">
        <f>SUM(Y14:Y33)</f>
        <v/>
      </c>
      <c r="Z34" s="32">
        <f>SUM(Z14:Z33)</f>
        <v/>
      </c>
      <c r="AA34" s="32">
        <f>SUM(AA14:AA33)</f>
        <v/>
      </c>
      <c r="AB34" s="32">
        <f>SUM(AB14:AB33)</f>
        <v/>
      </c>
      <c r="AC34" s="32">
        <f>SUM(AC14:AC33)</f>
        <v/>
      </c>
    </row>
    <row r="35"/>
    <row r="36">
      <c r="B36" s="31" t="inlineStr">
        <is>
          <t>Ajuste intermedio no asignado a matriz</t>
        </is>
      </c>
      <c r="C36" s="32" t="n">
        <v>0</v>
      </c>
      <c r="D36" s="32" t="n">
        <v>0</v>
      </c>
      <c r="E36" s="32" t="n">
        <v>0</v>
      </c>
      <c r="F36" s="32" t="n">
        <v>0</v>
      </c>
      <c r="G36" s="32" t="n">
        <v>0</v>
      </c>
      <c r="H36" s="32" t="n">
        <v>0</v>
      </c>
      <c r="I36" s="32" t="n">
        <v>0</v>
      </c>
      <c r="J36" s="32" t="n">
        <v>0</v>
      </c>
      <c r="K36" s="32" t="n">
        <v>0</v>
      </c>
      <c r="L36" s="32" t="n">
        <v>0</v>
      </c>
      <c r="M36" s="32" t="n">
        <v>0</v>
      </c>
      <c r="N36" s="32" t="n">
        <v>0</v>
      </c>
      <c r="O36" s="32" t="n">
        <v>0</v>
      </c>
      <c r="P36" s="32" t="n">
        <v>0</v>
      </c>
      <c r="Q36" s="32" t="n">
        <v>0</v>
      </c>
      <c r="R36" s="32" t="n">
        <v>0</v>
      </c>
      <c r="S36" s="32" t="n">
        <v>0</v>
      </c>
      <c r="T36" s="32" t="n">
        <v>0</v>
      </c>
      <c r="U36" s="32" t="n">
        <v>0</v>
      </c>
      <c r="V36" s="32" t="n">
        <v>0</v>
      </c>
      <c r="AC36" s="32">
        <f>SUM(C36:V36)</f>
        <v/>
      </c>
    </row>
    <row r="37"/>
    <row r="38">
      <c r="B38" s="31" t="inlineStr">
        <is>
          <t>Valor agregado</t>
        </is>
      </c>
      <c r="C38" s="32" t="n">
        <v>260145687</v>
      </c>
      <c r="D38" s="32" t="n">
        <v>430060779</v>
      </c>
      <c r="E38" s="32" t="n">
        <v>92089369</v>
      </c>
      <c r="F38" s="32" t="n">
        <v>473680479</v>
      </c>
      <c r="G38" s="32" t="n">
        <v>1291292836</v>
      </c>
      <c r="H38" s="32" t="n">
        <v>1086891495</v>
      </c>
      <c r="I38" s="32" t="n">
        <v>521558270</v>
      </c>
      <c r="J38" s="32" t="n">
        <v>8990120</v>
      </c>
      <c r="K38" s="32" t="n">
        <v>191223401</v>
      </c>
      <c r="L38" s="32" t="n">
        <v>183462134</v>
      </c>
      <c r="M38" s="32" t="n">
        <v>804759549</v>
      </c>
      <c r="N38" s="32" t="n">
        <v>278635121</v>
      </c>
      <c r="O38" s="32" t="n">
        <v>22081014</v>
      </c>
      <c r="P38" s="32" t="n">
        <v>170479816</v>
      </c>
      <c r="Q38" s="32" t="n">
        <v>373213535</v>
      </c>
      <c r="R38" s="32" t="n">
        <v>222302779</v>
      </c>
      <c r="S38" s="32" t="n">
        <v>28876793</v>
      </c>
      <c r="T38" s="32" t="n">
        <v>203686255</v>
      </c>
      <c r="U38" s="32" t="n">
        <v>208164799</v>
      </c>
      <c r="V38" s="32" t="n">
        <v>316931618</v>
      </c>
      <c r="AC38" s="32">
        <f>SUM(C38:V38)</f>
        <v/>
      </c>
    </row>
    <row r="39"/>
    <row r="40">
      <c r="B40" s="31" t="inlineStr">
        <is>
          <t>Produccion total</t>
        </is>
      </c>
      <c r="C40" s="32">
        <f>C34+C36+C38</f>
        <v/>
      </c>
      <c r="D40" s="32">
        <f>D34+D36+D38</f>
        <v/>
      </c>
      <c r="E40" s="32">
        <f>E34+E36+E38</f>
        <v/>
      </c>
      <c r="F40" s="32">
        <f>F34+F36+F38</f>
        <v/>
      </c>
      <c r="G40" s="32">
        <f>G34+G36+G38</f>
        <v/>
      </c>
      <c r="H40" s="32">
        <f>H34+H36+H38</f>
        <v/>
      </c>
      <c r="I40" s="32">
        <f>I34+I36+I38</f>
        <v/>
      </c>
      <c r="J40" s="32">
        <f>J34+J36+J38</f>
        <v/>
      </c>
      <c r="K40" s="32">
        <f>K34+K36+K38</f>
        <v/>
      </c>
      <c r="L40" s="32">
        <f>L34+L36+L38</f>
        <v/>
      </c>
      <c r="M40" s="32">
        <f>M34+M36+M38</f>
        <v/>
      </c>
      <c r="N40" s="32">
        <f>N34+N36+N38</f>
        <v/>
      </c>
      <c r="O40" s="32">
        <f>O34+O36+O38</f>
        <v/>
      </c>
      <c r="P40" s="32">
        <f>P34+P36+P38</f>
        <v/>
      </c>
      <c r="Q40" s="32">
        <f>Q34+Q36+Q38</f>
        <v/>
      </c>
      <c r="R40" s="32">
        <f>R34+R36+R38</f>
        <v/>
      </c>
      <c r="S40" s="32">
        <f>S34+S36+S38</f>
        <v/>
      </c>
      <c r="T40" s="32">
        <f>T34+T36+T38</f>
        <v/>
      </c>
      <c r="U40" s="32">
        <f>U34+U36+U38</f>
        <v/>
      </c>
      <c r="V40" s="32">
        <f>V34+V36+V38</f>
        <v/>
      </c>
      <c r="AC40" s="32">
        <f>SUM(C40:V40)</f>
        <v/>
      </c>
    </row>
    <row r="41">
      <c r="B41" s="31" t="inlineStr">
        <is>
          <t>Produccion fuente</t>
        </is>
      </c>
      <c r="C41" s="32" t="n">
        <v>423557304</v>
      </c>
      <c r="D41" s="32" t="n">
        <v>541488761</v>
      </c>
      <c r="E41" s="32" t="n">
        <v>238541112</v>
      </c>
      <c r="F41" s="32" t="n">
        <v>968319580</v>
      </c>
      <c r="G41" s="32" t="n">
        <v>4059426635</v>
      </c>
      <c r="H41" s="32" t="n">
        <v>1461397342</v>
      </c>
      <c r="I41" s="32" t="n">
        <v>816724172</v>
      </c>
      <c r="J41" s="32" t="n">
        <v>19780853</v>
      </c>
      <c r="K41" s="32" t="n">
        <v>313967631</v>
      </c>
      <c r="L41" s="32" t="n">
        <v>308010790</v>
      </c>
      <c r="M41" s="32" t="n">
        <v>887319369</v>
      </c>
      <c r="N41" s="32" t="n">
        <v>390910772</v>
      </c>
      <c r="O41" s="32" t="n">
        <v>41358042</v>
      </c>
      <c r="P41" s="32" t="n">
        <v>221259048</v>
      </c>
      <c r="Q41" s="32" t="n">
        <v>416365676</v>
      </c>
      <c r="R41" s="32" t="n">
        <v>293306066</v>
      </c>
      <c r="S41" s="32" t="n">
        <v>41011314</v>
      </c>
      <c r="T41" s="32" t="n">
        <v>279946186</v>
      </c>
      <c r="U41" s="32" t="n">
        <v>279697039</v>
      </c>
      <c r="V41" s="32" t="n">
        <v>422687560</v>
      </c>
      <c r="AC41" s="32">
        <f>SUM(C41:V41)</f>
        <v/>
      </c>
    </row>
    <row r="42">
      <c r="B42" s="33" t="inlineStr">
        <is>
          <t>Check produccion total - fuente</t>
        </is>
      </c>
      <c r="C42" s="34">
        <f>C40-C41</f>
        <v/>
      </c>
      <c r="D42" s="34">
        <f>D40-D41</f>
        <v/>
      </c>
      <c r="E42" s="34">
        <f>E40-E41</f>
        <v/>
      </c>
      <c r="F42" s="34">
        <f>F40-F41</f>
        <v/>
      </c>
      <c r="G42" s="34">
        <f>G40-G41</f>
        <v/>
      </c>
      <c r="H42" s="34">
        <f>H40-H41</f>
        <v/>
      </c>
      <c r="I42" s="34">
        <f>I40-I41</f>
        <v/>
      </c>
      <c r="J42" s="34">
        <f>J40-J41</f>
        <v/>
      </c>
      <c r="K42" s="34">
        <f>K40-K41</f>
        <v/>
      </c>
      <c r="L42" s="34">
        <f>L40-L41</f>
        <v/>
      </c>
      <c r="M42" s="34">
        <f>M40-M41</f>
        <v/>
      </c>
      <c r="N42" s="34">
        <f>N40-N41</f>
        <v/>
      </c>
      <c r="O42" s="34">
        <f>O40-O41</f>
        <v/>
      </c>
      <c r="P42" s="34">
        <f>P40-P41</f>
        <v/>
      </c>
      <c r="Q42" s="34">
        <f>Q40-Q41</f>
        <v/>
      </c>
      <c r="R42" s="34">
        <f>R40-R41</f>
        <v/>
      </c>
      <c r="S42" s="34">
        <f>S40-S41</f>
        <v/>
      </c>
      <c r="T42" s="34">
        <f>T40-T41</f>
        <v/>
      </c>
      <c r="U42" s="34">
        <f>U40-U41</f>
        <v/>
      </c>
      <c r="V42" s="34">
        <f>V40-V41</f>
        <v/>
      </c>
      <c r="AC42" s="34">
        <f>SUM(C42:V42)</f>
        <v/>
      </c>
    </row>
    <row r="43"/>
    <row r="44">
      <c r="B44" s="27" t="inlineStr">
        <is>
          <t>Nota</t>
        </is>
      </c>
      <c r="C44" s="27" t="inlineStr">
        <is>
          <t>Z total = Z nacional + matriz importada/ajuste asignada. El residuo de ajuste no asignado queda como fila firmada.</t>
        </is>
      </c>
    </row>
  </sheetData>
  <mergeCells count="9">
    <mergeCell ref="A1:H1"/>
    <mergeCell ref="A3:H4"/>
    <mergeCell ref="B10:B12"/>
    <mergeCell ref="A10:A12"/>
    <mergeCell ref="X10:AA10"/>
    <mergeCell ref="C10:V10"/>
    <mergeCell ref="AC10:AC12"/>
    <mergeCell ref="AB10:AB12"/>
    <mergeCell ref="W10:W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5" t="inlineStr">
        <is>
          <t>Codigo</t>
        </is>
      </c>
      <c r="B3" s="35" t="inlineStr">
        <is>
          <t>Actividad economica</t>
        </is>
      </c>
      <c r="C3" s="35" t="inlineStr">
        <is>
          <t>Produccion</t>
        </is>
      </c>
      <c r="D3" s="35" t="inlineStr">
        <is>
          <t>Valor agregado</t>
        </is>
      </c>
      <c r="E3" s="35" t="inlineStr">
        <is>
          <t>Multiplicador Leontief</t>
        </is>
      </c>
      <c r="F3" s="35" t="inlineStr">
        <is>
          <t>Indice atras Leontief</t>
        </is>
      </c>
      <c r="G3" s="35" t="inlineStr">
        <is>
          <t>Encadenamiento adelante Ghosh</t>
        </is>
      </c>
      <c r="H3" s="35" t="inlineStr">
        <is>
          <t>Indice adelante Ghosh</t>
        </is>
      </c>
    </row>
    <row r="4">
      <c r="A4" s="10" t="inlineStr">
        <is>
          <t>11</t>
        </is>
      </c>
      <c r="B4" s="10" t="inlineStr">
        <is>
          <t>Agricultura, ganadería, aprovechamiento forestal, pesca y caza</t>
        </is>
      </c>
      <c r="C4" s="11" t="n">
        <v>423557304</v>
      </c>
      <c r="D4" s="11" t="n">
        <v>260145687</v>
      </c>
      <c r="E4" s="11" t="n">
        <v>1.742609818738634</v>
      </c>
      <c r="F4" s="11" t="n">
        <v>1.070581298822336</v>
      </c>
      <c r="G4" s="11" t="n">
        <v>2.386975337764864</v>
      </c>
      <c r="H4" s="11" t="n">
        <v>1.348175980808058</v>
      </c>
    </row>
    <row r="5">
      <c r="A5" s="10" t="inlineStr">
        <is>
          <t>21</t>
        </is>
      </c>
      <c r="B5" s="10" t="inlineStr">
        <is>
          <t>Minería</t>
        </is>
      </c>
      <c r="C5" s="11" t="n">
        <v>541488761</v>
      </c>
      <c r="D5" s="11" t="n">
        <v>430060779</v>
      </c>
      <c r="E5" s="11" t="n">
        <v>1.372223324492579</v>
      </c>
      <c r="F5" s="11" t="n">
        <v>0.8430324523667271</v>
      </c>
      <c r="G5" s="11" t="n">
        <v>2.214112572704816</v>
      </c>
      <c r="H5" s="11" t="n">
        <v>1.250542199619414</v>
      </c>
    </row>
    <row r="6">
      <c r="A6" s="10" t="inlineStr">
        <is>
          <t>22</t>
        </is>
      </c>
      <c r="B6" s="10" t="inlineStr">
        <is>
          <t>Electricidad, agua y suministro de gas por ductos al consumidor final</t>
        </is>
      </c>
      <c r="C6" s="11" t="n">
        <v>238541112</v>
      </c>
      <c r="D6" s="11" t="n">
        <v>92089369</v>
      </c>
      <c r="E6" s="11" t="n">
        <v>2.22738973834786</v>
      </c>
      <c r="F6" s="11" t="n">
        <v>1.368408334110076</v>
      </c>
      <c r="G6" s="11" t="n">
        <v>2.220338743873351</v>
      </c>
      <c r="H6" s="11" t="n">
        <v>1.254058773204829</v>
      </c>
    </row>
    <row r="7">
      <c r="A7" s="10" t="inlineStr">
        <is>
          <t>23</t>
        </is>
      </c>
      <c r="B7" s="10" t="inlineStr">
        <is>
          <t>Construcción</t>
        </is>
      </c>
      <c r="C7" s="11" t="n">
        <v>968319580</v>
      </c>
      <c r="D7" s="11" t="n">
        <v>473680479</v>
      </c>
      <c r="E7" s="11" t="n">
        <v>2.025975787554423</v>
      </c>
      <c r="F7" s="11" t="n">
        <v>1.244668638211049</v>
      </c>
      <c r="G7" s="11" t="n">
        <v>1.10546295271332</v>
      </c>
      <c r="H7" s="11" t="n">
        <v>0.6243711767532573</v>
      </c>
    </row>
    <row r="8">
      <c r="A8" s="10" t="inlineStr">
        <is>
          <t>31-33</t>
        </is>
      </c>
      <c r="B8" s="10" t="inlineStr">
        <is>
          <t>Industrias manufactureras</t>
        </is>
      </c>
      <c r="C8" s="11" t="n">
        <v>4059426635</v>
      </c>
      <c r="D8" s="11" t="n">
        <v>1291292836</v>
      </c>
      <c r="E8" s="11" t="n">
        <v>2.365339394748561</v>
      </c>
      <c r="F8" s="11" t="n">
        <v>1.453158414554623</v>
      </c>
      <c r="G8" s="11" t="n">
        <v>2.193977681157941</v>
      </c>
      <c r="H8" s="11" t="n">
        <v>1.239169909034673</v>
      </c>
    </row>
    <row r="9">
      <c r="A9" s="10" t="inlineStr">
        <is>
          <t>43-46</t>
        </is>
      </c>
      <c r="B9" s="10" t="inlineStr">
        <is>
          <t>Comercio</t>
        </is>
      </c>
      <c r="C9" s="11" t="n">
        <v>1461397342</v>
      </c>
      <c r="D9" s="11" t="n">
        <v>1086891495</v>
      </c>
      <c r="E9" s="11" t="n">
        <v>1.455187893736005</v>
      </c>
      <c r="F9" s="11" t="n">
        <v>0.8940021619034001</v>
      </c>
      <c r="G9" s="11" t="n">
        <v>1.702771644437597</v>
      </c>
      <c r="H9" s="11" t="n">
        <v>0.9617342062618098</v>
      </c>
    </row>
    <row r="10">
      <c r="A10" s="10" t="inlineStr">
        <is>
          <t>48</t>
        </is>
      </c>
      <c r="B10" s="10" t="inlineStr">
        <is>
          <t>Transportes</t>
        </is>
      </c>
      <c r="C10" s="11" t="n">
        <v>816724172</v>
      </c>
      <c r="D10" s="11" t="n">
        <v>521558270</v>
      </c>
      <c r="E10" s="11" t="n">
        <v>1.646014374920815</v>
      </c>
      <c r="F10" s="11" t="n">
        <v>1.011237391430803</v>
      </c>
      <c r="G10" s="11" t="n">
        <v>1.513749680761125</v>
      </c>
      <c r="H10" s="11" t="n">
        <v>0.8549736263588699</v>
      </c>
    </row>
    <row r="11">
      <c r="A11" s="10" t="inlineStr">
        <is>
          <t>49</t>
        </is>
      </c>
      <c r="B11" s="10" t="inlineStr">
        <is>
          <t>Correos y almacenamiento</t>
        </is>
      </c>
      <c r="C11" s="11" t="n">
        <v>19780853</v>
      </c>
      <c r="D11" s="11" t="n">
        <v>8990120</v>
      </c>
      <c r="E11" s="11" t="n">
        <v>2.000984663807083</v>
      </c>
      <c r="F11" s="11" t="n">
        <v>1.229315212887288</v>
      </c>
      <c r="G11" s="11" t="n">
        <v>1.917406694348588</v>
      </c>
      <c r="H11" s="11" t="n">
        <v>1.082961189361055</v>
      </c>
    </row>
    <row r="12">
      <c r="A12" s="10" t="inlineStr">
        <is>
          <t>51</t>
        </is>
      </c>
      <c r="B12" s="10" t="inlineStr">
        <is>
          <t>Información en medios masivos</t>
        </is>
      </c>
      <c r="C12" s="11" t="n">
        <v>313967631</v>
      </c>
      <c r="D12" s="11" t="n">
        <v>191223401</v>
      </c>
      <c r="E12" s="11" t="n">
        <v>1.678348955817431</v>
      </c>
      <c r="F12" s="11" t="n">
        <v>1.031102307398184</v>
      </c>
      <c r="G12" s="11" t="n">
        <v>1.808928253491525</v>
      </c>
      <c r="H12" s="11" t="n">
        <v>1.021692006523186</v>
      </c>
    </row>
    <row r="13">
      <c r="A13" s="10" t="inlineStr">
        <is>
          <t>52</t>
        </is>
      </c>
      <c r="B13" s="10" t="inlineStr">
        <is>
          <t>Servicios financieros y de seguros</t>
        </is>
      </c>
      <c r="C13" s="11" t="n">
        <v>308010790</v>
      </c>
      <c r="D13" s="11" t="n">
        <v>183462134</v>
      </c>
      <c r="E13" s="11" t="n">
        <v>1.635120450385927</v>
      </c>
      <c r="F13" s="11" t="n">
        <v>1.004544652900112</v>
      </c>
      <c r="G13" s="11" t="n">
        <v>2.184389978744315</v>
      </c>
      <c r="H13" s="11" t="n">
        <v>1.233754725266043</v>
      </c>
    </row>
    <row r="14">
      <c r="A14" s="10" t="inlineStr">
        <is>
          <t>53</t>
        </is>
      </c>
      <c r="B14" s="10" t="inlineStr">
        <is>
          <t>Servicios inmobiliarios y de alquiler de bienes muebles e intangibles</t>
        </is>
      </c>
      <c r="C14" s="11" t="n">
        <v>887319369</v>
      </c>
      <c r="D14" s="11" t="n">
        <v>804759549</v>
      </c>
      <c r="E14" s="11" t="n">
        <v>1.164211739253045</v>
      </c>
      <c r="F14" s="11" t="n">
        <v>0.7152394658351656</v>
      </c>
      <c r="G14" s="11" t="n">
        <v>1.429237013660727</v>
      </c>
      <c r="H14" s="11" t="n">
        <v>0.8072404361343434</v>
      </c>
    </row>
    <row r="15">
      <c r="A15" s="10" t="inlineStr">
        <is>
          <t>54</t>
        </is>
      </c>
      <c r="B15" s="10" t="inlineStr">
        <is>
          <t>Servicios profesionales, científicos y técnicos</t>
        </is>
      </c>
      <c r="C15" s="11" t="n">
        <v>390910772</v>
      </c>
      <c r="D15" s="11" t="n">
        <v>278635121</v>
      </c>
      <c r="E15" s="11" t="n">
        <v>1.508522303150947</v>
      </c>
      <c r="F15" s="11" t="n">
        <v>0.9267684304561052</v>
      </c>
      <c r="G15" s="11" t="n">
        <v>2.326754880120902</v>
      </c>
      <c r="H15" s="11" t="n">
        <v>1.314163155763589</v>
      </c>
    </row>
    <row r="16">
      <c r="A16" s="10" t="inlineStr">
        <is>
          <t>55</t>
        </is>
      </c>
      <c r="B16" s="10" t="inlineStr">
        <is>
          <t>Dirección de corporativos y empresas</t>
        </is>
      </c>
      <c r="C16" s="11" t="n">
        <v>41358042</v>
      </c>
      <c r="D16" s="11" t="n">
        <v>22081014</v>
      </c>
      <c r="E16" s="11" t="n">
        <v>1.743536516520316</v>
      </c>
      <c r="F16" s="11" t="n">
        <v>1.071150620367561</v>
      </c>
      <c r="G16" s="11" t="n">
        <v>3.026693990846444</v>
      </c>
      <c r="H16" s="11" t="n">
        <v>1.709492375206611</v>
      </c>
    </row>
    <row r="17">
      <c r="A17" s="10" t="inlineStr">
        <is>
          <t>56</t>
        </is>
      </c>
      <c r="B17" s="10" t="inlineStr">
        <is>
          <t>Servicios de apoyo a los negocios y manejo de desechos y servicios de remediación</t>
        </is>
      </c>
      <c r="C17" s="11" t="n">
        <v>221259048</v>
      </c>
      <c r="D17" s="11" t="n">
        <v>170479816</v>
      </c>
      <c r="E17" s="11" t="n">
        <v>1.417648765145382</v>
      </c>
      <c r="F17" s="11" t="n">
        <v>0.8709398053098297</v>
      </c>
      <c r="G17" s="11" t="n">
        <v>2.592693505161744</v>
      </c>
      <c r="H17" s="11" t="n">
        <v>1.464366662677451</v>
      </c>
    </row>
    <row r="18">
      <c r="A18" s="10" t="inlineStr">
        <is>
          <t>61</t>
        </is>
      </c>
      <c r="B18" s="10" t="inlineStr">
        <is>
          <t>Servicios educativos</t>
        </is>
      </c>
      <c r="C18" s="11" t="n">
        <v>416365676</v>
      </c>
      <c r="D18" s="11" t="n">
        <v>373213535</v>
      </c>
      <c r="E18" s="11" t="n">
        <v>1.173251401731544</v>
      </c>
      <c r="F18" s="11" t="n">
        <v>0.7207930289409628</v>
      </c>
      <c r="G18" s="11" t="n">
        <v>1.01840237309295</v>
      </c>
      <c r="H18" s="11" t="n">
        <v>0.5751989123974315</v>
      </c>
    </row>
    <row r="19">
      <c r="A19" s="10" t="inlineStr">
        <is>
          <t>62</t>
        </is>
      </c>
      <c r="B19" s="10" t="inlineStr">
        <is>
          <t>Servicios de salud y de asistencia social</t>
        </is>
      </c>
      <c r="C19" s="11" t="n">
        <v>293306066</v>
      </c>
      <c r="D19" s="11" t="n">
        <v>222302779</v>
      </c>
      <c r="E19" s="11" t="n">
        <v>1.461584138098107</v>
      </c>
      <c r="F19" s="11" t="n">
        <v>0.8979317275027271</v>
      </c>
      <c r="G19" s="11" t="n">
        <v>1</v>
      </c>
      <c r="H19" s="11" t="n">
        <v>0.5648051571703603</v>
      </c>
    </row>
    <row r="20">
      <c r="A20" s="10" t="inlineStr">
        <is>
          <t>71</t>
        </is>
      </c>
      <c r="B20" s="10" t="inlineStr">
        <is>
          <t>Servicios de esparcimiento culturales y deportivos, y otros servicios recreativos</t>
        </is>
      </c>
      <c r="C20" s="11" t="n">
        <v>41011314</v>
      </c>
      <c r="D20" s="11" t="n">
        <v>28876793</v>
      </c>
      <c r="E20" s="11" t="n">
        <v>1.522518546640541</v>
      </c>
      <c r="F20" s="11" t="n">
        <v>0.9353670945819446</v>
      </c>
      <c r="G20" s="11" t="n">
        <v>1.044511698429047</v>
      </c>
      <c r="H20" s="11" t="n">
        <v>0.5899455939974977</v>
      </c>
    </row>
    <row r="21">
      <c r="A21" s="10" t="inlineStr">
        <is>
          <t>72</t>
        </is>
      </c>
      <c r="B21" s="10" t="inlineStr">
        <is>
          <t>Servicios de alojamiento temporal y de preparación de alimentos y bebidas</t>
        </is>
      </c>
      <c r="C21" s="11" t="n">
        <v>279946186</v>
      </c>
      <c r="D21" s="11" t="n">
        <v>203686255</v>
      </c>
      <c r="E21" s="11" t="n">
        <v>1.48923971496245</v>
      </c>
      <c r="F21" s="11" t="n">
        <v>0.914922073293697</v>
      </c>
      <c r="G21" s="11" t="n">
        <v>1.228792468255072</v>
      </c>
      <c r="H21" s="11" t="n">
        <v>0.6940283231625609</v>
      </c>
    </row>
    <row r="22">
      <c r="A22" s="10" t="inlineStr">
        <is>
          <t>81</t>
        </is>
      </c>
      <c r="B22" s="10" t="inlineStr">
        <is>
          <t>Otros servicios excepto actividades del Gobierno</t>
        </is>
      </c>
      <c r="C22" s="11" t="n">
        <v>279697039</v>
      </c>
      <c r="D22" s="11" t="n">
        <v>208164799</v>
      </c>
      <c r="E22" s="11" t="n">
        <v>1.494303311544564</v>
      </c>
      <c r="F22" s="11" t="n">
        <v>0.9180329198798343</v>
      </c>
      <c r="G22" s="11" t="n">
        <v>1.470591511601464</v>
      </c>
      <c r="H22" s="11" t="n">
        <v>0.8305976698434624</v>
      </c>
    </row>
    <row r="23">
      <c r="A23" s="10" t="inlineStr">
        <is>
          <t>93</t>
        </is>
      </c>
      <c r="B23" s="10" t="inlineStr">
        <is>
          <t>Actividades del Gobierno y de organismos internacionales y extraterritoriales</t>
        </is>
      </c>
      <c r="C23" s="11" t="n">
        <v>422687560</v>
      </c>
      <c r="D23" s="11" t="n">
        <v>316931618</v>
      </c>
      <c r="E23" s="11" t="n">
        <v>1.430449445774832</v>
      </c>
      <c r="F23" s="11" t="n">
        <v>0.8788039692475755</v>
      </c>
      <c r="G23" s="11" t="n">
        <v>1.024650559769833</v>
      </c>
      <c r="H23" s="11" t="n">
        <v>0.5787279204554981</v>
      </c>
    </row>
    <row r="24"/>
    <row r="25"/>
    <row r="26">
      <c r="A26" s="10" t="inlineStr">
        <is>
          <t>Validacion contable y matematica</t>
        </is>
      </c>
    </row>
    <row r="27">
      <c r="A27" s="10" t="inlineStr">
        <is>
          <t>prueba</t>
        </is>
      </c>
      <c r="B27" s="10" t="inlineStr">
        <is>
          <t>resultado</t>
        </is>
      </c>
      <c r="C27" s="10" t="inlineStr">
        <is>
          <t>lectura</t>
        </is>
      </c>
    </row>
    <row r="28">
      <c r="A28" s="10" t="inlineStr">
        <is>
          <t>sectores</t>
        </is>
      </c>
      <c r="B28" s="11" t="n">
        <v>20</v>
      </c>
      <c r="C28" s="10" t="inlineStr">
        <is>
          <t>Cantidad de sectores de la MIP.</t>
        </is>
      </c>
    </row>
    <row r="29">
      <c r="A29" s="10" t="inlineStr">
        <is>
          <t>cuadrada_Z_A_L</t>
        </is>
      </c>
      <c r="B29" s="36" t="b">
        <v>1</v>
      </c>
      <c r="C29" s="10" t="inlineStr">
        <is>
          <t>Z, A y L son matrices cuadradas.</t>
        </is>
      </c>
    </row>
    <row r="30">
      <c r="A30" s="10" t="inlineStr">
        <is>
          <t>max_abs_A_menos_Z_sobre_x</t>
        </is>
      </c>
      <c r="B30" s="11" t="n">
        <v>5.551115123125783e-17</v>
      </c>
      <c r="C30" s="10" t="inlineStr">
        <is>
          <t>Consistencia de coeficientes tecnicos.</t>
        </is>
      </c>
    </row>
    <row r="31">
      <c r="A31" s="10" t="inlineStr">
        <is>
          <t>max_abs_Leontief</t>
        </is>
      </c>
      <c r="B31" s="11" t="n">
        <v>6.661338147750939e-16</v>
      </c>
      <c r="C31" s="10" t="inlineStr">
        <is>
          <t>Residual (I-A)L - I.</t>
        </is>
      </c>
    </row>
    <row r="32">
      <c r="A32" s="10" t="inlineStr">
        <is>
          <t>max_abs_fila_x_menos_Z_menos_y</t>
        </is>
      </c>
      <c r="B32" s="11" t="n">
        <v>0</v>
      </c>
      <c r="C32" s="10" t="inlineStr">
        <is>
          <t>Cierre por filas: x = ventas intermedias + demanda final.</t>
        </is>
      </c>
    </row>
    <row r="33">
      <c r="A33" s="10" t="inlineStr">
        <is>
          <t>max_abs_columna_x_menos_Z_menos_ajuste_menos_v</t>
        </is>
      </c>
      <c r="B33" s="11" t="n">
        <v>13509869</v>
      </c>
      <c r="C33" s="10" t="inlineStr">
        <is>
          <t>Cierre por columnas con ajuste procesado.</t>
        </is>
      </c>
    </row>
    <row r="34">
      <c r="A34" s="10" t="inlineStr">
        <is>
          <t>max_abs_total_x_menos_Ztotal_menos_ajuste_no_asignado_menos_v</t>
        </is>
      </c>
      <c r="B34" s="11" t="n">
        <v>13509869</v>
      </c>
      <c r="C34" s="10" t="inlineStr">
        <is>
          <t>Cierre Cuadro 3.</t>
        </is>
      </c>
    </row>
    <row r="35">
      <c r="A35" s="10" t="inlineStr">
        <is>
          <t>sectores_y_negativa</t>
        </is>
      </c>
      <c r="B35" s="11" t="n">
        <v>0</v>
      </c>
      <c r="C35" s="10" t="inlineStr">
        <is>
          <t>Demanda final total negativa.</t>
        </is>
      </c>
    </row>
    <row r="36">
      <c r="A36" s="10" t="inlineStr">
        <is>
          <t>min_y</t>
        </is>
      </c>
      <c r="B36" s="11" t="n">
        <v>0</v>
      </c>
      <c r="C36" s="10" t="inlineStr">
        <is>
          <t>Minimo de demanda final total.</t>
        </is>
      </c>
    </row>
    <row r="37">
      <c r="A37" s="10" t="inlineStr">
        <is>
          <t>sectores_va_negativo</t>
        </is>
      </c>
      <c r="B37" s="11" t="n">
        <v>0</v>
      </c>
      <c r="C37" s="10" t="inlineStr">
        <is>
          <t>Valor agregado negativo.</t>
        </is>
      </c>
    </row>
    <row r="38">
      <c r="A38" s="10" t="inlineStr">
        <is>
          <t>min_va</t>
        </is>
      </c>
      <c r="B38" s="11" t="n">
        <v>8990120</v>
      </c>
      <c r="C38" s="10" t="inlineStr">
        <is>
          <t>Minimo de valor agregado.</t>
        </is>
      </c>
    </row>
    <row r="39">
      <c r="A39" s="10" t="inlineStr">
        <is>
          <t>sectores_ajuste_negativo</t>
        </is>
      </c>
      <c r="B39" s="11" t="n">
        <v>0</v>
      </c>
      <c r="C39" s="10" t="inlineStr">
        <is>
          <t>Ajuste intermedio/importado con signo negativo.</t>
        </is>
      </c>
    </row>
    <row r="40">
      <c r="A40" s="10" t="inlineStr">
        <is>
          <t>min_ajuste</t>
        </is>
      </c>
      <c r="B40" s="11" t="n">
        <v>0</v>
      </c>
      <c r="C40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5" t="inlineStr">
        <is>
          <t>Colores</t>
        </is>
      </c>
      <c r="B3" s="35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MIP directa CEPAL/INEGI</t>
        </is>
      </c>
    </row>
    <row r="5">
      <c r="A5" s="10" t="inlineStr">
        <is>
          <t>Ano</t>
        </is>
      </c>
      <c r="B5" s="10" t="inlineStr">
        <is>
          <t>2003</t>
        </is>
      </c>
    </row>
    <row r="6">
      <c r="A6" s="10" t="inlineStr">
        <is>
          <t>Archivo fuente COU/referencia</t>
        </is>
      </c>
      <c r="B6" s="10" t="inlineStr">
        <is>
          <t>no disponible</t>
        </is>
      </c>
    </row>
    <row r="7">
      <c r="A7" s="10" t="inlineStr">
        <is>
          <t>Ajuste intermedio</t>
        </is>
      </c>
      <c r="B7" s="10" t="inlineStr">
        <is>
          <t>No hay matriz importada asignable; el ajuste queda como vector firmado.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2026-07-07T00:55:30Z</dcterms:created>
  <dcterms:modified xmlns:dcterms="http://purl.org/dc/terms/" xmlns:xsi="http://www.w3.org/2001/XMLSchema-instance" xsi:type="dcterms:W3CDTF">2026-07-07T00:55:30Z</dcterms:modified>
</cp:coreProperties>
</file>