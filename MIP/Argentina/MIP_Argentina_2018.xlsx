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Argentina 2018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Argentina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2018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INDEC/CEPAL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107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1.387778780781446e-16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1.332267629550188e-15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4.619359970092773e-07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9.5367431640625e-07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9.5367431640625e-07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0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1138797.60114376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8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-226126268.6606633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L13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2018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3" t="inlineStr">
        <is>
          <t>Total consumo intermedio</t>
        </is>
      </c>
      <c r="DG10" s="23" t="inlineStr">
        <is>
          <t>Demanda final</t>
        </is>
      </c>
      <c r="DH10" s="24" t="n"/>
      <c r="DI10" s="24" t="n"/>
      <c r="DJ10" s="24" t="n"/>
      <c r="DK10" s="23" t="inlineStr">
        <is>
          <t>Total demanda final</t>
        </is>
      </c>
      <c r="DL10" s="23" t="inlineStr">
        <is>
          <t>Total</t>
        </is>
      </c>
    </row>
    <row r="11" ht="15" customHeight="1">
      <c r="C11" s="25" t="inlineStr">
        <is>
          <t>011/014</t>
        </is>
      </c>
      <c r="D11" s="25" t="inlineStr">
        <is>
          <t>012</t>
        </is>
      </c>
      <c r="E11" s="25" t="inlineStr">
        <is>
          <t>015</t>
        </is>
      </c>
      <c r="F11" s="25" t="inlineStr">
        <is>
          <t>016</t>
        </is>
      </c>
      <c r="G11" s="25" t="inlineStr">
        <is>
          <t>020</t>
        </is>
      </c>
      <c r="H11" s="25" t="inlineStr">
        <is>
          <t>050</t>
        </is>
      </c>
      <c r="I11" s="25" t="inlineStr">
        <is>
          <t>101</t>
        </is>
      </c>
      <c r="J11" s="25" t="inlineStr">
        <is>
          <t>111</t>
        </is>
      </c>
      <c r="K11" s="25" t="inlineStr">
        <is>
          <t>112</t>
        </is>
      </c>
      <c r="L11" s="25" t="inlineStr">
        <is>
          <t>132</t>
        </is>
      </c>
      <c r="M11" s="25" t="inlineStr">
        <is>
          <t>141/142</t>
        </is>
      </c>
      <c r="N11" s="25" t="inlineStr">
        <is>
          <t>1511</t>
        </is>
      </c>
      <c r="O11" s="25" t="inlineStr">
        <is>
          <t>1512</t>
        </is>
      </c>
      <c r="P11" s="25" t="inlineStr">
        <is>
          <t>1513</t>
        </is>
      </c>
      <c r="Q11" s="25" t="inlineStr">
        <is>
          <t>1514</t>
        </is>
      </c>
      <c r="R11" s="25" t="inlineStr">
        <is>
          <t>1520</t>
        </is>
      </c>
      <c r="S11" s="25" t="inlineStr">
        <is>
          <t>1531/2</t>
        </is>
      </c>
      <c r="T11" s="25" t="inlineStr">
        <is>
          <t>15330</t>
        </is>
      </c>
      <c r="U11" s="25" t="inlineStr">
        <is>
          <t>1541</t>
        </is>
      </c>
      <c r="V11" s="25" t="inlineStr">
        <is>
          <t>15420</t>
        </is>
      </c>
      <c r="W11" s="25" t="inlineStr">
        <is>
          <t>15430</t>
        </is>
      </c>
      <c r="X11" s="25" t="inlineStr">
        <is>
          <t>1544</t>
        </is>
      </c>
      <c r="Y11" s="25" t="inlineStr">
        <is>
          <t>1549</t>
        </is>
      </c>
      <c r="Z11" s="25" t="inlineStr">
        <is>
          <t>15510</t>
        </is>
      </c>
      <c r="AA11" s="25" t="inlineStr">
        <is>
          <t>1552</t>
        </is>
      </c>
      <c r="AB11" s="25" t="inlineStr">
        <is>
          <t>15530</t>
        </is>
      </c>
      <c r="AC11" s="25" t="inlineStr">
        <is>
          <t>1554</t>
        </is>
      </c>
      <c r="AD11" s="25" t="inlineStr">
        <is>
          <t>160</t>
        </is>
      </c>
      <c r="AE11" s="25" t="inlineStr">
        <is>
          <t>171/2</t>
        </is>
      </c>
      <c r="AF11" s="25" t="inlineStr">
        <is>
          <t>18</t>
        </is>
      </c>
      <c r="AG11" s="25" t="inlineStr">
        <is>
          <t>191</t>
        </is>
      </c>
      <c r="AH11" s="25" t="inlineStr">
        <is>
          <t>192</t>
        </is>
      </c>
      <c r="AI11" s="25" t="inlineStr">
        <is>
          <t>201/2</t>
        </is>
      </c>
      <c r="AJ11" s="25" t="inlineStr">
        <is>
          <t>210</t>
        </is>
      </c>
      <c r="AK11" s="25" t="inlineStr">
        <is>
          <t>221</t>
        </is>
      </c>
      <c r="AL11" s="25" t="inlineStr">
        <is>
          <t>222</t>
        </is>
      </c>
      <c r="AM11" s="25" t="inlineStr">
        <is>
          <t>23</t>
        </is>
      </c>
      <c r="AN11" s="25" t="inlineStr">
        <is>
          <t>2411</t>
        </is>
      </c>
      <c r="AO11" s="25" t="inlineStr">
        <is>
          <t>2412/2421</t>
        </is>
      </c>
      <c r="AP11" s="25" t="inlineStr">
        <is>
          <t>24130</t>
        </is>
      </c>
      <c r="AQ11" s="25" t="inlineStr">
        <is>
          <t>242</t>
        </is>
      </c>
      <c r="AR11" s="25" t="inlineStr">
        <is>
          <t>251</t>
        </is>
      </c>
      <c r="AS11" s="25" t="inlineStr">
        <is>
          <t>252</t>
        </is>
      </c>
      <c r="AT11" s="25" t="inlineStr">
        <is>
          <t>261</t>
        </is>
      </c>
      <c r="AU11" s="25" t="inlineStr">
        <is>
          <t>269</t>
        </is>
      </c>
      <c r="AV11" s="25" t="inlineStr">
        <is>
          <t>27100</t>
        </is>
      </c>
      <c r="AW11" s="25" t="inlineStr">
        <is>
          <t>272</t>
        </is>
      </c>
      <c r="AX11" s="25" t="inlineStr">
        <is>
          <t>273</t>
        </is>
      </c>
      <c r="AY11" s="25" t="inlineStr">
        <is>
          <t>281</t>
        </is>
      </c>
      <c r="AZ11" s="25" t="inlineStr">
        <is>
          <t>289</t>
        </is>
      </c>
      <c r="BA11" s="25" t="inlineStr">
        <is>
          <t>291</t>
        </is>
      </c>
      <c r="BB11" s="25" t="inlineStr">
        <is>
          <t>292</t>
        </is>
      </c>
      <c r="BC11" s="25" t="inlineStr">
        <is>
          <t>29300</t>
        </is>
      </c>
      <c r="BD11" s="25" t="inlineStr">
        <is>
          <t>30000</t>
        </is>
      </c>
      <c r="BE11" s="25" t="inlineStr">
        <is>
          <t>311/12</t>
        </is>
      </c>
      <c r="BF11" s="25" t="inlineStr">
        <is>
          <t>31300</t>
        </is>
      </c>
      <c r="BG11" s="25" t="inlineStr">
        <is>
          <t>314/15/19</t>
        </is>
      </c>
      <c r="BH11" s="25" t="inlineStr">
        <is>
          <t>32100/32200</t>
        </is>
      </c>
      <c r="BI11" s="25" t="inlineStr">
        <is>
          <t>32300</t>
        </is>
      </c>
      <c r="BJ11" s="25" t="inlineStr">
        <is>
          <t>331/332</t>
        </is>
      </c>
      <c r="BK11" s="25" t="inlineStr">
        <is>
          <t>341/2</t>
        </is>
      </c>
      <c r="BL11" s="25" t="inlineStr">
        <is>
          <t>34300</t>
        </is>
      </c>
      <c r="BM11" s="25" t="inlineStr">
        <is>
          <t>351/2/3/9</t>
        </is>
      </c>
      <c r="BN11" s="25" t="inlineStr">
        <is>
          <t>361/9</t>
        </is>
      </c>
      <c r="BO11" s="25" t="inlineStr">
        <is>
          <t>37/38</t>
        </is>
      </c>
      <c r="BP11" s="25" t="inlineStr">
        <is>
          <t>401</t>
        </is>
      </c>
      <c r="BQ11" s="25" t="inlineStr">
        <is>
          <t>402</t>
        </is>
      </c>
      <c r="BR11" s="25" t="inlineStr">
        <is>
          <t>41</t>
        </is>
      </c>
      <c r="BS11" s="25" t="inlineStr">
        <is>
          <t>45</t>
        </is>
      </c>
      <c r="BT11" s="25" t="inlineStr">
        <is>
          <t>502</t>
        </is>
      </c>
      <c r="BU11" s="25" t="inlineStr">
        <is>
          <t>51</t>
        </is>
      </c>
      <c r="BV11" s="25" t="inlineStr">
        <is>
          <t>521/5</t>
        </is>
      </c>
      <c r="BW11" s="25" t="inlineStr">
        <is>
          <t>526</t>
        </is>
      </c>
      <c r="BX11" s="25" t="inlineStr">
        <is>
          <t>551</t>
        </is>
      </c>
      <c r="BY11" s="25" t="inlineStr">
        <is>
          <t>552</t>
        </is>
      </c>
      <c r="BZ11" s="25" t="inlineStr">
        <is>
          <t>601</t>
        </is>
      </c>
      <c r="CA11" s="25" t="inlineStr">
        <is>
          <t>602</t>
        </is>
      </c>
      <c r="CB11" s="25" t="inlineStr">
        <is>
          <t>603</t>
        </is>
      </c>
      <c r="CC11" s="25" t="inlineStr">
        <is>
          <t>61</t>
        </is>
      </c>
      <c r="CD11" s="25" t="inlineStr">
        <is>
          <t>62</t>
        </is>
      </c>
      <c r="CE11" s="25" t="inlineStr">
        <is>
          <t>63</t>
        </is>
      </c>
      <c r="CF11" s="25" t="inlineStr">
        <is>
          <t>641</t>
        </is>
      </c>
      <c r="CG11" s="25" t="inlineStr">
        <is>
          <t>642</t>
        </is>
      </c>
      <c r="CH11" s="25" t="inlineStr">
        <is>
          <t>643</t>
        </is>
      </c>
      <c r="CI11" s="25" t="inlineStr">
        <is>
          <t>644</t>
        </is>
      </c>
      <c r="CJ11" s="25" t="inlineStr">
        <is>
          <t>651 2</t>
        </is>
      </c>
      <c r="CK11" s="25" t="inlineStr">
        <is>
          <t>659</t>
        </is>
      </c>
      <c r="CL11" s="25" t="inlineStr">
        <is>
          <t>66</t>
        </is>
      </c>
      <c r="CM11" s="25" t="inlineStr">
        <is>
          <t>67</t>
        </is>
      </c>
      <c r="CN11" s="25" t="inlineStr">
        <is>
          <t>701 A</t>
        </is>
      </c>
      <c r="CO11" s="25" t="inlineStr">
        <is>
          <t>701 B</t>
        </is>
      </c>
      <c r="CP11" s="25" t="inlineStr">
        <is>
          <t>702</t>
        </is>
      </c>
      <c r="CQ11" s="25" t="inlineStr">
        <is>
          <t>71</t>
        </is>
      </c>
      <c r="CR11" s="25" t="inlineStr">
        <is>
          <t>72</t>
        </is>
      </c>
      <c r="CS11" s="25" t="inlineStr">
        <is>
          <t>73 PR</t>
        </is>
      </c>
      <c r="CT11" s="25" t="inlineStr">
        <is>
          <t>73 PU</t>
        </is>
      </c>
      <c r="CU11" s="25" t="inlineStr">
        <is>
          <t>74</t>
        </is>
      </c>
      <c r="CV11" s="25" t="inlineStr">
        <is>
          <t>75</t>
        </is>
      </c>
      <c r="CW11" s="25" t="inlineStr">
        <is>
          <t>80 PR</t>
        </is>
      </c>
      <c r="CX11" s="25" t="inlineStr">
        <is>
          <t>80 PU</t>
        </is>
      </c>
      <c r="CY11" s="25" t="inlineStr">
        <is>
          <t>85 PR</t>
        </is>
      </c>
      <c r="CZ11" s="25" t="inlineStr">
        <is>
          <t>85 PU</t>
        </is>
      </c>
      <c r="DA11" s="25" t="inlineStr">
        <is>
          <t>900</t>
        </is>
      </c>
      <c r="DB11" s="25" t="inlineStr">
        <is>
          <t>919</t>
        </is>
      </c>
      <c r="DC11" s="25" t="inlineStr">
        <is>
          <t>92</t>
        </is>
      </c>
      <c r="DD11" s="25" t="inlineStr">
        <is>
          <t>930</t>
        </is>
      </c>
      <c r="DE11" s="25" t="inlineStr">
        <is>
          <t>950</t>
        </is>
      </c>
      <c r="DG11" s="25" t="inlineStr"/>
      <c r="DH11" s="25" t="inlineStr"/>
      <c r="DI11" s="25" t="inlineStr"/>
      <c r="DJ11" s="25" t="inlineStr"/>
    </row>
    <row r="12" ht="90" customHeight="1">
      <c r="A12" s="26" t="n"/>
      <c r="B12" s="26" t="n"/>
      <c r="C12" s="27" t="inlineStr">
        <is>
          <t>Cultivos agrícolas. Servicios agrícolas y pecuarios, excepto los veterinarios</t>
        </is>
      </c>
      <c r="D12" s="27" t="inlineStr">
        <is>
          <t>Cría de animales</t>
        </is>
      </c>
      <c r="E12" s="27" t="inlineStr">
        <is>
          <t>Caza, repoblación de animales de caza y servicios conexos</t>
        </is>
      </c>
      <c r="F12" s="27" t="inlineStr">
        <is>
          <t>Construcciones agropecuarias</t>
        </is>
      </c>
      <c r="G12" s="27" t="inlineStr">
        <is>
          <t>Silvicultura, extracción de madera y servicios conexos</t>
        </is>
      </c>
      <c r="H12" s="27" t="inlineStr">
        <is>
          <t>Pesca</t>
        </is>
      </c>
      <c r="I12" s="27" t="inlineStr">
        <is>
          <t>Extracción y aglomeración de carbón de piedra</t>
        </is>
      </c>
      <c r="J12" s="27" t="inlineStr">
        <is>
          <t>Extracción de petróleo crudo y gas natural.</t>
        </is>
      </c>
      <c r="K12" s="27" t="inlineStr">
        <is>
          <t>Actividades de servicios relacionadas con la extracción de petróleo y gas excepto las act. de prospección</t>
        </is>
      </c>
      <c r="L12" s="27" t="inlineStr">
        <is>
          <t>Extracción de minerales metalíferos no ferrosos, excepto los minerales de uranio y torio</t>
        </is>
      </c>
      <c r="M12" s="27" t="inlineStr">
        <is>
          <t>Extracción de piedra arena y arcilla. Explotación de minas y canteras n.c.p</t>
        </is>
      </c>
      <c r="N12" s="27" t="inlineStr">
        <is>
          <t>Producción, procesamiento y conservación de carne y productos cárnicos</t>
        </is>
      </c>
      <c r="O12" s="27" t="inlineStr">
        <is>
          <t>Elaboración de pescado y productos de pescado</t>
        </is>
      </c>
      <c r="P12" s="27" t="inlineStr">
        <is>
          <t>Preparación de frutas, hortalizas y legumbres</t>
        </is>
      </c>
      <c r="Q12" s="27" t="inlineStr">
        <is>
          <t>Elaboración de aceites y grasas de origen vegetal</t>
        </is>
      </c>
      <c r="R12" s="27" t="inlineStr">
        <is>
          <t>Elaboración de productos lácteos</t>
        </is>
      </c>
      <c r="S12" s="27" t="inlineStr">
        <is>
          <t>Elaboración de productos de molinería. Elaboración de almidones y productos derivados del almidón</t>
        </is>
      </c>
      <c r="T12" s="27" t="inlineStr">
        <is>
          <t>15330 - Elaboración de alimentos preparados para animales</t>
        </is>
      </c>
      <c r="U12" s="27" t="inlineStr">
        <is>
          <t>Elaboración de productos de panadería</t>
        </is>
      </c>
      <c r="V12" s="27" t="inlineStr">
        <is>
          <t>15420 - Elaboración de azúcar</t>
        </is>
      </c>
      <c r="W12" s="27" t="inlineStr">
        <is>
          <t>15430 - Elaboración de cacao y chocolate y de productos de confitería</t>
        </is>
      </c>
      <c r="X12" s="27" t="inlineStr">
        <is>
          <t>15441 - Elaboración de pastas alimenticias frescas. 15442 - Elaboración de pastas alimenticias secas</t>
        </is>
      </c>
      <c r="Y12" s="27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27" t="inlineStr">
        <is>
          <t>15510 - Destilación, rectificación y mezcla de bebidas alcohólicas; producción de alcohol etílico</t>
        </is>
      </c>
      <c r="AA12" s="27" t="inlineStr">
        <is>
          <t>15521 - Elaboración de vinos. 15529 - Elaboración de sidra y otras bebidas alcohólicas fermentadas a partir de frutas</t>
        </is>
      </c>
      <c r="AB12" s="27" t="inlineStr">
        <is>
          <t>15530 - Elaboración de cerveza, bebidas malteadas y de malta</t>
        </is>
      </c>
      <c r="AC12" s="27" t="inlineStr">
        <is>
          <t>15541 - Elaboración de soda y aguas. 15542 - Elaboración de bebidas gaseosas, excepto soda. 15549 - Elaboración de hielo, jugos envasados para diluir y otras bebidas no alcohólicas</t>
        </is>
      </c>
      <c r="AD12" s="27" t="inlineStr">
        <is>
          <t>16001 - Preparación de hojas de tabaco. 16009 - Elaboración de cigarrillos y productos de tabaco n.c.p.</t>
        </is>
      </c>
      <c r="AE12" s="27" t="inlineStr">
        <is>
          <t>Hilatura, tejedura y acabado de productos textiles. Fabricación de otros productos textiles</t>
        </is>
      </c>
      <c r="AF12" s="27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27" t="inlineStr">
        <is>
          <t>19110 - Curtido y terminación de cueros. 19120 - Fabricación de maletas, bolsos de mano y similares, artículos de talabartería y artículos de cuero n.c.p.</t>
        </is>
      </c>
      <c r="AH12" s="27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27" t="inlineStr">
        <is>
          <t>Aserrado y acepilladura de madera. Fabricación de productos de madera, corcho, paja y materiales trenzables</t>
        </is>
      </c>
      <c r="AJ12" s="27" t="inlineStr">
        <is>
          <t>Fabricación de papel y de productos de papel</t>
        </is>
      </c>
      <c r="AK12" s="27" t="inlineStr">
        <is>
          <t>Actividades de edición</t>
        </is>
      </c>
      <c r="AL12" s="27" t="inlineStr">
        <is>
          <t>22210 - Impresión. 22220-Servicios relacionados con la impresión</t>
        </is>
      </c>
      <c r="AM12" s="27" t="inlineStr">
        <is>
          <t>23200 - Fabricación de productos de la refinación del petróleo. 23300-Fabricación de combustible nuclear</t>
        </is>
      </c>
      <c r="AN12" s="27" t="inlineStr">
        <is>
          <t>24111 - Fabricación de gases comprimidos y licuados. 24119-Fabricación de materias químicas orgánicas básicas, n.c.p.</t>
        </is>
      </c>
      <c r="AO12" s="27" t="inlineStr">
        <is>
          <t>24120 - Fabricación de abonos y compuestos de nitrógeno. 24210 - Fabricación de plaguicidas y productos químicos de uso agropecuario</t>
        </is>
      </c>
      <c r="AP12" s="27" t="inlineStr">
        <is>
          <t>24130 - Fabricación de plásticos en formas primarias y de caucho sintético</t>
        </is>
      </c>
      <c r="AQ12" s="27" t="inlineStr">
        <is>
          <t>Fabricación de otros productos químicos (excl 24210 - Fabricación de plaguicidas y productos químicos de uso agropecuario)</t>
        </is>
      </c>
      <c r="AR12" s="27" t="inlineStr">
        <is>
          <t>Fabricación de productos de caucho</t>
        </is>
      </c>
      <c r="AS12" s="27" t="inlineStr">
        <is>
          <t>25201 - Fabricación de envases plásticos. 25209 - Fabricación de productos plásticos en formas básicas y artículos de plástico n.c.p., excepto muebles</t>
        </is>
      </c>
      <c r="AT12" s="27" t="inlineStr">
        <is>
          <t>26101 - Fabricación de envases de vidrio. 26102 - Fabricación y elaboración de vidrio plano. 26109 - Fabricación de productos de vidrio n.c.p.</t>
        </is>
      </c>
      <c r="AU12" s="27" t="inlineStr">
        <is>
          <t>Fabricación de productos minerales no metálicos n.c.p.</t>
        </is>
      </c>
      <c r="AV12" s="27" t="inlineStr">
        <is>
          <t>27100 - Industrias básicas de hierro y acero</t>
        </is>
      </c>
      <c r="AW12" s="27" t="inlineStr">
        <is>
          <t>27201 - Elaboración de aluminio primario y semielaborados de aluminio. 27209 - Producción de metales no ferrosos n.c.p. y sus semielaborados</t>
        </is>
      </c>
      <c r="AX12" s="27" t="inlineStr">
        <is>
          <t>27310 - Fundición de hierro y acero. 27320 - Fundición de metales no ferrosos</t>
        </is>
      </c>
      <c r="AY12" s="27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27" t="inlineStr">
        <is>
          <t>Fabricación de otros productos elaborados de metal; actividades de servicios de trabajo de metales</t>
        </is>
      </c>
      <c r="BA12" s="27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27" t="inlineStr">
        <is>
          <t>Fabricación de maquinaria de uso especial</t>
        </is>
      </c>
      <c r="BC12" s="27" t="inlineStr">
        <is>
          <t>29300 - Fabricación de aparatos de uso doméstico n.c.p.</t>
        </is>
      </c>
      <c r="BD12" s="27" t="inlineStr">
        <is>
          <t>30000 - Fabricación de maquinaria de oficina, contabilidad e informática</t>
        </is>
      </c>
      <c r="BE12" s="27" t="inlineStr">
        <is>
          <t>31100 - Fabricación de motores, generadores y transformadores eléctricos. 31200 - Fabricación de aparatos de distribución y control de la energía eléctrica</t>
        </is>
      </c>
      <c r="BF12" s="27" t="inlineStr">
        <is>
          <t>31300 - Fabricación de hilos y cables aislados</t>
        </is>
      </c>
      <c r="BG12" s="27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27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27" t="inlineStr">
        <is>
          <t>32300 - Fabricación de receptores de radio y televisión, aparatos de grabación y reproducción de sonido y video, y productos conexos</t>
        </is>
      </c>
      <c r="BJ12" s="27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27" t="inlineStr">
        <is>
          <t>Fabricación de vehículos automotores. Fabricación de carrocerías para vehículos automotores; fabricación de remolques y semirremolques</t>
        </is>
      </c>
      <c r="BL12" s="27" t="inlineStr">
        <is>
          <t>34300 - Fabricación de partes; piezas y accesorios para vehículos automotores y sus motores</t>
        </is>
      </c>
      <c r="BM12" s="27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27" t="inlineStr">
        <is>
          <t>Fabricación de muebles. Industrias manufactureras, n.c.p.</t>
        </is>
      </c>
      <c r="BO12" s="27" t="inlineStr">
        <is>
          <t>Reciclado. Reparación y mantenimiento</t>
        </is>
      </c>
      <c r="BP12" s="27" t="inlineStr">
        <is>
          <t>Generación captación y distribución de energía eléctrica</t>
        </is>
      </c>
      <c r="BQ12" s="27" t="inlineStr">
        <is>
          <t>Fabricación de gas ; distribución de combustibles gaseosos por tuberías</t>
        </is>
      </c>
      <c r="BR12" s="27" t="inlineStr">
        <is>
          <t>Captación , depuración y distribución de agua</t>
        </is>
      </c>
      <c r="BS12" s="27" t="inlineStr">
        <is>
          <t>Construcción</t>
        </is>
      </c>
      <c r="BT12" s="27" t="inlineStr">
        <is>
          <t>Comercios por mayor y menor, mantenimiento y reparación de automotores</t>
        </is>
      </c>
      <c r="BU12" s="27" t="inlineStr">
        <is>
          <t>Comercio mayorista</t>
        </is>
      </c>
      <c r="BV12" s="27" t="inlineStr">
        <is>
          <t>521/5 - Comercio minorista excepto reparaciones</t>
        </is>
      </c>
      <c r="BW12" s="27" t="inlineStr">
        <is>
          <t>Reparación de efectos personales y enseres domésticos</t>
        </is>
      </c>
      <c r="BX12" s="27" t="inlineStr">
        <is>
          <t>Hoteles ; campamentos y otros tipos de hospedaje temporal</t>
        </is>
      </c>
      <c r="BY12" s="27" t="inlineStr">
        <is>
          <t>Restaurantes, bares y cantinas</t>
        </is>
      </c>
      <c r="BZ12" s="27" t="inlineStr">
        <is>
          <t>Servicio de transporte ferroviario</t>
        </is>
      </c>
      <c r="CA12" s="27" t="inlineStr">
        <is>
          <t>Servicio de transporte automotor</t>
        </is>
      </c>
      <c r="CB12" s="27" t="inlineStr">
        <is>
          <t>Transporte por tuberías</t>
        </is>
      </c>
      <c r="CC12" s="27" t="inlineStr">
        <is>
          <t>TRANSPORTE POR VÍA ACUÁTICA</t>
        </is>
      </c>
      <c r="CD12" s="27" t="inlineStr">
        <is>
          <t>TRANSPORTE POR VÍA AÉREA</t>
        </is>
      </c>
      <c r="CE12" s="27" t="inlineStr">
        <is>
          <t>ACTIVIDADES DE TRANSPORTE COMPLEMENTARIAS Y AUXILIARES; ACTIVIDADES DE AGENCIAS DE VIAJES</t>
        </is>
      </c>
      <c r="CF12" s="27" t="inlineStr">
        <is>
          <t>Servicios de correos</t>
        </is>
      </c>
      <c r="CG12" s="27" t="inlineStr">
        <is>
          <t>Servicios de transmisión de radio y televisión</t>
        </is>
      </c>
      <c r="CH12" s="27" t="inlineStr">
        <is>
          <t>Servicios de Telecomunicaciones</t>
        </is>
      </c>
      <c r="CI12" s="27" t="inlineStr">
        <is>
          <t>Servicios de Internet</t>
        </is>
      </c>
      <c r="CJ12" s="27" t="inlineStr">
        <is>
          <t>651 2 - Intermediación monetaria</t>
        </is>
      </c>
      <c r="CK12" s="27" t="inlineStr">
        <is>
          <t>Otros tipos de intermediación financiera</t>
        </is>
      </c>
      <c r="CL12" s="27" t="inlineStr">
        <is>
          <t>Financiación de planes de seguros y de pensiones, excepto los planes</t>
        </is>
      </c>
      <c r="CM12" s="27" t="inlineStr">
        <is>
          <t>ACTIVIDADES AUXILIARES DE LA INTERMEDIACIÓN</t>
        </is>
      </c>
      <c r="CN12" s="27" t="inlineStr">
        <is>
          <t>701 A - Propiedad de la vivienda.</t>
        </is>
      </c>
      <c r="CO12" s="27" t="inlineStr">
        <is>
          <t>701 B - Alquiler de los sectores productores.</t>
        </is>
      </c>
      <c r="CP12" s="27" t="inlineStr">
        <is>
          <t>Actividades inmobiliarias realizadas a cambio de una retribución o por contrata</t>
        </is>
      </c>
      <c r="CQ12" s="27" t="inlineStr">
        <is>
          <t>ALQUILER DE MAQUINARIA Y EQUIPO SIN OPERARIOS Y DE EFECTOS PERSONALES Y ENSERES DOMÉSTICOS</t>
        </is>
      </c>
      <c r="CR12" s="27" t="inlineStr">
        <is>
          <t>Informática y actividades conexas</t>
        </is>
      </c>
      <c r="CS12" s="27" t="inlineStr">
        <is>
          <t>Servicios de Investigación y Desarrollo - PRIVADO</t>
        </is>
      </c>
      <c r="CT12" s="27" t="inlineStr">
        <is>
          <t>Servicios de Investigación y Desarrollo - PUBLICO</t>
        </is>
      </c>
      <c r="CU12" s="27" t="inlineStr">
        <is>
          <t>OTRAS ACTIVIDADES EMPRESARIALES</t>
        </is>
      </c>
      <c r="CV12" s="27" t="inlineStr">
        <is>
          <t>Administración Pública y Defensa; Planes de Seguridad Social de Afiliación Obligatoria</t>
        </is>
      </c>
      <c r="CW12" s="27" t="inlineStr">
        <is>
          <t>Enseñanza Privada - Adultos y otros servicios de enseñanza</t>
        </is>
      </c>
      <c r="CX12" s="27" t="inlineStr">
        <is>
          <t>Enseñanza Pública - Todos los niveles</t>
        </is>
      </c>
      <c r="CY12" s="27" t="inlineStr">
        <is>
          <t>SERVICIOS SOCIALES Y DE SALUD - Privados</t>
        </is>
      </c>
      <c r="CZ12" s="27" t="inlineStr">
        <is>
          <t>SERVICIOS SOCIALES Y DE SALUD - Públicos</t>
        </is>
      </c>
      <c r="DA12" s="27" t="inlineStr">
        <is>
          <t>Eliminación de desperdicios y aguas residuales, saneamiento y servicios similares</t>
        </is>
      </c>
      <c r="DB12" s="27" t="inlineStr">
        <is>
          <t>Servicios de asociaciones n.c.p.</t>
        </is>
      </c>
      <c r="DC12" s="27" t="inlineStr">
        <is>
          <t>ACTIVIDADES DE ESPARCIMIENTO Y ACTIVIDADES CULTURALES Y DEPORTIVAS</t>
        </is>
      </c>
      <c r="DD12" s="27" t="inlineStr">
        <is>
          <t>Otras actividades de servicios</t>
        </is>
      </c>
      <c r="DE12" s="27" t="inlineStr">
        <is>
          <t>Servicios de hogares privados que contratan servicio doméstico</t>
        </is>
      </c>
      <c r="DF12" s="26" t="n"/>
      <c r="DG12" s="27" t="inlineStr">
        <is>
          <t>Gasto de consumo final</t>
        </is>
      </c>
      <c r="DH12" s="27" t="inlineStr">
        <is>
          <t>Formacion bruta de capital</t>
        </is>
      </c>
      <c r="DI12" s="27" t="inlineStr">
        <is>
          <t>Exportaciones netas</t>
        </is>
      </c>
      <c r="DJ12" s="27" t="inlineStr">
        <is>
          <t>Sin desglose fuente</t>
        </is>
      </c>
      <c r="DK12" s="26" t="n"/>
      <c r="DL12" s="26" t="n"/>
    </row>
    <row r="13"/>
    <row r="14">
      <c r="A14" s="28" t="inlineStr">
        <is>
          <t>011/014</t>
        </is>
      </c>
      <c r="B14" s="28" t="inlineStr">
        <is>
          <t>Cultivos agrícolas. Servicios agrícolas y pecuarios, excepto los veterinarios</t>
        </is>
      </c>
      <c r="C14" s="29" t="n">
        <v>128181255.5161612</v>
      </c>
      <c r="D14" s="29" t="n">
        <v>24687618.84117258</v>
      </c>
      <c r="E14" s="29" t="n">
        <v>0</v>
      </c>
      <c r="F14" s="29" t="n">
        <v>274146.8330161646</v>
      </c>
      <c r="G14" s="29" t="n">
        <v>6332814.837032218</v>
      </c>
      <c r="H14" s="29" t="n">
        <v>867314.8207597983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190026.7205920677</v>
      </c>
      <c r="O14" s="29" t="n">
        <v>0</v>
      </c>
      <c r="P14" s="29" t="n">
        <v>4939952.163052125</v>
      </c>
      <c r="Q14" s="29" t="n">
        <v>240418020.3635487</v>
      </c>
      <c r="R14" s="29" t="n">
        <v>188361.1355364755</v>
      </c>
      <c r="S14" s="29" t="n">
        <v>62436239.78767449</v>
      </c>
      <c r="T14" s="29" t="n">
        <v>25169144.35391304</v>
      </c>
      <c r="U14" s="29" t="n">
        <v>921042.6492864126</v>
      </c>
      <c r="V14" s="29" t="n">
        <v>11780670.44366824</v>
      </c>
      <c r="W14" s="29" t="n">
        <v>523840.9738127709</v>
      </c>
      <c r="X14" s="29" t="n">
        <v>862606.4087638542</v>
      </c>
      <c r="Y14" s="29" t="n">
        <v>11028319.43480287</v>
      </c>
      <c r="Z14" s="29" t="n">
        <v>153985.4523863642</v>
      </c>
      <c r="AA14" s="29" t="n">
        <v>2982696.230715419</v>
      </c>
      <c r="AB14" s="29" t="n">
        <v>5269556.671433218</v>
      </c>
      <c r="AC14" s="29" t="n">
        <v>191545.9367152933</v>
      </c>
      <c r="AD14" s="29" t="n">
        <v>5568391.03074129</v>
      </c>
      <c r="AE14" s="29" t="n">
        <v>13850672.828765</v>
      </c>
      <c r="AF14" s="29" t="n">
        <v>0</v>
      </c>
      <c r="AG14" s="29" t="n">
        <v>0</v>
      </c>
      <c r="AH14" s="29" t="n">
        <v>0</v>
      </c>
      <c r="AI14" s="29" t="n">
        <v>190.0902451182297</v>
      </c>
      <c r="AJ14" s="29" t="n">
        <v>14778.68904787798</v>
      </c>
      <c r="AK14" s="29" t="n">
        <v>0</v>
      </c>
      <c r="AL14" s="29" t="n">
        <v>0</v>
      </c>
      <c r="AM14" s="29" t="n">
        <v>0</v>
      </c>
      <c r="AN14" s="29" t="n">
        <v>4442.089640210223</v>
      </c>
      <c r="AO14" s="29" t="n">
        <v>0</v>
      </c>
      <c r="AP14" s="29" t="n">
        <v>959989.2055961419</v>
      </c>
      <c r="AQ14" s="29" t="n">
        <v>645752.7611615205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30874.29485776531</v>
      </c>
      <c r="BA14" s="29" t="n">
        <v>0</v>
      </c>
      <c r="BB14" s="29" t="n">
        <v>490.5931605137495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75649.4658030774</v>
      </c>
      <c r="BM14" s="29" t="n">
        <v>0</v>
      </c>
      <c r="BN14" s="29" t="n">
        <v>0</v>
      </c>
      <c r="BO14" s="29" t="n">
        <v>0</v>
      </c>
      <c r="BP14" s="29" t="n">
        <v>5299.050606533015</v>
      </c>
      <c r="BQ14" s="29" t="n">
        <v>0</v>
      </c>
      <c r="BR14" s="29" t="n">
        <v>0</v>
      </c>
      <c r="BS14" s="29" t="n">
        <v>92052.12488625318</v>
      </c>
      <c r="BT14" s="29" t="n">
        <v>0</v>
      </c>
      <c r="BU14" s="29" t="n">
        <v>0</v>
      </c>
      <c r="BV14" s="29" t="n">
        <v>0</v>
      </c>
      <c r="BW14" s="29" t="n">
        <v>0</v>
      </c>
      <c r="BX14" s="29" t="n">
        <v>89902.12766007884</v>
      </c>
      <c r="BY14" s="29" t="n">
        <v>17920619.50539097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6.11716257391307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19124.09379866687</v>
      </c>
      <c r="CT14" s="29" t="n">
        <v>17462.40070005017</v>
      </c>
      <c r="CU14" s="29" t="n">
        <v>235523.4517460707</v>
      </c>
      <c r="CV14" s="29" t="n">
        <v>931628.6043632029</v>
      </c>
      <c r="CW14" s="29" t="n">
        <v>1135.592584313739</v>
      </c>
      <c r="CX14" s="29" t="n">
        <v>149062.2336287711</v>
      </c>
      <c r="CY14" s="29" t="n">
        <v>38299.50181386379</v>
      </c>
      <c r="CZ14" s="29" t="n">
        <v>4154.278475066232</v>
      </c>
      <c r="DA14" s="29" t="n">
        <v>0</v>
      </c>
      <c r="DB14" s="29" t="n">
        <v>235142.9579651645</v>
      </c>
      <c r="DC14" s="29" t="n">
        <v>128689.5893355226</v>
      </c>
      <c r="DD14" s="29" t="n">
        <v>0</v>
      </c>
      <c r="DE14" s="29" t="n">
        <v>0</v>
      </c>
      <c r="DF14" s="29">
        <f>SUM(C14:DE14)</f>
        <v/>
      </c>
      <c r="DG14" s="29" t="n">
        <v>0</v>
      </c>
      <c r="DH14" s="29" t="n">
        <v>0</v>
      </c>
      <c r="DI14" s="29" t="n">
        <v>408610141.2573199</v>
      </c>
      <c r="DJ14" s="29" t="n">
        <v>0</v>
      </c>
      <c r="DK14" s="29">
        <f>SUM(DG14:DJ14)</f>
        <v/>
      </c>
      <c r="DL14" s="29">
        <f>DF14+DK14</f>
        <v/>
      </c>
    </row>
    <row r="15">
      <c r="A15" s="30" t="inlineStr">
        <is>
          <t>012</t>
        </is>
      </c>
      <c r="B15" s="30" t="inlineStr">
        <is>
          <t>Cría de animales</t>
        </is>
      </c>
      <c r="C15" s="31" t="n">
        <v>1653401.231324618</v>
      </c>
      <c r="D15" s="31" t="n">
        <v>45334600.9706105</v>
      </c>
      <c r="E15" s="31" t="n">
        <v>0</v>
      </c>
      <c r="F15" s="31" t="n">
        <v>1118107.802065495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249552360.0726355</v>
      </c>
      <c r="O15" s="31" t="n">
        <v>0</v>
      </c>
      <c r="P15" s="31" t="n">
        <v>0</v>
      </c>
      <c r="Q15" s="31" t="n">
        <v>2185.713250741736</v>
      </c>
      <c r="R15" s="31" t="n">
        <v>38566696.69299301</v>
      </c>
      <c r="S15" s="31" t="n">
        <v>0</v>
      </c>
      <c r="T15" s="31" t="n">
        <v>0</v>
      </c>
      <c r="U15" s="31" t="n">
        <v>366200.9729686328</v>
      </c>
      <c r="V15" s="31" t="n">
        <v>0</v>
      </c>
      <c r="W15" s="31" t="n">
        <v>45510.99648036126</v>
      </c>
      <c r="X15" s="31" t="n">
        <v>230855.600610201</v>
      </c>
      <c r="Y15" s="31" t="n">
        <v>1840583.117108304</v>
      </c>
      <c r="Z15" s="31" t="n">
        <v>0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709762.313653624</v>
      </c>
      <c r="AF15" s="31" t="n">
        <v>30134.53916039415</v>
      </c>
      <c r="AG15" s="31" t="n">
        <v>6104425.20348014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289532.6672541745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10.77475258111875</v>
      </c>
      <c r="BO15" s="31" t="n">
        <v>0</v>
      </c>
      <c r="BP15" s="31" t="n">
        <v>500.5469214583496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46591.91002007744</v>
      </c>
      <c r="BV15" s="31" t="n">
        <v>580800.2379934333</v>
      </c>
      <c r="BW15" s="31" t="n">
        <v>0</v>
      </c>
      <c r="BX15" s="31" t="n">
        <v>11561.61904731858</v>
      </c>
      <c r="BY15" s="31" t="n">
        <v>4098108.721125885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4068.714409284482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1636.239936919553</v>
      </c>
      <c r="CT15" s="31" t="n">
        <v>1494.066998453321</v>
      </c>
      <c r="CU15" s="31" t="n">
        <v>960582.3495000954</v>
      </c>
      <c r="CV15" s="31" t="n">
        <v>79709.28949020061</v>
      </c>
      <c r="CW15" s="31" t="n">
        <v>131.240758371787</v>
      </c>
      <c r="CX15" s="31" t="n">
        <v>1790.741177973119</v>
      </c>
      <c r="CY15" s="31" t="n">
        <v>81467.51284182798</v>
      </c>
      <c r="CZ15" s="31" t="n">
        <v>1196.037812329155</v>
      </c>
      <c r="DA15" s="31" t="n">
        <v>0</v>
      </c>
      <c r="DB15" s="31" t="n">
        <v>146238.8112531461</v>
      </c>
      <c r="DC15" s="31" t="n">
        <v>422.6579473592593</v>
      </c>
      <c r="DD15" s="31" t="n">
        <v>0</v>
      </c>
      <c r="DE15" s="31" t="n">
        <v>0</v>
      </c>
      <c r="DF15" s="31">
        <f>SUM(C15:DE15)</f>
        <v/>
      </c>
      <c r="DG15" s="31" t="n">
        <v>0</v>
      </c>
      <c r="DH15" s="31" t="n">
        <v>0</v>
      </c>
      <c r="DI15" s="31" t="n">
        <v>41364393.59468906</v>
      </c>
      <c r="DJ15" s="31" t="n">
        <v>0</v>
      </c>
      <c r="DK15" s="31">
        <f>SUM(DG15:DJ15)</f>
        <v/>
      </c>
      <c r="DL15" s="31">
        <f>DF15+DK15</f>
        <v/>
      </c>
    </row>
    <row r="16">
      <c r="A16" s="28" t="inlineStr">
        <is>
          <t>015</t>
        </is>
      </c>
      <c r="B16" s="28" t="inlineStr">
        <is>
          <t>Caza, repoblación de animales de caza y servicios conexos</t>
        </is>
      </c>
      <c r="C16" s="29" t="n">
        <v>0</v>
      </c>
      <c r="D16" s="29" t="n">
        <v>16779.48705067446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13257.29098870482</v>
      </c>
      <c r="O16" s="29" t="n">
        <v>0</v>
      </c>
      <c r="P16" s="29" t="n">
        <v>0</v>
      </c>
      <c r="Q16" s="29" t="n">
        <v>0</v>
      </c>
      <c r="R16" s="29" t="n">
        <v>1328108.586304909</v>
      </c>
      <c r="S16" s="29" t="n">
        <v>0</v>
      </c>
      <c r="T16" s="29" t="n">
        <v>0</v>
      </c>
      <c r="U16" s="29" t="n">
        <v>12610.74186323083</v>
      </c>
      <c r="V16" s="29" t="n">
        <v>0</v>
      </c>
      <c r="W16" s="29" t="n">
        <v>1567.247142736027</v>
      </c>
      <c r="X16" s="29" t="n">
        <v>7949.898011946915</v>
      </c>
      <c r="Y16" s="29" t="n">
        <v>63383.55242344415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24441.85019274103</v>
      </c>
      <c r="AF16" s="29" t="n">
        <v>1037.733164492991</v>
      </c>
      <c r="AG16" s="29" t="n">
        <v>210216.0729952028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9861.120364473369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0.3710465931839766</v>
      </c>
      <c r="BO16" s="29" t="n">
        <v>0</v>
      </c>
      <c r="BP16" s="29" t="n">
        <v>17.23716888509416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1604.470205021554</v>
      </c>
      <c r="BV16" s="29" t="n">
        <v>20000.82581994011</v>
      </c>
      <c r="BW16" s="29" t="n">
        <v>0</v>
      </c>
      <c r="BX16" s="29" t="n">
        <v>366.6233359619289</v>
      </c>
      <c r="BY16" s="29" t="n">
        <v>141125.2154537565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140.1129732527753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17.06146291660232</v>
      </c>
      <c r="CT16" s="29" t="n">
        <v>15.57899187879553</v>
      </c>
      <c r="CU16" s="29" t="n">
        <v>0</v>
      </c>
      <c r="CV16" s="29" t="n">
        <v>831.1477162121369</v>
      </c>
      <c r="CW16" s="29" t="n">
        <v>0</v>
      </c>
      <c r="CX16" s="29" t="n">
        <v>50.31018707409038</v>
      </c>
      <c r="CY16" s="29" t="n">
        <v>2805.469811724764</v>
      </c>
      <c r="CZ16" s="29" t="n">
        <v>26.45269916171234</v>
      </c>
      <c r="DA16" s="29" t="n">
        <v>0</v>
      </c>
      <c r="DB16" s="29" t="n">
        <v>1559.212701126518</v>
      </c>
      <c r="DC16" s="29" t="n">
        <v>0</v>
      </c>
      <c r="DD16" s="29" t="n">
        <v>0</v>
      </c>
      <c r="DE16" s="29" t="n">
        <v>0</v>
      </c>
      <c r="DF16" s="29">
        <f>SUM(C16:DE16)</f>
        <v/>
      </c>
      <c r="DG16" s="29" t="n">
        <v>0</v>
      </c>
      <c r="DH16" s="29" t="n">
        <v>0</v>
      </c>
      <c r="DI16" s="29" t="n">
        <v>345712.6195526987</v>
      </c>
      <c r="DJ16" s="29" t="n">
        <v>0</v>
      </c>
      <c r="DK16" s="29">
        <f>SUM(DG16:DJ16)</f>
        <v/>
      </c>
      <c r="DL16" s="29">
        <f>DF16+DK16</f>
        <v/>
      </c>
    </row>
    <row r="17">
      <c r="A17" s="30" t="inlineStr">
        <is>
          <t>016</t>
        </is>
      </c>
      <c r="B17" s="30" t="inlineStr">
        <is>
          <t>Construcciones agropecuarias</t>
        </is>
      </c>
      <c r="C17" s="31" t="n">
        <v>0</v>
      </c>
      <c r="D17" s="31" t="n">
        <v>0</v>
      </c>
      <c r="E17" s="31" t="n">
        <v>0</v>
      </c>
      <c r="F17" s="31" t="n">
        <v>0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0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0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0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0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5764.358330836997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0</v>
      </c>
      <c r="CV17" s="31" t="n">
        <v>0</v>
      </c>
      <c r="CW17" s="31" t="n">
        <v>0</v>
      </c>
      <c r="CX17" s="31" t="n">
        <v>0</v>
      </c>
      <c r="CY17" s="31" t="n">
        <v>0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>
        <f>SUM(C17:DE17)</f>
        <v/>
      </c>
      <c r="DG17" s="31" t="n">
        <v>0</v>
      </c>
      <c r="DH17" s="31" t="n">
        <v>0</v>
      </c>
      <c r="DI17" s="31" t="n">
        <v>23141172.99220946</v>
      </c>
      <c r="DJ17" s="31" t="n">
        <v>0</v>
      </c>
      <c r="DK17" s="31">
        <f>SUM(DG17:DJ17)</f>
        <v/>
      </c>
      <c r="DL17" s="31">
        <f>DF17+DK17</f>
        <v/>
      </c>
    </row>
    <row r="18">
      <c r="A18" s="28" t="inlineStr">
        <is>
          <t>020</t>
        </is>
      </c>
      <c r="B18" s="28" t="inlineStr">
        <is>
          <t>Silvicultura, extracción de madera y servicios conexos</t>
        </is>
      </c>
      <c r="C18" s="29" t="n">
        <v>4232870.016471497</v>
      </c>
      <c r="D18" s="29" t="n">
        <v>1270384.405277282</v>
      </c>
      <c r="E18" s="29" t="n">
        <v>0</v>
      </c>
      <c r="F18" s="29" t="n">
        <v>3228455.290052135</v>
      </c>
      <c r="G18" s="29" t="n">
        <v>266933.3038611854</v>
      </c>
      <c r="H18" s="29" t="n">
        <v>45172.06048621263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10683.3202080948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41523.85283335944</v>
      </c>
      <c r="Z18" s="29" t="n">
        <v>978.2987840986602</v>
      </c>
      <c r="AA18" s="29" t="n">
        <v>337650.3223062808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91522.898514787</v>
      </c>
      <c r="AI18" s="29" t="n">
        <v>4792883.157584197</v>
      </c>
      <c r="AJ18" s="29" t="n">
        <v>3103653.941982483</v>
      </c>
      <c r="AK18" s="29" t="n">
        <v>260.6719085932647</v>
      </c>
      <c r="AL18" s="29" t="n">
        <v>0</v>
      </c>
      <c r="AM18" s="29" t="n">
        <v>0</v>
      </c>
      <c r="AN18" s="29" t="n">
        <v>178393.3116272113</v>
      </c>
      <c r="AO18" s="29" t="n">
        <v>6.124344147968968</v>
      </c>
      <c r="AP18" s="29" t="n">
        <v>0</v>
      </c>
      <c r="AQ18" s="29" t="n">
        <v>156155.7332067316</v>
      </c>
      <c r="AR18" s="29" t="n">
        <v>703238.2727689174</v>
      </c>
      <c r="AS18" s="29" t="n">
        <v>2800.381254834734</v>
      </c>
      <c r="AT18" s="29" t="n">
        <v>1103.992748708449</v>
      </c>
      <c r="AU18" s="29" t="n">
        <v>182244.8813618399</v>
      </c>
      <c r="AV18" s="29" t="n">
        <v>0</v>
      </c>
      <c r="AW18" s="29" t="n">
        <v>0</v>
      </c>
      <c r="AX18" s="29" t="n">
        <v>0</v>
      </c>
      <c r="AY18" s="29" t="n">
        <v>187.3110629900933</v>
      </c>
      <c r="AZ18" s="29" t="n">
        <v>93.30672547888518</v>
      </c>
      <c r="BA18" s="29" t="n">
        <v>23293.88665772167</v>
      </c>
      <c r="BB18" s="29" t="n">
        <v>936.2974849585318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99.09401243627299</v>
      </c>
      <c r="BK18" s="29" t="n">
        <v>0</v>
      </c>
      <c r="BL18" s="29" t="n">
        <v>32467.87182166573</v>
      </c>
      <c r="BM18" s="29" t="n">
        <v>4347.637766740726</v>
      </c>
      <c r="BN18" s="29" t="n">
        <v>138884.7786011305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31671.88611950082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278.683103335153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1284.6832185651</v>
      </c>
      <c r="CT18" s="29" t="n">
        <v>1173.057054174129</v>
      </c>
      <c r="CU18" s="29" t="n">
        <v>292466.277352949</v>
      </c>
      <c r="CV18" s="29" t="n">
        <v>62583.23382852564</v>
      </c>
      <c r="CW18" s="29" t="n">
        <v>34.49493527418484</v>
      </c>
      <c r="CX18" s="29" t="n">
        <v>100.4113304039663</v>
      </c>
      <c r="CY18" s="29" t="n">
        <v>0</v>
      </c>
      <c r="CZ18" s="29" t="n">
        <v>69.43419786622876</v>
      </c>
      <c r="DA18" s="29" t="n">
        <v>0</v>
      </c>
      <c r="DB18" s="29" t="n">
        <v>45323.91559635255</v>
      </c>
      <c r="DC18" s="29" t="n">
        <v>10.91784855561561</v>
      </c>
      <c r="DD18" s="29" t="n">
        <v>0</v>
      </c>
      <c r="DE18" s="29" t="n">
        <v>0</v>
      </c>
      <c r="DF18" s="29">
        <f>SUM(C18:DE18)</f>
        <v/>
      </c>
      <c r="DG18" s="29" t="n">
        <v>0</v>
      </c>
      <c r="DH18" s="29" t="n">
        <v>0</v>
      </c>
      <c r="DI18" s="29" t="n">
        <v>4838330.583698777</v>
      </c>
      <c r="DJ18" s="29" t="n">
        <v>0</v>
      </c>
      <c r="DK18" s="29">
        <f>SUM(DG18:DJ18)</f>
        <v/>
      </c>
      <c r="DL18" s="29">
        <f>DF18+DK18</f>
        <v/>
      </c>
    </row>
    <row r="19">
      <c r="A19" s="30" t="inlineStr">
        <is>
          <t>050</t>
        </is>
      </c>
      <c r="B19" s="30" t="inlineStr">
        <is>
          <t>Pesca</t>
        </is>
      </c>
      <c r="C19" s="31" t="n">
        <v>0</v>
      </c>
      <c r="D19" s="31" t="n">
        <v>0</v>
      </c>
      <c r="E19" s="31" t="n">
        <v>0</v>
      </c>
      <c r="F19" s="31" t="n">
        <v>0</v>
      </c>
      <c r="G19" s="31" t="n">
        <v>0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487808.8902369128</v>
      </c>
      <c r="O19" s="31" t="n">
        <v>14496468.46236538</v>
      </c>
      <c r="P19" s="31" t="n">
        <v>0</v>
      </c>
      <c r="Q19" s="31" t="n">
        <v>0</v>
      </c>
      <c r="R19" s="31" t="n">
        <v>0</v>
      </c>
      <c r="S19" s="31" t="n">
        <v>2728.754461059167</v>
      </c>
      <c r="T19" s="31" t="n">
        <v>3200018.055603318</v>
      </c>
      <c r="U19" s="31" t="n">
        <v>195123.5560947651</v>
      </c>
      <c r="V19" s="31" t="n">
        <v>0</v>
      </c>
      <c r="W19" s="31" t="n">
        <v>0</v>
      </c>
      <c r="X19" s="31" t="n">
        <v>0</v>
      </c>
      <c r="Y19" s="31" t="n">
        <v>1463426.670710739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0</v>
      </c>
      <c r="AE19" s="31" t="n">
        <v>0</v>
      </c>
      <c r="AF19" s="31" t="n">
        <v>0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99663.88671902381</v>
      </c>
      <c r="AR19" s="31" t="n">
        <v>0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</v>
      </c>
      <c r="AZ19" s="31" t="n">
        <v>0</v>
      </c>
      <c r="BA19" s="31" t="n">
        <v>0</v>
      </c>
      <c r="BB19" s="31" t="n">
        <v>0</v>
      </c>
      <c r="BC19" s="31" t="n">
        <v>0</v>
      </c>
      <c r="BD19" s="31" t="n">
        <v>0</v>
      </c>
      <c r="BE19" s="31" t="n">
        <v>0</v>
      </c>
      <c r="BF19" s="31" t="n">
        <v>0</v>
      </c>
      <c r="BG19" s="31" t="n">
        <v>0</v>
      </c>
      <c r="BH19" s="31" t="n">
        <v>0</v>
      </c>
      <c r="BI19" s="31" t="n">
        <v>0</v>
      </c>
      <c r="BJ19" s="31" t="n">
        <v>0</v>
      </c>
      <c r="BK19" s="31" t="n">
        <v>0</v>
      </c>
      <c r="BL19" s="31" t="n">
        <v>0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0</v>
      </c>
      <c r="BR19" s="31" t="n">
        <v>0</v>
      </c>
      <c r="BS19" s="31" t="n">
        <v>0</v>
      </c>
      <c r="BT19" s="31" t="n">
        <v>0</v>
      </c>
      <c r="BU19" s="31" t="n">
        <v>0</v>
      </c>
      <c r="BV19" s="31" t="n">
        <v>0</v>
      </c>
      <c r="BW19" s="31" t="n">
        <v>0</v>
      </c>
      <c r="BX19" s="31" t="n">
        <v>191640.6006184735</v>
      </c>
      <c r="BY19" s="31" t="n">
        <v>16696067.07988057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0</v>
      </c>
      <c r="CF19" s="31" t="n">
        <v>0</v>
      </c>
      <c r="CG19" s="31" t="n">
        <v>0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0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>
        <f>SUM(C19:DE19)</f>
        <v/>
      </c>
      <c r="DG19" s="31" t="n">
        <v>0</v>
      </c>
      <c r="DH19" s="31" t="n">
        <v>0</v>
      </c>
      <c r="DI19" s="31" t="n">
        <v>45055201.35467026</v>
      </c>
      <c r="DJ19" s="31" t="n">
        <v>0</v>
      </c>
      <c r="DK19" s="31">
        <f>SUM(DG19:DJ19)</f>
        <v/>
      </c>
      <c r="DL19" s="31">
        <f>DF19+DK19</f>
        <v/>
      </c>
    </row>
    <row r="20">
      <c r="A20" s="28" t="inlineStr">
        <is>
          <t>101</t>
        </is>
      </c>
      <c r="B20" s="28" t="inlineStr">
        <is>
          <t>Extracción y aglomeración de carbón de piedra</t>
        </is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1416253.620652252</v>
      </c>
      <c r="AW20" s="29" t="n">
        <v>0</v>
      </c>
      <c r="AX20" s="29" t="n">
        <v>38475.25686612151</v>
      </c>
      <c r="AY20" s="29" t="n">
        <v>0</v>
      </c>
      <c r="AZ20" s="29" t="n">
        <v>790.7078257405467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18625.18007324925</v>
      </c>
      <c r="BM20" s="29" t="n">
        <v>0</v>
      </c>
      <c r="BN20" s="29" t="n">
        <v>0</v>
      </c>
      <c r="BO20" s="29" t="n">
        <v>0</v>
      </c>
      <c r="BP20" s="29" t="n">
        <v>804266.2477624277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0</v>
      </c>
      <c r="CY20" s="29" t="n">
        <v>0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>
        <f>SUM(C20:DE20)</f>
        <v/>
      </c>
      <c r="DG20" s="29" t="n">
        <v>0</v>
      </c>
      <c r="DH20" s="29" t="n">
        <v>0</v>
      </c>
      <c r="DI20" s="29" t="n">
        <v>8731.785539618993</v>
      </c>
      <c r="DJ20" s="29" t="n">
        <v>0</v>
      </c>
      <c r="DK20" s="29">
        <f>SUM(DG20:DJ20)</f>
        <v/>
      </c>
      <c r="DL20" s="29">
        <f>DF20+DK20</f>
        <v/>
      </c>
    </row>
    <row r="21">
      <c r="A21" s="30" t="inlineStr">
        <is>
          <t>111</t>
        </is>
      </c>
      <c r="B21" s="30" t="inlineStr">
        <is>
          <t>Extracción de petróleo crudo y gas natural.</t>
        </is>
      </c>
      <c r="C21" s="31" t="n">
        <v>616521.6931018312</v>
      </c>
      <c r="D21" s="31" t="n">
        <v>66327.46795940712</v>
      </c>
      <c r="E21" s="31" t="n">
        <v>0</v>
      </c>
      <c r="F21" s="31" t="n">
        <v>0</v>
      </c>
      <c r="G21" s="31" t="n">
        <v>0</v>
      </c>
      <c r="H21" s="31" t="n">
        <v>4598.038501068516</v>
      </c>
      <c r="I21" s="31" t="n">
        <v>1838.029154117271</v>
      </c>
      <c r="J21" s="31" t="n">
        <v>235001.4904544993</v>
      </c>
      <c r="K21" s="31" t="n">
        <v>49156.02643513423</v>
      </c>
      <c r="L21" s="31" t="n">
        <v>6929.429030540105</v>
      </c>
      <c r="M21" s="31" t="n">
        <v>16694.88051031619</v>
      </c>
      <c r="N21" s="31" t="n">
        <v>35346.30590764181</v>
      </c>
      <c r="O21" s="31" t="n">
        <v>14820.2494276859</v>
      </c>
      <c r="P21" s="31" t="n">
        <v>5061.732356500888</v>
      </c>
      <c r="Q21" s="31" t="n">
        <v>93095.36392899095</v>
      </c>
      <c r="R21" s="31" t="n">
        <v>19015.52882246639</v>
      </c>
      <c r="S21" s="31" t="n">
        <v>18443.34704045035</v>
      </c>
      <c r="T21" s="31" t="n">
        <v>31758.58586612365</v>
      </c>
      <c r="U21" s="31" t="n">
        <v>11211.41902613488</v>
      </c>
      <c r="V21" s="31" t="n">
        <v>3216.162697960342</v>
      </c>
      <c r="W21" s="31" t="n">
        <v>7071.16890869449</v>
      </c>
      <c r="X21" s="31" t="n">
        <v>3706.383774908348</v>
      </c>
      <c r="Y21" s="31" t="n">
        <v>54966.58050440157</v>
      </c>
      <c r="Z21" s="31" t="n">
        <v>8417.921550971147</v>
      </c>
      <c r="AA21" s="31" t="n">
        <v>17746.45825858436</v>
      </c>
      <c r="AB21" s="31" t="n">
        <v>2853.840878054608</v>
      </c>
      <c r="AC21" s="31" t="n">
        <v>6126.550091080946</v>
      </c>
      <c r="AD21" s="31" t="n">
        <v>247.3720820501577</v>
      </c>
      <c r="AE21" s="31" t="n">
        <v>4536.461595614404</v>
      </c>
      <c r="AF21" s="31" t="n">
        <v>11560.75732454853</v>
      </c>
      <c r="AG21" s="31" t="n">
        <v>4936.546624910948</v>
      </c>
      <c r="AH21" s="31" t="n">
        <v>553.7904246325227</v>
      </c>
      <c r="AI21" s="31" t="n">
        <v>2734.05138141393</v>
      </c>
      <c r="AJ21" s="31" t="n">
        <v>8823.719393818541</v>
      </c>
      <c r="AK21" s="31" t="n">
        <v>9174.687882882567</v>
      </c>
      <c r="AL21" s="31" t="n">
        <v>3807.727995805797</v>
      </c>
      <c r="AM21" s="31" t="n">
        <v>330607169.5868442</v>
      </c>
      <c r="AN21" s="31" t="n">
        <v>2988917.908901058</v>
      </c>
      <c r="AO21" s="31" t="n">
        <v>2968813.414266335</v>
      </c>
      <c r="AP21" s="31" t="n">
        <v>769632.0122131578</v>
      </c>
      <c r="AQ21" s="31" t="n">
        <v>50458.64594887828</v>
      </c>
      <c r="AR21" s="31" t="n">
        <v>3015.008903621622</v>
      </c>
      <c r="AS21" s="31" t="n">
        <v>4638.125944528336</v>
      </c>
      <c r="AT21" s="31" t="n">
        <v>5439.524718620883</v>
      </c>
      <c r="AU21" s="31" t="n">
        <v>805012.9457053324</v>
      </c>
      <c r="AV21" s="31" t="n">
        <v>17000.12239880366</v>
      </c>
      <c r="AW21" s="31" t="n">
        <v>454815.971167658</v>
      </c>
      <c r="AX21" s="31" t="n">
        <v>1125.657347532888</v>
      </c>
      <c r="AY21" s="31" t="n">
        <v>20811.60366590641</v>
      </c>
      <c r="AZ21" s="31" t="n">
        <v>23762.78956989686</v>
      </c>
      <c r="BA21" s="31" t="n">
        <v>6570.502235487458</v>
      </c>
      <c r="BB21" s="31" t="n">
        <v>32513.119490353</v>
      </c>
      <c r="BC21" s="31" t="n">
        <v>4828.761749568008</v>
      </c>
      <c r="BD21" s="31" t="n">
        <v>348.7417267785197</v>
      </c>
      <c r="BE21" s="31" t="n">
        <v>1814.101819177656</v>
      </c>
      <c r="BF21" s="31" t="n">
        <v>1137.188014297844</v>
      </c>
      <c r="BG21" s="31" t="n">
        <v>4064.925992376834</v>
      </c>
      <c r="BH21" s="31" t="n">
        <v>1321.800730002016</v>
      </c>
      <c r="BI21" s="31" t="n">
        <v>91.69103619644719</v>
      </c>
      <c r="BJ21" s="31" t="n">
        <v>2077.230183437278</v>
      </c>
      <c r="BK21" s="31" t="n">
        <v>84242.67184608124</v>
      </c>
      <c r="BL21" s="31" t="n">
        <v>2358.91316659771</v>
      </c>
      <c r="BM21" s="31" t="n">
        <v>1495.181606492095</v>
      </c>
      <c r="BN21" s="31" t="n">
        <v>214300.478240499</v>
      </c>
      <c r="BO21" s="31" t="n">
        <v>9166.633294782057</v>
      </c>
      <c r="BP21" s="31" t="n">
        <v>31359041.75806816</v>
      </c>
      <c r="BQ21" s="31" t="n">
        <v>30730670.17500114</v>
      </c>
      <c r="BR21" s="31" t="n">
        <v>356237.5492516348</v>
      </c>
      <c r="BS21" s="31" t="n">
        <v>79539.94232378145</v>
      </c>
      <c r="BT21" s="31" t="n">
        <v>277634.641380565</v>
      </c>
      <c r="BU21" s="31" t="n">
        <v>880719.7195092865</v>
      </c>
      <c r="BV21" s="31" t="n">
        <v>1397960.487399468</v>
      </c>
      <c r="BW21" s="31" t="n">
        <v>0</v>
      </c>
      <c r="BX21" s="31" t="n">
        <v>268363.1738573882</v>
      </c>
      <c r="BY21" s="31" t="n">
        <v>296277.4803463508</v>
      </c>
      <c r="BZ21" s="31" t="n">
        <v>86444.72164060433</v>
      </c>
      <c r="CA21" s="31" t="n">
        <v>1573887.789930389</v>
      </c>
      <c r="CB21" s="31" t="n">
        <v>283282.3372981126</v>
      </c>
      <c r="CC21" s="31" t="n">
        <v>6439.157914832695</v>
      </c>
      <c r="CD21" s="31" t="n">
        <v>52685.35570211554</v>
      </c>
      <c r="CE21" s="31" t="n">
        <v>838646.6023841123</v>
      </c>
      <c r="CF21" s="31" t="n">
        <v>44556.75436538462</v>
      </c>
      <c r="CG21" s="31" t="n">
        <v>91565.73546465929</v>
      </c>
      <c r="CH21" s="31" t="n">
        <v>2638583.35820188</v>
      </c>
      <c r="CI21" s="31" t="n">
        <v>34007.96679206829</v>
      </c>
      <c r="CJ21" s="31" t="n">
        <v>344.731869213424</v>
      </c>
      <c r="CK21" s="31" t="n">
        <v>28412.28468865235</v>
      </c>
      <c r="CL21" s="31" t="n">
        <v>216460.2978596336</v>
      </c>
      <c r="CM21" s="31" t="n">
        <v>21494.95135851312</v>
      </c>
      <c r="CN21" s="31" t="n">
        <v>4147708.312075966</v>
      </c>
      <c r="CO21" s="31" t="n">
        <v>1863007.663379556</v>
      </c>
      <c r="CP21" s="31" t="n">
        <v>32113.75140462086</v>
      </c>
      <c r="CQ21" s="31" t="n">
        <v>49531.35111912549</v>
      </c>
      <c r="CR21" s="31" t="n">
        <v>174487.0869610755</v>
      </c>
      <c r="CS21" s="31" t="n">
        <v>58023.95339698107</v>
      </c>
      <c r="CT21" s="31" t="n">
        <v>52982.25030091371</v>
      </c>
      <c r="CU21" s="31" t="n">
        <v>925020.8172490689</v>
      </c>
      <c r="CV21" s="31" t="n">
        <v>2826631.95924259</v>
      </c>
      <c r="CW21" s="31" t="n">
        <v>971814.52031412</v>
      </c>
      <c r="CX21" s="31" t="n">
        <v>142387.1392910803</v>
      </c>
      <c r="CY21" s="31" t="n">
        <v>1205081.093864392</v>
      </c>
      <c r="CZ21" s="31" t="n">
        <v>482525.4103131526</v>
      </c>
      <c r="DA21" s="31" t="n">
        <v>102349.2717001987</v>
      </c>
      <c r="DB21" s="31" t="n">
        <v>358059.6541204306</v>
      </c>
      <c r="DC21" s="31" t="n">
        <v>182798.8898407835</v>
      </c>
      <c r="DD21" s="31" t="n">
        <v>57181.31634566747</v>
      </c>
      <c r="DE21" s="31" t="n">
        <v>0</v>
      </c>
      <c r="DF21" s="31">
        <f>SUM(C21:DE21)</f>
        <v/>
      </c>
      <c r="DG21" s="31" t="n">
        <v>0</v>
      </c>
      <c r="DH21" s="31" t="n">
        <v>0</v>
      </c>
      <c r="DI21" s="31" t="n">
        <v>246425381.5588514</v>
      </c>
      <c r="DJ21" s="31" t="n">
        <v>0</v>
      </c>
      <c r="DK21" s="31">
        <f>SUM(DG21:DJ21)</f>
        <v/>
      </c>
      <c r="DL21" s="31">
        <f>DF21+DK21</f>
        <v/>
      </c>
    </row>
    <row r="22">
      <c r="A22" s="28" t="inlineStr">
        <is>
          <t>112</t>
        </is>
      </c>
      <c r="B22" s="28" t="inlineStr">
        <is>
          <t>Actividades de servicios relacionadas con la extracción de petróleo y gas excepto las act. de prospección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29166.73460034344</v>
      </c>
      <c r="J22" s="29" t="n">
        <v>143618587.533168</v>
      </c>
      <c r="K22" s="29" t="n">
        <v>0</v>
      </c>
      <c r="L22" s="29" t="n">
        <v>0</v>
      </c>
      <c r="M22" s="29" t="n">
        <v>995131.0499784665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0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</v>
      </c>
      <c r="BR22" s="29" t="n">
        <v>0</v>
      </c>
      <c r="BS22" s="29" t="n">
        <v>761223.4955392336</v>
      </c>
      <c r="BT22" s="29" t="n">
        <v>0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 t="n">
        <v>0</v>
      </c>
      <c r="CU22" s="29" t="n">
        <v>5700805.065067067</v>
      </c>
      <c r="CV22" s="29" t="n">
        <v>0</v>
      </c>
      <c r="CW22" s="29" t="n">
        <v>0</v>
      </c>
      <c r="CX22" s="29" t="n">
        <v>0</v>
      </c>
      <c r="CY22" s="29" t="n">
        <v>0</v>
      </c>
      <c r="CZ22" s="29" t="n">
        <v>0</v>
      </c>
      <c r="DA22" s="29" t="n">
        <v>0</v>
      </c>
      <c r="DB22" s="29" t="n">
        <v>0</v>
      </c>
      <c r="DC22" s="29" t="n">
        <v>0</v>
      </c>
      <c r="DD22" s="29" t="n">
        <v>0</v>
      </c>
      <c r="DE22" s="29" t="n">
        <v>0</v>
      </c>
      <c r="DF22" s="29">
        <f>SUM(C22:DE22)</f>
        <v/>
      </c>
      <c r="DG22" s="29" t="n">
        <v>0</v>
      </c>
      <c r="DH22" s="29" t="n">
        <v>0</v>
      </c>
      <c r="DI22" s="29" t="n">
        <v>2090832.848253884</v>
      </c>
      <c r="DJ22" s="29" t="n">
        <v>0</v>
      </c>
      <c r="DK22" s="29">
        <f>SUM(DG22:DJ22)</f>
        <v/>
      </c>
      <c r="DL22" s="29">
        <f>DF22+DK22</f>
        <v/>
      </c>
    </row>
    <row r="23">
      <c r="A23" s="30" t="inlineStr">
        <is>
          <t>132</t>
        </is>
      </c>
      <c r="B23" s="30" t="inlineStr">
        <is>
          <t>Extracción de minerales metalíferos no ferrosos, excepto los minerales de uranio y torio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4944479.12618637</v>
      </c>
      <c r="M23" s="31" t="n">
        <v>0</v>
      </c>
      <c r="N23" s="31" t="n">
        <v>0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5526.999126394398</v>
      </c>
      <c r="AK23" s="31" t="n">
        <v>0</v>
      </c>
      <c r="AL23" s="31" t="n">
        <v>0</v>
      </c>
      <c r="AM23" s="31" t="n">
        <v>2204267.214727319</v>
      </c>
      <c r="AN23" s="31" t="n">
        <v>84289.88767012226</v>
      </c>
      <c r="AO23" s="31" t="n">
        <v>0</v>
      </c>
      <c r="AP23" s="31" t="n">
        <v>0</v>
      </c>
      <c r="AQ23" s="31" t="n">
        <v>1154478.871874395</v>
      </c>
      <c r="AR23" s="31" t="n">
        <v>0</v>
      </c>
      <c r="AS23" s="31" t="n">
        <v>0</v>
      </c>
      <c r="AT23" s="31" t="n">
        <v>7797.467989043492</v>
      </c>
      <c r="AU23" s="31" t="n">
        <v>357399.0400596746</v>
      </c>
      <c r="AV23" s="31" t="n">
        <v>357297.2541007056</v>
      </c>
      <c r="AW23" s="31" t="n">
        <v>5142882.738267989</v>
      </c>
      <c r="AX23" s="31" t="n">
        <v>1116209.55909137</v>
      </c>
      <c r="AY23" s="31" t="n">
        <v>4.496938907583575</v>
      </c>
      <c r="AZ23" s="31" t="n">
        <v>131603.4602613649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1252.950548214479</v>
      </c>
      <c r="BH23" s="31" t="n">
        <v>0</v>
      </c>
      <c r="BI23" s="31" t="n">
        <v>0</v>
      </c>
      <c r="BJ23" s="31" t="n">
        <v>2781.647940353218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75093.03977518689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280289.0416107843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>
        <f>SUM(C23:DE23)</f>
        <v/>
      </c>
      <c r="DG23" s="31" t="n">
        <v>0</v>
      </c>
      <c r="DH23" s="31" t="n">
        <v>0</v>
      </c>
      <c r="DI23" s="31" t="n">
        <v>76818149.1865346</v>
      </c>
      <c r="DJ23" s="31" t="n">
        <v>0</v>
      </c>
      <c r="DK23" s="31">
        <f>SUM(DG23:DJ23)</f>
        <v/>
      </c>
      <c r="DL23" s="31">
        <f>DF23+DK23</f>
        <v/>
      </c>
    </row>
    <row r="24">
      <c r="A24" s="28" t="inlineStr">
        <is>
          <t>141/142</t>
        </is>
      </c>
      <c r="B24" s="28" t="inlineStr">
        <is>
          <t>Extracción de piedra arena y arcilla. Explotación de minas y canteras n.c.p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18.07187168828473</v>
      </c>
      <c r="I24" s="29" t="n">
        <v>0</v>
      </c>
      <c r="J24" s="29" t="n">
        <v>2572973.391881811</v>
      </c>
      <c r="K24" s="29" t="n">
        <v>0</v>
      </c>
      <c r="L24" s="29" t="n">
        <v>446.8508022657345</v>
      </c>
      <c r="M24" s="29" t="n">
        <v>430445.0158608541</v>
      </c>
      <c r="N24" s="29" t="n">
        <v>12857.79511356343</v>
      </c>
      <c r="O24" s="29" t="n">
        <v>1653.076740960706</v>
      </c>
      <c r="P24" s="29" t="n">
        <v>13201.95373825719</v>
      </c>
      <c r="Q24" s="29" t="n">
        <v>45295.01574305046</v>
      </c>
      <c r="R24" s="29" t="n">
        <v>329230.9024992705</v>
      </c>
      <c r="S24" s="29" t="n">
        <v>208569.5711809941</v>
      </c>
      <c r="T24" s="29" t="n">
        <v>1348480.558120217</v>
      </c>
      <c r="U24" s="29" t="n">
        <v>32561.20161476844</v>
      </c>
      <c r="V24" s="29" t="n">
        <v>19682.62693969383</v>
      </c>
      <c r="W24" s="29" t="n">
        <v>115652.6295818472</v>
      </c>
      <c r="X24" s="29" t="n">
        <v>5678.669643415771</v>
      </c>
      <c r="Y24" s="29" t="n">
        <v>1020132.757619765</v>
      </c>
      <c r="Z24" s="29" t="n">
        <v>0</v>
      </c>
      <c r="AA24" s="29" t="n">
        <v>179887.5403636979</v>
      </c>
      <c r="AB24" s="29" t="n">
        <v>0</v>
      </c>
      <c r="AC24" s="29" t="n">
        <v>768.5123159508927</v>
      </c>
      <c r="AD24" s="29" t="n">
        <v>0</v>
      </c>
      <c r="AE24" s="29" t="n">
        <v>97670.34990853997</v>
      </c>
      <c r="AF24" s="29" t="n">
        <v>24797.8523913157</v>
      </c>
      <c r="AG24" s="29" t="n">
        <v>39294.01214839266</v>
      </c>
      <c r="AH24" s="29" t="n">
        <v>258.2907782259867</v>
      </c>
      <c r="AI24" s="29" t="n">
        <v>0</v>
      </c>
      <c r="AJ24" s="29" t="n">
        <v>139305.1433765066</v>
      </c>
      <c r="AK24" s="29" t="n">
        <v>0</v>
      </c>
      <c r="AL24" s="29" t="n">
        <v>0</v>
      </c>
      <c r="AM24" s="29" t="n">
        <v>458.3674330610771</v>
      </c>
      <c r="AN24" s="29" t="n">
        <v>951627.1879723476</v>
      </c>
      <c r="AO24" s="29" t="n">
        <v>3703.757966551306</v>
      </c>
      <c r="AP24" s="29" t="n">
        <v>1665.481186075979</v>
      </c>
      <c r="AQ24" s="29" t="n">
        <v>1300597.353381891</v>
      </c>
      <c r="AR24" s="29" t="n">
        <v>7135.112751326816</v>
      </c>
      <c r="AS24" s="29" t="n">
        <v>11620.3629567386</v>
      </c>
      <c r="AT24" s="29" t="n">
        <v>379930.7115688245</v>
      </c>
      <c r="AU24" s="29" t="n">
        <v>14095757.37585726</v>
      </c>
      <c r="AV24" s="29" t="n">
        <v>500174.8686147053</v>
      </c>
      <c r="AW24" s="29" t="n">
        <v>84873.5993960709</v>
      </c>
      <c r="AX24" s="29" t="n">
        <v>445897.0269836928</v>
      </c>
      <c r="AY24" s="29" t="n">
        <v>1306.247645163104</v>
      </c>
      <c r="AZ24" s="29" t="n">
        <v>28415.71392810934</v>
      </c>
      <c r="BA24" s="29" t="n">
        <v>15.60051407366572</v>
      </c>
      <c r="BB24" s="29" t="n">
        <v>126.2801586693221</v>
      </c>
      <c r="BC24" s="29" t="n">
        <v>0</v>
      </c>
      <c r="BD24" s="29" t="n">
        <v>0</v>
      </c>
      <c r="BE24" s="29" t="n">
        <v>3049.488403444765</v>
      </c>
      <c r="BF24" s="29" t="n">
        <v>2703.338930467823</v>
      </c>
      <c r="BG24" s="29" t="n">
        <v>118.8617873252783</v>
      </c>
      <c r="BH24" s="29" t="n">
        <v>0</v>
      </c>
      <c r="BI24" s="29" t="n">
        <v>0</v>
      </c>
      <c r="BJ24" s="29" t="n">
        <v>546.1132976701837</v>
      </c>
      <c r="BK24" s="29" t="n">
        <v>18.11927679346101</v>
      </c>
      <c r="BL24" s="29" t="n">
        <v>368500.1974740875</v>
      </c>
      <c r="BM24" s="29" t="n">
        <v>18551.13324197154</v>
      </c>
      <c r="BN24" s="29" t="n">
        <v>23068.74243390533</v>
      </c>
      <c r="BO24" s="29" t="n">
        <v>19506.5952423728</v>
      </c>
      <c r="BP24" s="29" t="n">
        <v>37.24013737786633</v>
      </c>
      <c r="BQ24" s="29" t="n">
        <v>0</v>
      </c>
      <c r="BR24" s="29" t="n">
        <v>0</v>
      </c>
      <c r="BS24" s="29" t="n">
        <v>17506236.00147729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1943.220731316552</v>
      </c>
      <c r="BY24" s="29" t="n">
        <v>353191.9903827781</v>
      </c>
      <c r="BZ24" s="29" t="n">
        <v>0</v>
      </c>
      <c r="CA24" s="29" t="n">
        <v>0</v>
      </c>
      <c r="CB24" s="29" t="n">
        <v>0</v>
      </c>
      <c r="CC24" s="29" t="n">
        <v>0</v>
      </c>
      <c r="CD24" s="29" t="n">
        <v>0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1361696.055081844</v>
      </c>
      <c r="CO24" s="29" t="n">
        <v>850940.360283259</v>
      </c>
      <c r="CP24" s="29" t="n">
        <v>0</v>
      </c>
      <c r="CQ24" s="29" t="n">
        <v>0</v>
      </c>
      <c r="CR24" s="29" t="n">
        <v>0</v>
      </c>
      <c r="CS24" s="29" t="n">
        <v>12252.31614959662</v>
      </c>
      <c r="CT24" s="29" t="n">
        <v>11187.712022353</v>
      </c>
      <c r="CU24" s="29" t="n">
        <v>0</v>
      </c>
      <c r="CV24" s="29" t="n">
        <v>596870.5401069036</v>
      </c>
      <c r="CW24" s="29" t="n">
        <v>16.97356162323914</v>
      </c>
      <c r="CX24" s="29" t="n">
        <v>4476.813772213725</v>
      </c>
      <c r="CY24" s="29" t="n">
        <v>56.7770865485959</v>
      </c>
      <c r="CZ24" s="29" t="n">
        <v>7938.925930233978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>
        <f>SUM(C24:DE24)</f>
        <v/>
      </c>
      <c r="DG24" s="29" t="n">
        <v>0</v>
      </c>
      <c r="DH24" s="29" t="n">
        <v>0</v>
      </c>
      <c r="DI24" s="29" t="n">
        <v>3359825.269437989</v>
      </c>
      <c r="DJ24" s="29" t="n">
        <v>0</v>
      </c>
      <c r="DK24" s="29">
        <f>SUM(DG24:DJ24)</f>
        <v/>
      </c>
      <c r="DL24" s="29">
        <f>DF24+DK24</f>
        <v/>
      </c>
    </row>
    <row r="25">
      <c r="A25" s="30" t="inlineStr">
        <is>
          <t>1511</t>
        </is>
      </c>
      <c r="B25" s="30" t="inlineStr">
        <is>
          <t>Producción, procesamiento y conservación de carne y productos cárnicos</t>
        </is>
      </c>
      <c r="C25" s="31" t="n">
        <v>159412.2864071911</v>
      </c>
      <c r="D25" s="31" t="n">
        <v>290931.3100180507</v>
      </c>
      <c r="E25" s="31" t="n">
        <v>0</v>
      </c>
      <c r="F25" s="31" t="n">
        <v>0</v>
      </c>
      <c r="G25" s="31" t="n">
        <v>0</v>
      </c>
      <c r="H25" s="31" t="n">
        <v>348.0993181477528</v>
      </c>
      <c r="I25" s="31" t="n">
        <v>0.774994918940889</v>
      </c>
      <c r="J25" s="31" t="n">
        <v>778.4262404300234</v>
      </c>
      <c r="K25" s="31" t="n">
        <v>2788.67905734108</v>
      </c>
      <c r="L25" s="31" t="n">
        <v>51.36446486463141</v>
      </c>
      <c r="M25" s="31" t="n">
        <v>35.34680426979921</v>
      </c>
      <c r="N25" s="31" t="n">
        <v>11217935.23275384</v>
      </c>
      <c r="O25" s="31" t="n">
        <v>49729.65063815947</v>
      </c>
      <c r="P25" s="31" t="n">
        <v>17312.90231322477</v>
      </c>
      <c r="Q25" s="31" t="n">
        <v>1435234.330168408</v>
      </c>
      <c r="R25" s="31" t="n">
        <v>21710588.04136872</v>
      </c>
      <c r="S25" s="31" t="n">
        <v>13949.16820468373</v>
      </c>
      <c r="T25" s="31" t="n">
        <v>3382184.623828785</v>
      </c>
      <c r="U25" s="31" t="n">
        <v>453317.2022314014</v>
      </c>
      <c r="V25" s="31" t="n">
        <v>133077.9821073694</v>
      </c>
      <c r="W25" s="31" t="n">
        <v>61422.71448047741</v>
      </c>
      <c r="X25" s="31" t="n">
        <v>345642.6279139185</v>
      </c>
      <c r="Y25" s="31" t="n">
        <v>1192513.329097933</v>
      </c>
      <c r="Z25" s="31" t="n">
        <v>2483.974095965991</v>
      </c>
      <c r="AA25" s="31" t="n">
        <v>22058.71167515105</v>
      </c>
      <c r="AB25" s="31" t="n">
        <v>1165.769245685867</v>
      </c>
      <c r="AC25" s="31" t="n">
        <v>34908.16461871166</v>
      </c>
      <c r="AD25" s="31" t="n">
        <v>5293.976907289857</v>
      </c>
      <c r="AE25" s="31" t="n">
        <v>492169.270250594</v>
      </c>
      <c r="AF25" s="31" t="n">
        <v>116946.1648062738</v>
      </c>
      <c r="AG25" s="31" t="n">
        <v>3443614.432690206</v>
      </c>
      <c r="AH25" s="31" t="n">
        <v>22697.87903866319</v>
      </c>
      <c r="AI25" s="31" t="n">
        <v>4844.959064900787</v>
      </c>
      <c r="AJ25" s="31" t="n">
        <v>777104.6740172269</v>
      </c>
      <c r="AK25" s="31" t="n">
        <v>85185.42579331549</v>
      </c>
      <c r="AL25" s="31" t="n">
        <v>53048.94174039437</v>
      </c>
      <c r="AM25" s="31" t="n">
        <v>55076.93051565775</v>
      </c>
      <c r="AN25" s="31" t="n">
        <v>96603.0725798871</v>
      </c>
      <c r="AO25" s="31" t="n">
        <v>6758.790694077971</v>
      </c>
      <c r="AP25" s="31" t="n">
        <v>13961.90844850649</v>
      </c>
      <c r="AQ25" s="31" t="n">
        <v>700376.0924327053</v>
      </c>
      <c r="AR25" s="31" t="n">
        <v>15715.6533542637</v>
      </c>
      <c r="AS25" s="31" t="n">
        <v>60861.08844139271</v>
      </c>
      <c r="AT25" s="31" t="n">
        <v>2850.078117718727</v>
      </c>
      <c r="AU25" s="31" t="n">
        <v>34891.99616678306</v>
      </c>
      <c r="AV25" s="31" t="n">
        <v>995332.0905158853</v>
      </c>
      <c r="AW25" s="31" t="n">
        <v>565462.7971613406</v>
      </c>
      <c r="AX25" s="31" t="n">
        <v>1003221.174302261</v>
      </c>
      <c r="AY25" s="31" t="n">
        <v>27814.3432927638</v>
      </c>
      <c r="AZ25" s="31" t="n">
        <v>249429.8341602479</v>
      </c>
      <c r="BA25" s="31" t="n">
        <v>39985.28779895843</v>
      </c>
      <c r="BB25" s="31" t="n">
        <v>139063.6744636228</v>
      </c>
      <c r="BC25" s="31" t="n">
        <v>31249.48138091266</v>
      </c>
      <c r="BD25" s="31" t="n">
        <v>1857.428704927418</v>
      </c>
      <c r="BE25" s="31" t="n">
        <v>32485.25952931658</v>
      </c>
      <c r="BF25" s="31" t="n">
        <v>103679.4037109321</v>
      </c>
      <c r="BG25" s="31" t="n">
        <v>14143.60072920381</v>
      </c>
      <c r="BH25" s="31" t="n">
        <v>273306.0890982957</v>
      </c>
      <c r="BI25" s="31" t="n">
        <v>1838.913682028754</v>
      </c>
      <c r="BJ25" s="31" t="n">
        <v>12395.21402051579</v>
      </c>
      <c r="BK25" s="31" t="n">
        <v>35528.23435467164</v>
      </c>
      <c r="BL25" s="31" t="n">
        <v>57689.18266697984</v>
      </c>
      <c r="BM25" s="31" t="n">
        <v>16391.13762237581</v>
      </c>
      <c r="BN25" s="31" t="n">
        <v>25076.58032735784</v>
      </c>
      <c r="BO25" s="31" t="n">
        <v>746755.0893149208</v>
      </c>
      <c r="BP25" s="31" t="n">
        <v>4658.189929357666</v>
      </c>
      <c r="BQ25" s="31" t="n">
        <v>897.1720967741371</v>
      </c>
      <c r="BR25" s="31" t="n">
        <v>232.3159497843536</v>
      </c>
      <c r="BS25" s="31" t="n">
        <v>395.522808676809</v>
      </c>
      <c r="BT25" s="31" t="n">
        <v>3921.687060443204</v>
      </c>
      <c r="BU25" s="31" t="n">
        <v>69173.86822984453</v>
      </c>
      <c r="BV25" s="31" t="n">
        <v>446886.4490837994</v>
      </c>
      <c r="BW25" s="31" t="n">
        <v>0.3618309981136578</v>
      </c>
      <c r="BX25" s="31" t="n">
        <v>279970.852427724</v>
      </c>
      <c r="BY25" s="31" t="n">
        <v>52643867.09169478</v>
      </c>
      <c r="BZ25" s="31" t="n">
        <v>108.5966498774768</v>
      </c>
      <c r="CA25" s="31" t="n">
        <v>1194.882523926877</v>
      </c>
      <c r="CB25" s="31" t="n">
        <v>21977.37901455036</v>
      </c>
      <c r="CC25" s="31" t="n">
        <v>12.43519060962953</v>
      </c>
      <c r="CD25" s="31" t="n">
        <v>678.6759279650217</v>
      </c>
      <c r="CE25" s="31" t="n">
        <v>1490.060714922708</v>
      </c>
      <c r="CF25" s="31" t="n">
        <v>1215.581742406782</v>
      </c>
      <c r="CG25" s="31" t="n">
        <v>29859.49878596781</v>
      </c>
      <c r="CH25" s="31" t="n">
        <v>226363.5897796605</v>
      </c>
      <c r="CI25" s="31" t="n">
        <v>8678.622859574974</v>
      </c>
      <c r="CJ25" s="31" t="n">
        <v>7549.702564169043</v>
      </c>
      <c r="CK25" s="31" t="n">
        <v>1116.057027944459</v>
      </c>
      <c r="CL25" s="31" t="n">
        <v>4979.134984539159</v>
      </c>
      <c r="CM25" s="31" t="n">
        <v>1027.17587816199</v>
      </c>
      <c r="CN25" s="31" t="n">
        <v>133.5412280508776</v>
      </c>
      <c r="CO25" s="31" t="n">
        <v>59.9821184415403</v>
      </c>
      <c r="CP25" s="31" t="n">
        <v>698.675849699596</v>
      </c>
      <c r="CQ25" s="31" t="n">
        <v>1003.415459058913</v>
      </c>
      <c r="CR25" s="31" t="n">
        <v>55250.83534228956</v>
      </c>
      <c r="CS25" s="31" t="n">
        <v>99071.53914201312</v>
      </c>
      <c r="CT25" s="31" t="n">
        <v>90463.21005752117</v>
      </c>
      <c r="CU25" s="31" t="n">
        <v>40627.01579165115</v>
      </c>
      <c r="CV25" s="31" t="n">
        <v>4827789.755206261</v>
      </c>
      <c r="CW25" s="31" t="n">
        <v>14479.97182242705</v>
      </c>
      <c r="CX25" s="31" t="n">
        <v>614178.486594234</v>
      </c>
      <c r="CY25" s="31" t="n">
        <v>408023.0390889263</v>
      </c>
      <c r="CZ25" s="31" t="n">
        <v>1054941.72742149</v>
      </c>
      <c r="DA25" s="31" t="n">
        <v>935.1185288881621</v>
      </c>
      <c r="DB25" s="31" t="n">
        <v>191740.7205888538</v>
      </c>
      <c r="DC25" s="31" t="n">
        <v>69571.65815627731</v>
      </c>
      <c r="DD25" s="31" t="n">
        <v>281.1959206961957</v>
      </c>
      <c r="DE25" s="31" t="n">
        <v>0</v>
      </c>
      <c r="DF25" s="31">
        <f>SUM(C25:DE25)</f>
        <v/>
      </c>
      <c r="DG25" s="31" t="n">
        <v>0</v>
      </c>
      <c r="DH25" s="31" t="n">
        <v>0</v>
      </c>
      <c r="DI25" s="31" t="n">
        <v>261129287.4420656</v>
      </c>
      <c r="DJ25" s="31" t="n">
        <v>0</v>
      </c>
      <c r="DK25" s="31">
        <f>SUM(DG25:DJ25)</f>
        <v/>
      </c>
      <c r="DL25" s="31">
        <f>DF25+DK25</f>
        <v/>
      </c>
    </row>
    <row r="26">
      <c r="A26" s="28" t="inlineStr">
        <is>
          <t>1512</t>
        </is>
      </c>
      <c r="B26" s="28" t="inlineStr">
        <is>
          <t>Elaboración de pescado y productos de pescado</t>
        </is>
      </c>
      <c r="C26" s="29" t="n">
        <v>120823.1770991612</v>
      </c>
      <c r="D26" s="29" t="n">
        <v>13048.60471756731</v>
      </c>
      <c r="E26" s="29" t="n">
        <v>0</v>
      </c>
      <c r="F26" s="29" t="n">
        <v>0</v>
      </c>
      <c r="G26" s="29" t="n">
        <v>0</v>
      </c>
      <c r="H26" s="29" t="n">
        <v>13572.54625174397</v>
      </c>
      <c r="I26" s="29" t="n">
        <v>219.0366708190172</v>
      </c>
      <c r="J26" s="29" t="n">
        <v>37698.9009650783</v>
      </c>
      <c r="K26" s="29" t="n">
        <v>117876.9542331649</v>
      </c>
      <c r="L26" s="29" t="n">
        <v>19660.27841543813</v>
      </c>
      <c r="M26" s="29" t="n">
        <v>7318.402086058805</v>
      </c>
      <c r="N26" s="29" t="n">
        <v>13004.58368182704</v>
      </c>
      <c r="O26" s="29" t="n">
        <v>845528.8420083572</v>
      </c>
      <c r="P26" s="29" t="n">
        <v>3549.578404009936</v>
      </c>
      <c r="Q26" s="29" t="n">
        <v>21657.15416114635</v>
      </c>
      <c r="R26" s="29" t="n">
        <v>11492.77810245273</v>
      </c>
      <c r="S26" s="29" t="n">
        <v>4870.684519933291</v>
      </c>
      <c r="T26" s="29" t="n">
        <v>159564.0497346174</v>
      </c>
      <c r="U26" s="29" t="n">
        <v>5409.349702066807</v>
      </c>
      <c r="V26" s="29" t="n">
        <v>1360.349475709283</v>
      </c>
      <c r="W26" s="29" t="n">
        <v>2065.548372805304</v>
      </c>
      <c r="X26" s="29" t="n">
        <v>1250.449966923036</v>
      </c>
      <c r="Y26" s="29" t="n">
        <v>19461.09199135385</v>
      </c>
      <c r="Z26" s="29" t="n">
        <v>3332.408054351975</v>
      </c>
      <c r="AA26" s="29" t="n">
        <v>5510.952535185726</v>
      </c>
      <c r="AB26" s="29" t="n">
        <v>2029.342983868594</v>
      </c>
      <c r="AC26" s="29" t="n">
        <v>7035.10176942421</v>
      </c>
      <c r="AD26" s="29" t="n">
        <v>659.9393776990627</v>
      </c>
      <c r="AE26" s="29" t="n">
        <v>4111.776905604223</v>
      </c>
      <c r="AF26" s="29" t="n">
        <v>3497.301992443396</v>
      </c>
      <c r="AG26" s="29" t="n">
        <v>1775.61533282813</v>
      </c>
      <c r="AH26" s="29" t="n">
        <v>499.6109171823094</v>
      </c>
      <c r="AI26" s="29" t="n">
        <v>2982.46989209185</v>
      </c>
      <c r="AJ26" s="29" t="n">
        <v>6152.385106176103</v>
      </c>
      <c r="AK26" s="29" t="n">
        <v>4681.571546187281</v>
      </c>
      <c r="AL26" s="29" t="n">
        <v>5366.754444440331</v>
      </c>
      <c r="AM26" s="29" t="n">
        <v>49446.10203407785</v>
      </c>
      <c r="AN26" s="29" t="n">
        <v>7695.839737519773</v>
      </c>
      <c r="AO26" s="29" t="n">
        <v>2300.235306247263</v>
      </c>
      <c r="AP26" s="29" t="n">
        <v>7126.887502878591</v>
      </c>
      <c r="AQ26" s="29" t="n">
        <v>17998.30546304641</v>
      </c>
      <c r="AR26" s="29" t="n">
        <v>1753.679024480918</v>
      </c>
      <c r="AS26" s="29" t="n">
        <v>1712.502336336967</v>
      </c>
      <c r="AT26" s="29" t="n">
        <v>1028.72652296738</v>
      </c>
      <c r="AU26" s="29" t="n">
        <v>14342.70305658235</v>
      </c>
      <c r="AV26" s="29" t="n">
        <v>9821.227596046821</v>
      </c>
      <c r="AW26" s="29" t="n">
        <v>1140.382314355307</v>
      </c>
      <c r="AX26" s="29" t="n">
        <v>1190.99352601918</v>
      </c>
      <c r="AY26" s="29" t="n">
        <v>4654.936998689865</v>
      </c>
      <c r="AZ26" s="29" t="n">
        <v>4258.019137710843</v>
      </c>
      <c r="BA26" s="29" t="n">
        <v>3415.272983400417</v>
      </c>
      <c r="BB26" s="29" t="n">
        <v>16123.8286438418</v>
      </c>
      <c r="BC26" s="29" t="n">
        <v>1151.30701398253</v>
      </c>
      <c r="BD26" s="29" t="n">
        <v>129.3760229386433</v>
      </c>
      <c r="BE26" s="29" t="n">
        <v>880.1154557658606</v>
      </c>
      <c r="BF26" s="29" t="n">
        <v>501.0992563617934</v>
      </c>
      <c r="BG26" s="29" t="n">
        <v>731.237203275555</v>
      </c>
      <c r="BH26" s="29" t="n">
        <v>4795.608437601119</v>
      </c>
      <c r="BI26" s="29" t="n">
        <v>76.3493081265828</v>
      </c>
      <c r="BJ26" s="29" t="n">
        <v>842.6840240633838</v>
      </c>
      <c r="BK26" s="29" t="n">
        <v>27921.38485722403</v>
      </c>
      <c r="BL26" s="29" t="n">
        <v>2352.232783739397</v>
      </c>
      <c r="BM26" s="29" t="n">
        <v>1384.028141275664</v>
      </c>
      <c r="BN26" s="29" t="n">
        <v>2244.017151653557</v>
      </c>
      <c r="BO26" s="29" t="n">
        <v>3624.713382547724</v>
      </c>
      <c r="BP26" s="29" t="n">
        <v>36386.4116346301</v>
      </c>
      <c r="BQ26" s="29" t="n">
        <v>13604.31732711977</v>
      </c>
      <c r="BR26" s="29" t="n">
        <v>3652.171638716083</v>
      </c>
      <c r="BS26" s="29" t="n">
        <v>199347.5536162092</v>
      </c>
      <c r="BT26" s="29" t="n">
        <v>66404.15828818352</v>
      </c>
      <c r="BU26" s="29" t="n">
        <v>98570.46172007135</v>
      </c>
      <c r="BV26" s="29" t="n">
        <v>97076.83067131035</v>
      </c>
      <c r="BW26" s="29" t="n">
        <v>0.2243311574600218</v>
      </c>
      <c r="BX26" s="29" t="n">
        <v>116866.4634432451</v>
      </c>
      <c r="BY26" s="29" t="n">
        <v>3330968.235727682</v>
      </c>
      <c r="BZ26" s="29" t="n">
        <v>1559.752797447094</v>
      </c>
      <c r="CA26" s="29" t="n">
        <v>45961.78076761189</v>
      </c>
      <c r="CB26" s="29" t="n">
        <v>468.1950043670834</v>
      </c>
      <c r="CC26" s="29" t="n">
        <v>1354.078471942991</v>
      </c>
      <c r="CD26" s="29" t="n">
        <v>152349.6872891478</v>
      </c>
      <c r="CE26" s="29" t="n">
        <v>47798.13539526922</v>
      </c>
      <c r="CF26" s="29" t="n">
        <v>3833.124025939588</v>
      </c>
      <c r="CG26" s="29" t="n">
        <v>55225.33126957764</v>
      </c>
      <c r="CH26" s="29" t="n">
        <v>601877.4877614243</v>
      </c>
      <c r="CI26" s="29" t="n">
        <v>16030.33482469735</v>
      </c>
      <c r="CJ26" s="29" t="n">
        <v>6945.122018487583</v>
      </c>
      <c r="CK26" s="29" t="n">
        <v>51041.61156155262</v>
      </c>
      <c r="CL26" s="29" t="n">
        <v>21560.28431707661</v>
      </c>
      <c r="CM26" s="29" t="n">
        <v>6883.840523680586</v>
      </c>
      <c r="CN26" s="29" t="n">
        <v>0</v>
      </c>
      <c r="CO26" s="29" t="n">
        <v>0</v>
      </c>
      <c r="CP26" s="29" t="n">
        <v>3901.270789669864</v>
      </c>
      <c r="CQ26" s="29" t="n">
        <v>3396.482444146262</v>
      </c>
      <c r="CR26" s="29" t="n">
        <v>84170.9780024905</v>
      </c>
      <c r="CS26" s="29" t="n">
        <v>1957.655873420384</v>
      </c>
      <c r="CT26" s="29" t="n">
        <v>1787.555094341595</v>
      </c>
      <c r="CU26" s="29" t="n">
        <v>93666.9719995921</v>
      </c>
      <c r="CV26" s="29" t="n">
        <v>95367.03952504095</v>
      </c>
      <c r="CW26" s="29" t="n">
        <v>9354.713829959368</v>
      </c>
      <c r="CX26" s="29" t="n">
        <v>13511.36726550919</v>
      </c>
      <c r="CY26" s="29" t="n">
        <v>164001.51006292</v>
      </c>
      <c r="CZ26" s="29" t="n">
        <v>246982.3333379916</v>
      </c>
      <c r="DA26" s="29" t="n">
        <v>40955.97464004315</v>
      </c>
      <c r="DB26" s="29" t="n">
        <v>4998.084587943218</v>
      </c>
      <c r="DC26" s="29" t="n">
        <v>81052.89116951232</v>
      </c>
      <c r="DD26" s="29" t="n">
        <v>328.3153553243496</v>
      </c>
      <c r="DE26" s="29" t="n">
        <v>0</v>
      </c>
      <c r="DF26" s="29">
        <f>SUM(C26:DE26)</f>
        <v/>
      </c>
      <c r="DG26" s="29" t="n">
        <v>0</v>
      </c>
      <c r="DH26" s="29" t="n">
        <v>0</v>
      </c>
      <c r="DI26" s="29" t="n">
        <v>34135741.61977052</v>
      </c>
      <c r="DJ26" s="29" t="n">
        <v>0</v>
      </c>
      <c r="DK26" s="29">
        <f>SUM(DG26:DJ26)</f>
        <v/>
      </c>
      <c r="DL26" s="29">
        <f>DF26+DK26</f>
        <v/>
      </c>
    </row>
    <row r="27">
      <c r="A27" s="30" t="inlineStr">
        <is>
          <t>1513</t>
        </is>
      </c>
      <c r="B27" s="30" t="inlineStr">
        <is>
          <t>Preparación de frutas, hortalizas y legumbres</t>
        </is>
      </c>
      <c r="C27" s="31" t="n">
        <v>189535.5094828306</v>
      </c>
      <c r="D27" s="31" t="n">
        <v>20883.92469138534</v>
      </c>
      <c r="E27" s="31" t="n">
        <v>0</v>
      </c>
      <c r="F27" s="31" t="n">
        <v>0</v>
      </c>
      <c r="G27" s="31" t="n">
        <v>0</v>
      </c>
      <c r="H27" s="31" t="n">
        <v>5888.402548136933</v>
      </c>
      <c r="I27" s="31" t="n">
        <v>2.205489432754677</v>
      </c>
      <c r="J27" s="31" t="n">
        <v>367.0368444654678</v>
      </c>
      <c r="K27" s="31" t="n">
        <v>1304.658590600291</v>
      </c>
      <c r="L27" s="31" t="n">
        <v>34955.03469850819</v>
      </c>
      <c r="M27" s="31" t="n">
        <v>6178.027560841135</v>
      </c>
      <c r="N27" s="31" t="n">
        <v>49584.02988464564</v>
      </c>
      <c r="O27" s="31" t="n">
        <v>10815.05205037535</v>
      </c>
      <c r="P27" s="31" t="n">
        <v>589804.7739534621</v>
      </c>
      <c r="Q27" s="31" t="n">
        <v>199132.6064395733</v>
      </c>
      <c r="R27" s="31" t="n">
        <v>79269.53290295693</v>
      </c>
      <c r="S27" s="31" t="n">
        <v>16082.43806024525</v>
      </c>
      <c r="T27" s="31" t="n">
        <v>549524.4411435011</v>
      </c>
      <c r="U27" s="31" t="n">
        <v>186654.6794949126</v>
      </c>
      <c r="V27" s="31" t="n">
        <v>22054.71935608614</v>
      </c>
      <c r="W27" s="31" t="n">
        <v>32712.66975426413</v>
      </c>
      <c r="X27" s="31" t="n">
        <v>22421.91762822363</v>
      </c>
      <c r="Y27" s="31" t="n">
        <v>1935161.314897698</v>
      </c>
      <c r="Z27" s="31" t="n">
        <v>5141.109334634932</v>
      </c>
      <c r="AA27" s="31" t="n">
        <v>217205.6422742942</v>
      </c>
      <c r="AB27" s="31" t="n">
        <v>863.1961288740398</v>
      </c>
      <c r="AC27" s="31" t="n">
        <v>1176213.387718949</v>
      </c>
      <c r="AD27" s="31" t="n">
        <v>6198.253350249241</v>
      </c>
      <c r="AE27" s="31" t="n">
        <v>23467.17558521599</v>
      </c>
      <c r="AF27" s="31" t="n">
        <v>20446.2534801897</v>
      </c>
      <c r="AG27" s="31" t="n">
        <v>4533.58158511116</v>
      </c>
      <c r="AH27" s="31" t="n">
        <v>8347.367287525558</v>
      </c>
      <c r="AI27" s="31" t="n">
        <v>15317.39033235092</v>
      </c>
      <c r="AJ27" s="31" t="n">
        <v>203523.3611397709</v>
      </c>
      <c r="AK27" s="31" t="n">
        <v>17603.97455903607</v>
      </c>
      <c r="AL27" s="31" t="n">
        <v>15401.99079225554</v>
      </c>
      <c r="AM27" s="31" t="n">
        <v>108652.4296288792</v>
      </c>
      <c r="AN27" s="31" t="n">
        <v>54106.31358835952</v>
      </c>
      <c r="AO27" s="31" t="n">
        <v>4429.46236524125</v>
      </c>
      <c r="AP27" s="31" t="n">
        <v>33356.79726076868</v>
      </c>
      <c r="AQ27" s="31" t="n">
        <v>221513.3489209486</v>
      </c>
      <c r="AR27" s="31" t="n">
        <v>10034.93683404856</v>
      </c>
      <c r="AS27" s="31" t="n">
        <v>16624.03092097799</v>
      </c>
      <c r="AT27" s="31" t="n">
        <v>1139.825056553118</v>
      </c>
      <c r="AU27" s="31" t="n">
        <v>13592.36066432207</v>
      </c>
      <c r="AV27" s="31" t="n">
        <v>211395.1920640282</v>
      </c>
      <c r="AW27" s="31" t="n">
        <v>112293.007480935</v>
      </c>
      <c r="AX27" s="31" t="n">
        <v>196858.371951009</v>
      </c>
      <c r="AY27" s="31" t="n">
        <v>5463.261848181181</v>
      </c>
      <c r="AZ27" s="31" t="n">
        <v>56785.59457689851</v>
      </c>
      <c r="BA27" s="31" t="n">
        <v>9770.110671640154</v>
      </c>
      <c r="BB27" s="31" t="n">
        <v>28748.72051974822</v>
      </c>
      <c r="BC27" s="31" t="n">
        <v>5831.628104373199</v>
      </c>
      <c r="BD27" s="31" t="n">
        <v>385.2616576077802</v>
      </c>
      <c r="BE27" s="31" t="n">
        <v>6020.605267948457</v>
      </c>
      <c r="BF27" s="31" t="n">
        <v>20564.97137502118</v>
      </c>
      <c r="BG27" s="31" t="n">
        <v>2895.988585250868</v>
      </c>
      <c r="BH27" s="31" t="n">
        <v>43843.87686822774</v>
      </c>
      <c r="BI27" s="31" t="n">
        <v>359.7225219538291</v>
      </c>
      <c r="BJ27" s="31" t="n">
        <v>2688.284423119482</v>
      </c>
      <c r="BK27" s="31" t="n">
        <v>28270.28227682338</v>
      </c>
      <c r="BL27" s="31" t="n">
        <v>17131.40827649262</v>
      </c>
      <c r="BM27" s="31" t="n">
        <v>2989.143300917022</v>
      </c>
      <c r="BN27" s="31" t="n">
        <v>11507.28924615151</v>
      </c>
      <c r="BO27" s="31" t="n">
        <v>148181.650992725</v>
      </c>
      <c r="BP27" s="31" t="n">
        <v>1321.831561465389</v>
      </c>
      <c r="BQ27" s="31" t="n">
        <v>316.9002359050738</v>
      </c>
      <c r="BR27" s="31" t="n">
        <v>159.804216152002</v>
      </c>
      <c r="BS27" s="31" t="n">
        <v>1628.746066693237</v>
      </c>
      <c r="BT27" s="31" t="n">
        <v>902.2187086894108</v>
      </c>
      <c r="BU27" s="31" t="n">
        <v>7941.710131363802</v>
      </c>
      <c r="BV27" s="31" t="n">
        <v>21999.45510090483</v>
      </c>
      <c r="BW27" s="31" t="n">
        <v>12.61292678316785</v>
      </c>
      <c r="BX27" s="31" t="n">
        <v>18570.01002948294</v>
      </c>
      <c r="BY27" s="31" t="n">
        <v>615892.6825445275</v>
      </c>
      <c r="BZ27" s="31" t="n">
        <v>54.1773917518973</v>
      </c>
      <c r="CA27" s="31" t="n">
        <v>1017.833845139224</v>
      </c>
      <c r="CB27" s="31" t="n">
        <v>3553.997629353604</v>
      </c>
      <c r="CC27" s="31" t="n">
        <v>13.55652199690289</v>
      </c>
      <c r="CD27" s="31" t="n">
        <v>1160.663337723472</v>
      </c>
      <c r="CE27" s="31" t="n">
        <v>918.382769449078</v>
      </c>
      <c r="CF27" s="31" t="n">
        <v>1409.481729321699</v>
      </c>
      <c r="CG27" s="31" t="n">
        <v>8152.057645021194</v>
      </c>
      <c r="CH27" s="31" t="n">
        <v>247945.2483736908</v>
      </c>
      <c r="CI27" s="31" t="n">
        <v>983.2569824228619</v>
      </c>
      <c r="CJ27" s="31" t="n">
        <v>1023.703039676908</v>
      </c>
      <c r="CK27" s="31" t="n">
        <v>626.8709114814123</v>
      </c>
      <c r="CL27" s="31" t="n">
        <v>1017.357793306675</v>
      </c>
      <c r="CM27" s="31" t="n">
        <v>374.3268461713702</v>
      </c>
      <c r="CN27" s="31" t="n">
        <v>1196.070665270487</v>
      </c>
      <c r="CO27" s="31" t="n">
        <v>553.2942091738541</v>
      </c>
      <c r="CP27" s="31" t="n">
        <v>115.8896962512076</v>
      </c>
      <c r="CQ27" s="31" t="n">
        <v>775.2334951208911</v>
      </c>
      <c r="CR27" s="31" t="n">
        <v>22950.15554897587</v>
      </c>
      <c r="CS27" s="31" t="n">
        <v>4541.973389438812</v>
      </c>
      <c r="CT27" s="31" t="n">
        <v>4147.32118187343</v>
      </c>
      <c r="CU27" s="31" t="n">
        <v>24510.72325253942</v>
      </c>
      <c r="CV27" s="31" t="n">
        <v>221298.8066273488</v>
      </c>
      <c r="CW27" s="31" t="n">
        <v>1843.804296915614</v>
      </c>
      <c r="CX27" s="31" t="n">
        <v>5519.378143626266</v>
      </c>
      <c r="CY27" s="31" t="n">
        <v>353090.2482975904</v>
      </c>
      <c r="CZ27" s="31" t="n">
        <v>657691.3726936345</v>
      </c>
      <c r="DA27" s="31" t="n">
        <v>710.1305956029936</v>
      </c>
      <c r="DB27" s="31" t="n">
        <v>34048.5217514838</v>
      </c>
      <c r="DC27" s="31" t="n">
        <v>50701.69474283647</v>
      </c>
      <c r="DD27" s="31" t="n">
        <v>66.37123205334834</v>
      </c>
      <c r="DE27" s="31" t="n">
        <v>0</v>
      </c>
      <c r="DF27" s="31">
        <f>SUM(C27:DE27)</f>
        <v/>
      </c>
      <c r="DG27" s="31" t="n">
        <v>0</v>
      </c>
      <c r="DH27" s="31" t="n">
        <v>0</v>
      </c>
      <c r="DI27" s="31" t="n">
        <v>39819517.95987397</v>
      </c>
      <c r="DJ27" s="31" t="n">
        <v>0</v>
      </c>
      <c r="DK27" s="31">
        <f>SUM(DG27:DJ27)</f>
        <v/>
      </c>
      <c r="DL27" s="31">
        <f>DF27+DK27</f>
        <v/>
      </c>
    </row>
    <row r="28">
      <c r="A28" s="28" t="inlineStr">
        <is>
          <t>1514</t>
        </is>
      </c>
      <c r="B28" s="28" t="inlineStr">
        <is>
          <t>Elaboración de aceites y grasas de origen vegetal</t>
        </is>
      </c>
      <c r="C28" s="29" t="n">
        <v>3321279.024836478</v>
      </c>
      <c r="D28" s="29" t="n">
        <v>360435.274487095</v>
      </c>
      <c r="E28" s="29" t="n">
        <v>0</v>
      </c>
      <c r="F28" s="29" t="n">
        <v>0</v>
      </c>
      <c r="G28" s="29" t="n">
        <v>0</v>
      </c>
      <c r="H28" s="29" t="n">
        <v>12059.55997522443</v>
      </c>
      <c r="I28" s="29" t="n">
        <v>8.236727108606928</v>
      </c>
      <c r="J28" s="29" t="n">
        <v>1683.769791273433</v>
      </c>
      <c r="K28" s="29" t="n">
        <v>12486.88778426255</v>
      </c>
      <c r="L28" s="29" t="n">
        <v>49974.47318019829</v>
      </c>
      <c r="M28" s="29" t="n">
        <v>8909.614629258169</v>
      </c>
      <c r="N28" s="29" t="n">
        <v>758089.2208152765</v>
      </c>
      <c r="O28" s="29" t="n">
        <v>236385.5788692908</v>
      </c>
      <c r="P28" s="29" t="n">
        <v>308187.3530829402</v>
      </c>
      <c r="Q28" s="29" t="n">
        <v>29404270.30026487</v>
      </c>
      <c r="R28" s="29" t="n">
        <v>244206.3173146352</v>
      </c>
      <c r="S28" s="29" t="n">
        <v>126436.4364608136</v>
      </c>
      <c r="T28" s="29" t="n">
        <v>8521234.035862032</v>
      </c>
      <c r="U28" s="29" t="n">
        <v>5709820.463260075</v>
      </c>
      <c r="V28" s="29" t="n">
        <v>223696.7307799856</v>
      </c>
      <c r="W28" s="29" t="n">
        <v>949390.9833419372</v>
      </c>
      <c r="X28" s="29" t="n">
        <v>541663.5970875807</v>
      </c>
      <c r="Y28" s="29" t="n">
        <v>3589643.729279317</v>
      </c>
      <c r="Z28" s="29" t="n">
        <v>50266.5092644952</v>
      </c>
      <c r="AA28" s="29" t="n">
        <v>134307.7951706675</v>
      </c>
      <c r="AB28" s="29" t="n">
        <v>18132.92430147674</v>
      </c>
      <c r="AC28" s="29" t="n">
        <v>111357.7687788035</v>
      </c>
      <c r="AD28" s="29" t="n">
        <v>19495.31636660254</v>
      </c>
      <c r="AE28" s="29" t="n">
        <v>163851.4726524675</v>
      </c>
      <c r="AF28" s="29" t="n">
        <v>216328.9643195108</v>
      </c>
      <c r="AG28" s="29" t="n">
        <v>126035.5349699476</v>
      </c>
      <c r="AH28" s="29" t="n">
        <v>32066.32761216076</v>
      </c>
      <c r="AI28" s="29" t="n">
        <v>45910.62976166661</v>
      </c>
      <c r="AJ28" s="29" t="n">
        <v>172858.2276222977</v>
      </c>
      <c r="AK28" s="29" t="n">
        <v>179846.5107913214</v>
      </c>
      <c r="AL28" s="29" t="n">
        <v>106663.1881863369</v>
      </c>
      <c r="AM28" s="29" t="n">
        <v>1170081.149504325</v>
      </c>
      <c r="AN28" s="29" t="n">
        <v>179633.7894947511</v>
      </c>
      <c r="AO28" s="29" t="n">
        <v>45910.67613499121</v>
      </c>
      <c r="AP28" s="29" t="n">
        <v>192108.1165863791</v>
      </c>
      <c r="AQ28" s="29" t="n">
        <v>4598270.572846623</v>
      </c>
      <c r="AR28" s="29" t="n">
        <v>54516.45166912832</v>
      </c>
      <c r="AS28" s="29" t="n">
        <v>101113.7327445114</v>
      </c>
      <c r="AT28" s="29" t="n">
        <v>5784.940667594279</v>
      </c>
      <c r="AU28" s="29" t="n">
        <v>67838.37462429526</v>
      </c>
      <c r="AV28" s="29" t="n">
        <v>325421.922693015</v>
      </c>
      <c r="AW28" s="29" t="n">
        <v>81491.28391154439</v>
      </c>
      <c r="AX28" s="29" t="n">
        <v>292772.9166194478</v>
      </c>
      <c r="AY28" s="29" t="n">
        <v>61431.45523228986</v>
      </c>
      <c r="AZ28" s="29" t="n">
        <v>224554.2882650273</v>
      </c>
      <c r="BA28" s="29" t="n">
        <v>95576.52828749534</v>
      </c>
      <c r="BB28" s="29" t="n">
        <v>326428.2799503762</v>
      </c>
      <c r="BC28" s="29" t="n">
        <v>61615.0224534876</v>
      </c>
      <c r="BD28" s="29" t="n">
        <v>4878.478873414361</v>
      </c>
      <c r="BE28" s="29" t="n">
        <v>60946.36327246983</v>
      </c>
      <c r="BF28" s="29" t="n">
        <v>18134.57037745639</v>
      </c>
      <c r="BG28" s="29" t="n">
        <v>19312.89333528448</v>
      </c>
      <c r="BH28" s="29" t="n">
        <v>453524.5924852253</v>
      </c>
      <c r="BI28" s="29" t="n">
        <v>4952.302028569014</v>
      </c>
      <c r="BJ28" s="29" t="n">
        <v>31440.2973899375</v>
      </c>
      <c r="BK28" s="29" t="n">
        <v>456158.1778003033</v>
      </c>
      <c r="BL28" s="29" t="n">
        <v>95639.68331007588</v>
      </c>
      <c r="BM28" s="29" t="n">
        <v>33773.23382974267</v>
      </c>
      <c r="BN28" s="29" t="n">
        <v>62091.15608122808</v>
      </c>
      <c r="BO28" s="29" t="n">
        <v>103160.9434686712</v>
      </c>
      <c r="BP28" s="29" t="n">
        <v>113447.888036174</v>
      </c>
      <c r="BQ28" s="29" t="n">
        <v>31125.68467817366</v>
      </c>
      <c r="BR28" s="29" t="n">
        <v>7162.998644307284</v>
      </c>
      <c r="BS28" s="29" t="n">
        <v>861.7517489982372</v>
      </c>
      <c r="BT28" s="29" t="n">
        <v>16892.82450861832</v>
      </c>
      <c r="BU28" s="29" t="n">
        <v>132555.8846580193</v>
      </c>
      <c r="BV28" s="29" t="n">
        <v>380043.09009129</v>
      </c>
      <c r="BW28" s="29" t="n">
        <v>31.71714382425264</v>
      </c>
      <c r="BX28" s="29" t="n">
        <v>111279.9923749991</v>
      </c>
      <c r="BY28" s="29" t="n">
        <v>3943789.337079025</v>
      </c>
      <c r="BZ28" s="29" t="n">
        <v>1011.681591834552</v>
      </c>
      <c r="CA28" s="29" t="n">
        <v>13551.31468618904</v>
      </c>
      <c r="CB28" s="29" t="n">
        <v>34742.15123930508</v>
      </c>
      <c r="CC28" s="29" t="n">
        <v>179.1089703934938</v>
      </c>
      <c r="CD28" s="29" t="n">
        <v>1084.904486343462</v>
      </c>
      <c r="CE28" s="29" t="n">
        <v>8321.340783844269</v>
      </c>
      <c r="CF28" s="29" t="n">
        <v>25246.59198242624</v>
      </c>
      <c r="CG28" s="29" t="n">
        <v>195967.8282200706</v>
      </c>
      <c r="CH28" s="29" t="n">
        <v>4400688.024742502</v>
      </c>
      <c r="CI28" s="29" t="n">
        <v>18603.57702184361</v>
      </c>
      <c r="CJ28" s="29" t="n">
        <v>119921.5463980824</v>
      </c>
      <c r="CK28" s="29" t="n">
        <v>15512.13579305578</v>
      </c>
      <c r="CL28" s="29" t="n">
        <v>73353.42631743987</v>
      </c>
      <c r="CM28" s="29" t="n">
        <v>23025.5879833537</v>
      </c>
      <c r="CN28" s="29" t="n">
        <v>14277.88882877902</v>
      </c>
      <c r="CO28" s="29" t="n">
        <v>6413.13571338945</v>
      </c>
      <c r="CP28" s="29" t="n">
        <v>15366.76140971309</v>
      </c>
      <c r="CQ28" s="29" t="n">
        <v>17529.23429251763</v>
      </c>
      <c r="CR28" s="29" t="n">
        <v>653351.5843762528</v>
      </c>
      <c r="CS28" s="29" t="n">
        <v>6422.876760837454</v>
      </c>
      <c r="CT28" s="29" t="n">
        <v>5864.79280145563</v>
      </c>
      <c r="CU28" s="29" t="n">
        <v>612011.0055602699</v>
      </c>
      <c r="CV28" s="29" t="n">
        <v>313605.3440933927</v>
      </c>
      <c r="CW28" s="29" t="n">
        <v>54139.50800412609</v>
      </c>
      <c r="CX28" s="29" t="n">
        <v>15940.38065311381</v>
      </c>
      <c r="CY28" s="29" t="n">
        <v>487449.8733293267</v>
      </c>
      <c r="CZ28" s="29" t="n">
        <v>1086158.047970603</v>
      </c>
      <c r="DA28" s="29" t="n">
        <v>21347.4509717466</v>
      </c>
      <c r="DB28" s="29" t="n">
        <v>73937.51350328003</v>
      </c>
      <c r="DC28" s="29" t="n">
        <v>928372.5903899844</v>
      </c>
      <c r="DD28" s="29" t="n">
        <v>1219.844897379181</v>
      </c>
      <c r="DE28" s="29" t="n">
        <v>0</v>
      </c>
      <c r="DF28" s="29">
        <f>SUM(C28:DE28)</f>
        <v/>
      </c>
      <c r="DG28" s="29" t="n">
        <v>0</v>
      </c>
      <c r="DH28" s="29" t="n">
        <v>0</v>
      </c>
      <c r="DI28" s="29" t="n">
        <v>528677814.0745137</v>
      </c>
      <c r="DJ28" s="29" t="n">
        <v>0</v>
      </c>
      <c r="DK28" s="29">
        <f>SUM(DG28:DJ28)</f>
        <v/>
      </c>
      <c r="DL28" s="29">
        <f>DF28+DK28</f>
        <v/>
      </c>
    </row>
    <row r="29">
      <c r="A29" s="30" t="inlineStr">
        <is>
          <t>1520</t>
        </is>
      </c>
      <c r="B29" s="30" t="inlineStr">
        <is>
          <t>Elaboración de productos lácteos</t>
        </is>
      </c>
      <c r="C29" s="31" t="n">
        <v>252806.7155686318</v>
      </c>
      <c r="D29" s="31" t="n">
        <v>28041.2990026741</v>
      </c>
      <c r="E29" s="31" t="n">
        <v>0</v>
      </c>
      <c r="F29" s="31" t="n">
        <v>0</v>
      </c>
      <c r="G29" s="31" t="n">
        <v>0</v>
      </c>
      <c r="H29" s="31" t="n">
        <v>32189.48804720321</v>
      </c>
      <c r="I29" s="31" t="n">
        <v>6.845720929989042</v>
      </c>
      <c r="J29" s="31" t="n">
        <v>4249.179742528683</v>
      </c>
      <c r="K29" s="31" t="n">
        <v>11443.22551907675</v>
      </c>
      <c r="L29" s="31" t="n">
        <v>953.5364177370329</v>
      </c>
      <c r="M29" s="31" t="n">
        <v>530.9688665598962</v>
      </c>
      <c r="N29" s="31" t="n">
        <v>67234.57486949643</v>
      </c>
      <c r="O29" s="31" t="n">
        <v>26450.18829876547</v>
      </c>
      <c r="P29" s="31" t="n">
        <v>7819.307471903367</v>
      </c>
      <c r="Q29" s="31" t="n">
        <v>236770.3892316471</v>
      </c>
      <c r="R29" s="31" t="n">
        <v>5220267.867038672</v>
      </c>
      <c r="S29" s="31" t="n">
        <v>55115.78665043401</v>
      </c>
      <c r="T29" s="31" t="n">
        <v>521216.3538485079</v>
      </c>
      <c r="U29" s="31" t="n">
        <v>804505.0663826618</v>
      </c>
      <c r="V29" s="31" t="n">
        <v>59337.73620483767</v>
      </c>
      <c r="W29" s="31" t="n">
        <v>1472669.010295399</v>
      </c>
      <c r="X29" s="31" t="n">
        <v>344347.8830629654</v>
      </c>
      <c r="Y29" s="31" t="n">
        <v>409551.6900000445</v>
      </c>
      <c r="Z29" s="31" t="n">
        <v>8065.659231115204</v>
      </c>
      <c r="AA29" s="31" t="n">
        <v>23346.44858131804</v>
      </c>
      <c r="AB29" s="31" t="n">
        <v>3620.51312647078</v>
      </c>
      <c r="AC29" s="31" t="n">
        <v>640679.6881993552</v>
      </c>
      <c r="AD29" s="31" t="n">
        <v>18188.20380759347</v>
      </c>
      <c r="AE29" s="31" t="n">
        <v>39927.61913572148</v>
      </c>
      <c r="AF29" s="31" t="n">
        <v>49917.43397970731</v>
      </c>
      <c r="AG29" s="31" t="n">
        <v>7419.417775690291</v>
      </c>
      <c r="AH29" s="31" t="n">
        <v>8265.612581242507</v>
      </c>
      <c r="AI29" s="31" t="n">
        <v>5660.945487227703</v>
      </c>
      <c r="AJ29" s="31" t="n">
        <v>57688.18723159967</v>
      </c>
      <c r="AK29" s="31" t="n">
        <v>53405.0870859565</v>
      </c>
      <c r="AL29" s="31" t="n">
        <v>26493.79160764488</v>
      </c>
      <c r="AM29" s="31" t="n">
        <v>91410.30025517626</v>
      </c>
      <c r="AN29" s="31" t="n">
        <v>22061.11973973006</v>
      </c>
      <c r="AO29" s="31" t="n">
        <v>11411.43625079261</v>
      </c>
      <c r="AP29" s="31" t="n">
        <v>16740.04982440575</v>
      </c>
      <c r="AQ29" s="31" t="n">
        <v>418383.7274270969</v>
      </c>
      <c r="AR29" s="31" t="n">
        <v>13748.24838917552</v>
      </c>
      <c r="AS29" s="31" t="n">
        <v>25171.664588222</v>
      </c>
      <c r="AT29" s="31" t="n">
        <v>1958.587861857691</v>
      </c>
      <c r="AU29" s="31" t="n">
        <v>10834.06182572461</v>
      </c>
      <c r="AV29" s="31" t="n">
        <v>91631.44400351969</v>
      </c>
      <c r="AW29" s="31" t="n">
        <v>31520.110535315</v>
      </c>
      <c r="AX29" s="31" t="n">
        <v>99454.50806692874</v>
      </c>
      <c r="AY29" s="31" t="n">
        <v>14122.92999077287</v>
      </c>
      <c r="AZ29" s="31" t="n">
        <v>56416.93518045955</v>
      </c>
      <c r="BA29" s="31" t="n">
        <v>20968.09687919079</v>
      </c>
      <c r="BB29" s="31" t="n">
        <v>67352.21880554035</v>
      </c>
      <c r="BC29" s="31" t="n">
        <v>15474.51814412755</v>
      </c>
      <c r="BD29" s="31" t="n">
        <v>1072.6694483841</v>
      </c>
      <c r="BE29" s="31" t="n">
        <v>15832.39024320734</v>
      </c>
      <c r="BF29" s="31" t="n">
        <v>7022.514167891086</v>
      </c>
      <c r="BG29" s="31" t="n">
        <v>5262.622528560822</v>
      </c>
      <c r="BH29" s="31" t="n">
        <v>126829.0144163275</v>
      </c>
      <c r="BI29" s="31" t="n">
        <v>1276.872323083087</v>
      </c>
      <c r="BJ29" s="31" t="n">
        <v>7315.742739315261</v>
      </c>
      <c r="BK29" s="31" t="n">
        <v>57869.45288213874</v>
      </c>
      <c r="BL29" s="31" t="n">
        <v>24367.39199459935</v>
      </c>
      <c r="BM29" s="31" t="n">
        <v>9072.062684812872</v>
      </c>
      <c r="BN29" s="31" t="n">
        <v>11937.13850105296</v>
      </c>
      <c r="BO29" s="31" t="n">
        <v>40006.40504648795</v>
      </c>
      <c r="BP29" s="31" t="n">
        <v>28035.24266789229</v>
      </c>
      <c r="BQ29" s="31" t="n">
        <v>8825.708224788606</v>
      </c>
      <c r="BR29" s="31" t="n">
        <v>2087.744851675892</v>
      </c>
      <c r="BS29" s="31" t="n">
        <v>1407.045654854815</v>
      </c>
      <c r="BT29" s="31" t="n">
        <v>22820.33755607301</v>
      </c>
      <c r="BU29" s="31" t="n">
        <v>65016.93562116058</v>
      </c>
      <c r="BV29" s="31" t="n">
        <v>313597.6910063496</v>
      </c>
      <c r="BW29" s="31" t="n">
        <v>3.694916208730322</v>
      </c>
      <c r="BX29" s="31" t="n">
        <v>171916.5777770486</v>
      </c>
      <c r="BY29" s="31" t="n">
        <v>18772671.59001753</v>
      </c>
      <c r="BZ29" s="31" t="n">
        <v>897.3067550514369</v>
      </c>
      <c r="CA29" s="31" t="n">
        <v>13629.03220589133</v>
      </c>
      <c r="CB29" s="31" t="n">
        <v>11691.50926545022</v>
      </c>
      <c r="CC29" s="31" t="n">
        <v>98.28241541811819</v>
      </c>
      <c r="CD29" s="31" t="n">
        <v>3210.686574987094</v>
      </c>
      <c r="CE29" s="31" t="n">
        <v>19172.89238609346</v>
      </c>
      <c r="CF29" s="31" t="n">
        <v>4134.369201526299</v>
      </c>
      <c r="CG29" s="31" t="n">
        <v>105329.6607861247</v>
      </c>
      <c r="CH29" s="31" t="n">
        <v>422650.4363977453</v>
      </c>
      <c r="CI29" s="31" t="n">
        <v>32627.98308712515</v>
      </c>
      <c r="CJ29" s="31" t="n">
        <v>45454.98469777078</v>
      </c>
      <c r="CK29" s="31" t="n">
        <v>8900.003302100755</v>
      </c>
      <c r="CL29" s="31" t="n">
        <v>39160.56564535851</v>
      </c>
      <c r="CM29" s="31" t="n">
        <v>9510.517144786043</v>
      </c>
      <c r="CN29" s="31" t="n">
        <v>190.6138302975092</v>
      </c>
      <c r="CO29" s="31" t="n">
        <v>85.61716491887334</v>
      </c>
      <c r="CP29" s="31" t="n">
        <v>4441.802261500088</v>
      </c>
      <c r="CQ29" s="31" t="n">
        <v>4394.964522777192</v>
      </c>
      <c r="CR29" s="31" t="n">
        <v>208102.1810339821</v>
      </c>
      <c r="CS29" s="31" t="n">
        <v>31683.84045233184</v>
      </c>
      <c r="CT29" s="31" t="n">
        <v>28930.83058051327</v>
      </c>
      <c r="CU29" s="31" t="n">
        <v>151539.6283903137</v>
      </c>
      <c r="CV29" s="31" t="n">
        <v>1548788.659237841</v>
      </c>
      <c r="CW29" s="31" t="n">
        <v>310564.3912686982</v>
      </c>
      <c r="CX29" s="31" t="n">
        <v>656394.3385993079</v>
      </c>
      <c r="CY29" s="31" t="n">
        <v>882355.4213784076</v>
      </c>
      <c r="CZ29" s="31" t="n">
        <v>2126694.717063262</v>
      </c>
      <c r="DA29" s="31" t="n">
        <v>7560.727771063588</v>
      </c>
      <c r="DB29" s="31" t="n">
        <v>704234.1753439665</v>
      </c>
      <c r="DC29" s="31" t="n">
        <v>175383.7402508769</v>
      </c>
      <c r="DD29" s="31" t="n">
        <v>2105.84525656705</v>
      </c>
      <c r="DE29" s="31" t="n">
        <v>0</v>
      </c>
      <c r="DF29" s="31">
        <f>SUM(C29:DE29)</f>
        <v/>
      </c>
      <c r="DG29" s="31" t="n">
        <v>0</v>
      </c>
      <c r="DH29" s="31" t="n">
        <v>0</v>
      </c>
      <c r="DI29" s="31" t="n">
        <v>166634166.1142854</v>
      </c>
      <c r="DJ29" s="31" t="n">
        <v>0</v>
      </c>
      <c r="DK29" s="31">
        <f>SUM(DG29:DJ29)</f>
        <v/>
      </c>
      <c r="DL29" s="31">
        <f>DF29+DK29</f>
        <v/>
      </c>
    </row>
    <row r="30">
      <c r="A30" s="28" t="inlineStr">
        <is>
          <t>1531/2</t>
        </is>
      </c>
      <c r="B30" s="28" t="inlineStr">
        <is>
          <t>Elaboración de productos de molinería. Elaboración de almidones y productos derivados del almidón</t>
        </is>
      </c>
      <c r="C30" s="29" t="n">
        <v>518028.1906970745</v>
      </c>
      <c r="D30" s="29" t="n">
        <v>165273.481661731</v>
      </c>
      <c r="E30" s="29" t="n">
        <v>0</v>
      </c>
      <c r="F30" s="29" t="n">
        <v>0</v>
      </c>
      <c r="G30" s="29" t="n">
        <v>0</v>
      </c>
      <c r="H30" s="29" t="n">
        <v>28367.31252102637</v>
      </c>
      <c r="I30" s="29" t="n">
        <v>2.558442147493713</v>
      </c>
      <c r="J30" s="29" t="n">
        <v>674.8309484633517</v>
      </c>
      <c r="K30" s="29" t="n">
        <v>4644.190060309948</v>
      </c>
      <c r="L30" s="29" t="n">
        <v>2740.810356190944</v>
      </c>
      <c r="M30" s="29" t="n">
        <v>580.9254502251653</v>
      </c>
      <c r="N30" s="29" t="n">
        <v>212696.387434904</v>
      </c>
      <c r="O30" s="29" t="n">
        <v>38140.24463350719</v>
      </c>
      <c r="P30" s="29" t="n">
        <v>543809.3367283709</v>
      </c>
      <c r="Q30" s="29" t="n">
        <v>821611.4710766326</v>
      </c>
      <c r="R30" s="29" t="n">
        <v>571240.7591586949</v>
      </c>
      <c r="S30" s="29" t="n">
        <v>727151.2715133247</v>
      </c>
      <c r="T30" s="29" t="n">
        <v>973111.1953199496</v>
      </c>
      <c r="U30" s="29" t="n">
        <v>19973786.27231957</v>
      </c>
      <c r="V30" s="29" t="n">
        <v>211000.6801495813</v>
      </c>
      <c r="W30" s="29" t="n">
        <v>1556175.797232003</v>
      </c>
      <c r="X30" s="29" t="n">
        <v>3916668.672046512</v>
      </c>
      <c r="Y30" s="29" t="n">
        <v>1146806.115771299</v>
      </c>
      <c r="Z30" s="29" t="n">
        <v>145501.0317682963</v>
      </c>
      <c r="AA30" s="29" t="n">
        <v>92008.69146977751</v>
      </c>
      <c r="AB30" s="29" t="n">
        <v>1121395.60023842</v>
      </c>
      <c r="AC30" s="29" t="n">
        <v>2861184.145764651</v>
      </c>
      <c r="AD30" s="29" t="n">
        <v>5223.243552904384</v>
      </c>
      <c r="AE30" s="29" t="n">
        <v>80673.49262991553</v>
      </c>
      <c r="AF30" s="29" t="n">
        <v>59783.58408489769</v>
      </c>
      <c r="AG30" s="29" t="n">
        <v>11447.27608012895</v>
      </c>
      <c r="AH30" s="29" t="n">
        <v>14321.60478403805</v>
      </c>
      <c r="AI30" s="29" t="n">
        <v>9942.01853442659</v>
      </c>
      <c r="AJ30" s="29" t="n">
        <v>650596.8597841166</v>
      </c>
      <c r="AK30" s="29" t="n">
        <v>51836.85826263997</v>
      </c>
      <c r="AL30" s="29" t="n">
        <v>133853.088259596</v>
      </c>
      <c r="AM30" s="29" t="n">
        <v>179720.8462780178</v>
      </c>
      <c r="AN30" s="29" t="n">
        <v>204619.8852844171</v>
      </c>
      <c r="AO30" s="29" t="n">
        <v>15666.20648443491</v>
      </c>
      <c r="AP30" s="29" t="n">
        <v>23280.8877001736</v>
      </c>
      <c r="AQ30" s="29" t="n">
        <v>554661.7287831058</v>
      </c>
      <c r="AR30" s="29" t="n">
        <v>37690.36091951638</v>
      </c>
      <c r="AS30" s="29" t="n">
        <v>45988.4746568058</v>
      </c>
      <c r="AT30" s="29" t="n">
        <v>5009.61377910077</v>
      </c>
      <c r="AU30" s="29" t="n">
        <v>124377.0244074447</v>
      </c>
      <c r="AV30" s="29" t="n">
        <v>587021.1349158233</v>
      </c>
      <c r="AW30" s="29" t="n">
        <v>345584.5530222423</v>
      </c>
      <c r="AX30" s="29" t="n">
        <v>554628.0267091846</v>
      </c>
      <c r="AY30" s="29" t="n">
        <v>19461.15250296127</v>
      </c>
      <c r="AZ30" s="29" t="n">
        <v>149489.4595721653</v>
      </c>
      <c r="BA30" s="29" t="n">
        <v>67040.20075475609</v>
      </c>
      <c r="BB30" s="29" t="n">
        <v>89074.01533769461</v>
      </c>
      <c r="BC30" s="29" t="n">
        <v>18133.06278963901</v>
      </c>
      <c r="BD30" s="29" t="n">
        <v>1359.211574209054</v>
      </c>
      <c r="BE30" s="29" t="n">
        <v>18420.01339789997</v>
      </c>
      <c r="BF30" s="29" t="n">
        <v>60077.76842327631</v>
      </c>
      <c r="BG30" s="29" t="n">
        <v>9033.090804054218</v>
      </c>
      <c r="BH30" s="29" t="n">
        <v>153298.8891241526</v>
      </c>
      <c r="BI30" s="29" t="n">
        <v>65045.45984764952</v>
      </c>
      <c r="BJ30" s="29" t="n">
        <v>8855.347624926826</v>
      </c>
      <c r="BK30" s="29" t="n">
        <v>106985.7666526162</v>
      </c>
      <c r="BL30" s="29" t="n">
        <v>35832.52863724715</v>
      </c>
      <c r="BM30" s="29" t="n">
        <v>27542.50803674222</v>
      </c>
      <c r="BN30" s="29" t="n">
        <v>19672.454140167</v>
      </c>
      <c r="BO30" s="29" t="n">
        <v>421980.7733079259</v>
      </c>
      <c r="BP30" s="29" t="n">
        <v>58257.34059798787</v>
      </c>
      <c r="BQ30" s="29" t="n">
        <v>17066.05345811242</v>
      </c>
      <c r="BR30" s="29" t="n">
        <v>3405.591842704228</v>
      </c>
      <c r="BS30" s="29" t="n">
        <v>1022.209944716064</v>
      </c>
      <c r="BT30" s="29" t="n">
        <v>10834.32304589993</v>
      </c>
      <c r="BU30" s="29" t="n">
        <v>60065.3216763257</v>
      </c>
      <c r="BV30" s="29" t="n">
        <v>479308.5055215785</v>
      </c>
      <c r="BW30" s="29" t="n">
        <v>257.4825123070507</v>
      </c>
      <c r="BX30" s="29" t="n">
        <v>37472.3731404065</v>
      </c>
      <c r="BY30" s="29" t="n">
        <v>4076965.542585157</v>
      </c>
      <c r="BZ30" s="29" t="n">
        <v>455.8745421224594</v>
      </c>
      <c r="CA30" s="29" t="n">
        <v>5843.473395909238</v>
      </c>
      <c r="CB30" s="29" t="n">
        <v>11076.03815243773</v>
      </c>
      <c r="CC30" s="29" t="n">
        <v>97.56609729446799</v>
      </c>
      <c r="CD30" s="29" t="n">
        <v>1275.457778855831</v>
      </c>
      <c r="CE30" s="29" t="n">
        <v>4787.479699821612</v>
      </c>
      <c r="CF30" s="29" t="n">
        <v>5544.426170541315</v>
      </c>
      <c r="CG30" s="29" t="n">
        <v>54780.23265200794</v>
      </c>
      <c r="CH30" s="29" t="n">
        <v>720018.0812485067</v>
      </c>
      <c r="CI30" s="29" t="n">
        <v>4422.965268897048</v>
      </c>
      <c r="CJ30" s="29" t="n">
        <v>67939.28804620488</v>
      </c>
      <c r="CK30" s="29" t="n">
        <v>8753.99265466012</v>
      </c>
      <c r="CL30" s="29" t="n">
        <v>41375.46792977865</v>
      </c>
      <c r="CM30" s="29" t="n">
        <v>12391.94003796168</v>
      </c>
      <c r="CN30" s="29" t="n">
        <v>509.8965804640069</v>
      </c>
      <c r="CO30" s="29" t="n">
        <v>229.0279753206707</v>
      </c>
      <c r="CP30" s="29" t="n">
        <v>8550.010959012885</v>
      </c>
      <c r="CQ30" s="29" t="n">
        <v>5038.220380900535</v>
      </c>
      <c r="CR30" s="29" t="n">
        <v>212245.4780287353</v>
      </c>
      <c r="CS30" s="29" t="n">
        <v>11288.89863087966</v>
      </c>
      <c r="CT30" s="29" t="n">
        <v>10308.00588148181</v>
      </c>
      <c r="CU30" s="29" t="n">
        <v>185196.1514362633</v>
      </c>
      <c r="CV30" s="29" t="n">
        <v>549937.5709423469</v>
      </c>
      <c r="CW30" s="29" t="n">
        <v>726297.3051937838</v>
      </c>
      <c r="CX30" s="29" t="n">
        <v>5773.280670606891</v>
      </c>
      <c r="CY30" s="29" t="n">
        <v>203566.2319369345</v>
      </c>
      <c r="CZ30" s="29" t="n">
        <v>1341813.821234431</v>
      </c>
      <c r="DA30" s="29" t="n">
        <v>10216.28747140356</v>
      </c>
      <c r="DB30" s="29" t="n">
        <v>328407.7762711332</v>
      </c>
      <c r="DC30" s="29" t="n">
        <v>164042.7888721777</v>
      </c>
      <c r="DD30" s="29" t="n">
        <v>641.1493469346028</v>
      </c>
      <c r="DE30" s="29" t="n">
        <v>0</v>
      </c>
      <c r="DF30" s="29">
        <f>SUM(C30:DE30)</f>
        <v/>
      </c>
      <c r="DG30" s="29" t="n">
        <v>0</v>
      </c>
      <c r="DH30" s="29" t="n">
        <v>0</v>
      </c>
      <c r="DI30" s="29" t="n">
        <v>67397986.65458839</v>
      </c>
      <c r="DJ30" s="29" t="n">
        <v>0</v>
      </c>
      <c r="DK30" s="29">
        <f>SUM(DG30:DJ30)</f>
        <v/>
      </c>
      <c r="DL30" s="29">
        <f>DF30+DK30</f>
        <v/>
      </c>
    </row>
    <row r="31">
      <c r="A31" s="30" t="inlineStr">
        <is>
          <t>15330</t>
        </is>
      </c>
      <c r="B31" s="30" t="inlineStr">
        <is>
          <t>15330 - Elaboración de alimentos preparados para animales</t>
        </is>
      </c>
      <c r="C31" s="31" t="n">
        <v>430790.6242251996</v>
      </c>
      <c r="D31" s="31" t="n">
        <v>57962504.66191536</v>
      </c>
      <c r="E31" s="31" t="n">
        <v>0</v>
      </c>
      <c r="F31" s="31" t="n">
        <v>0</v>
      </c>
      <c r="G31" s="31" t="n">
        <v>0</v>
      </c>
      <c r="H31" s="31" t="n">
        <v>2432.04074113077</v>
      </c>
      <c r="I31" s="31" t="n">
        <v>0.7903604558953351</v>
      </c>
      <c r="J31" s="31" t="n">
        <v>252.7693337616104</v>
      </c>
      <c r="K31" s="31" t="n">
        <v>2096.529174110376</v>
      </c>
      <c r="L31" s="31" t="n">
        <v>43.79910005277429</v>
      </c>
      <c r="M31" s="31" t="n">
        <v>49.06898714165617</v>
      </c>
      <c r="N31" s="31" t="n">
        <v>2737649.239380442</v>
      </c>
      <c r="O31" s="31" t="n">
        <v>20396.90879411358</v>
      </c>
      <c r="P31" s="31" t="n">
        <v>5625.740888331869</v>
      </c>
      <c r="Q31" s="31" t="n">
        <v>189710.5183859658</v>
      </c>
      <c r="R31" s="31" t="n">
        <v>21923.21001201269</v>
      </c>
      <c r="S31" s="31" t="n">
        <v>17208.46751445212</v>
      </c>
      <c r="T31" s="31" t="n">
        <v>4715244.007732123</v>
      </c>
      <c r="U31" s="31" t="n">
        <v>50760.31527404345</v>
      </c>
      <c r="V31" s="31" t="n">
        <v>31546.84475771746</v>
      </c>
      <c r="W31" s="31" t="n">
        <v>7954.875863644099</v>
      </c>
      <c r="X31" s="31" t="n">
        <v>9361.450007856016</v>
      </c>
      <c r="Y31" s="31" t="n">
        <v>47529.53743580628</v>
      </c>
      <c r="Z31" s="31" t="n">
        <v>6480.31323362282</v>
      </c>
      <c r="AA31" s="31" t="n">
        <v>16883.92675214988</v>
      </c>
      <c r="AB31" s="31" t="n">
        <v>3497.845306789427</v>
      </c>
      <c r="AC31" s="31" t="n">
        <v>13593.70440432015</v>
      </c>
      <c r="AD31" s="31" t="n">
        <v>1863.045893593886</v>
      </c>
      <c r="AE31" s="31" t="n">
        <v>22189.63983750271</v>
      </c>
      <c r="AF31" s="31" t="n">
        <v>29836.32886747369</v>
      </c>
      <c r="AG31" s="31" t="n">
        <v>6062.871387521255</v>
      </c>
      <c r="AH31" s="31" t="n">
        <v>4011.110259542039</v>
      </c>
      <c r="AI31" s="31" t="n">
        <v>4233.080521826734</v>
      </c>
      <c r="AJ31" s="31" t="n">
        <v>24144.52256053291</v>
      </c>
      <c r="AK31" s="31" t="n">
        <v>25167.61378945761</v>
      </c>
      <c r="AL31" s="31" t="n">
        <v>14520.85391455509</v>
      </c>
      <c r="AM31" s="31" t="n">
        <v>143193.9668472994</v>
      </c>
      <c r="AN31" s="31" t="n">
        <v>19994.36347725836</v>
      </c>
      <c r="AO31" s="31" t="n">
        <v>5463.836294962906</v>
      </c>
      <c r="AP31" s="31" t="n">
        <v>12184.72875583303</v>
      </c>
      <c r="AQ31" s="31" t="n">
        <v>199805.494133219</v>
      </c>
      <c r="AR31" s="31" t="n">
        <v>6592.712614679978</v>
      </c>
      <c r="AS31" s="31" t="n">
        <v>14048.86719660946</v>
      </c>
      <c r="AT31" s="31" t="n">
        <v>962.342516824515</v>
      </c>
      <c r="AU31" s="31" t="n">
        <v>9442.758353903559</v>
      </c>
      <c r="AV31" s="31" t="n">
        <v>55497.87485502132</v>
      </c>
      <c r="AW31" s="31" t="n">
        <v>17982.29889887719</v>
      </c>
      <c r="AX31" s="31" t="n">
        <v>50363.45599487422</v>
      </c>
      <c r="AY31" s="31" t="n">
        <v>8733.839505397547</v>
      </c>
      <c r="AZ31" s="31" t="n">
        <v>48274.98014110673</v>
      </c>
      <c r="BA31" s="31" t="n">
        <v>13200.25282793924</v>
      </c>
      <c r="BB31" s="31" t="n">
        <v>45174.6047691889</v>
      </c>
      <c r="BC31" s="31" t="n">
        <v>8630.104805767804</v>
      </c>
      <c r="BD31" s="31" t="n">
        <v>695.7675787503082</v>
      </c>
      <c r="BE31" s="31" t="n">
        <v>8555.197126570727</v>
      </c>
      <c r="BF31" s="31" t="n">
        <v>3847.5643216624</v>
      </c>
      <c r="BG31" s="31" t="n">
        <v>2852.586027690267</v>
      </c>
      <c r="BH31" s="31" t="n">
        <v>66095.43659669615</v>
      </c>
      <c r="BI31" s="31" t="n">
        <v>811.4117104972123</v>
      </c>
      <c r="BJ31" s="31" t="n">
        <v>4454.643556330982</v>
      </c>
      <c r="BK31" s="31" t="n">
        <v>59237.18140274466</v>
      </c>
      <c r="BL31" s="31" t="n">
        <v>12714.53835613327</v>
      </c>
      <c r="BM31" s="31" t="n">
        <v>4880.946388984301</v>
      </c>
      <c r="BN31" s="31" t="n">
        <v>7806.214124661517</v>
      </c>
      <c r="BO31" s="31" t="n">
        <v>22748.69411594539</v>
      </c>
      <c r="BP31" s="31" t="n">
        <v>21766.14398508021</v>
      </c>
      <c r="BQ31" s="31" t="n">
        <v>6471.346596828411</v>
      </c>
      <c r="BR31" s="31" t="n">
        <v>1284.204929194717</v>
      </c>
      <c r="BS31" s="31" t="n">
        <v>184.5468486758157</v>
      </c>
      <c r="BT31" s="31" t="n">
        <v>3600.713271651293</v>
      </c>
      <c r="BU31" s="31" t="n">
        <v>24138.77042231576</v>
      </c>
      <c r="BV31" s="31" t="n">
        <v>77612.43993454915</v>
      </c>
      <c r="BW31" s="31" t="n">
        <v>2.932797262737321</v>
      </c>
      <c r="BX31" s="31" t="n">
        <v>12089.97055651604</v>
      </c>
      <c r="BY31" s="31" t="n">
        <v>89118.99375319752</v>
      </c>
      <c r="BZ31" s="31" t="n">
        <v>181.9430522821593</v>
      </c>
      <c r="CA31" s="31" t="n">
        <v>2373.194032605068</v>
      </c>
      <c r="CB31" s="31" t="n">
        <v>4851.822282945918</v>
      </c>
      <c r="CC31" s="31" t="n">
        <v>36.58339635705744</v>
      </c>
      <c r="CD31" s="31" t="n">
        <v>381.5618345425286</v>
      </c>
      <c r="CE31" s="31" t="n">
        <v>2159.564776034604</v>
      </c>
      <c r="CF31" s="31" t="n">
        <v>3661.215729937825</v>
      </c>
      <c r="CG31" s="31" t="n">
        <v>29470.33328368972</v>
      </c>
      <c r="CH31" s="31" t="n">
        <v>579572.4776692417</v>
      </c>
      <c r="CI31" s="31" t="n">
        <v>2479.518364950038</v>
      </c>
      <c r="CJ31" s="31" t="n">
        <v>26112.26549919515</v>
      </c>
      <c r="CK31" s="31" t="n">
        <v>3393.759035834874</v>
      </c>
      <c r="CL31" s="31" t="n">
        <v>15657.82257578263</v>
      </c>
      <c r="CM31" s="31" t="n">
        <v>4884.281294389358</v>
      </c>
      <c r="CN31" s="31" t="n">
        <v>0</v>
      </c>
      <c r="CO31" s="31" t="n">
        <v>0</v>
      </c>
      <c r="CP31" s="31" t="n">
        <v>3249.312347385515</v>
      </c>
      <c r="CQ31" s="31" t="n">
        <v>2772.485876243309</v>
      </c>
      <c r="CR31" s="31" t="n">
        <v>106044.9931439119</v>
      </c>
      <c r="CS31" s="31" t="n">
        <v>1259.460433038986</v>
      </c>
      <c r="CT31" s="31" t="n">
        <v>1150.025877258487</v>
      </c>
      <c r="CU31" s="31" t="n">
        <v>97152.28955319578</v>
      </c>
      <c r="CV31" s="31" t="n">
        <v>61354.50797488629</v>
      </c>
      <c r="CW31" s="31" t="n">
        <v>13762.13622688235</v>
      </c>
      <c r="CX31" s="31" t="n">
        <v>3789.778083779981</v>
      </c>
      <c r="CY31" s="31" t="n">
        <v>30834.05713218667</v>
      </c>
      <c r="CZ31" s="31" t="n">
        <v>22415.28892026384</v>
      </c>
      <c r="DA31" s="31" t="n">
        <v>4214.759377317121</v>
      </c>
      <c r="DB31" s="31" t="n">
        <v>12615.15181098163</v>
      </c>
      <c r="DC31" s="31" t="n">
        <v>387892.9512902256</v>
      </c>
      <c r="DD31" s="31" t="n">
        <v>263.8852958184336</v>
      </c>
      <c r="DE31" s="31" t="n">
        <v>0</v>
      </c>
      <c r="DF31" s="31">
        <f>SUM(C31:DE31)</f>
        <v/>
      </c>
      <c r="DG31" s="31" t="n">
        <v>0</v>
      </c>
      <c r="DH31" s="31" t="n">
        <v>0</v>
      </c>
      <c r="DI31" s="31" t="n">
        <v>44227302.4221135</v>
      </c>
      <c r="DJ31" s="31" t="n">
        <v>0</v>
      </c>
      <c r="DK31" s="31">
        <f>SUM(DG31:DJ31)</f>
        <v/>
      </c>
      <c r="DL31" s="31">
        <f>DF31+DK31</f>
        <v/>
      </c>
    </row>
    <row r="32">
      <c r="A32" s="28" t="inlineStr">
        <is>
          <t>1541</t>
        </is>
      </c>
      <c r="B32" s="28" t="inlineStr">
        <is>
          <t>Elaboración de productos de panadería</t>
        </is>
      </c>
      <c r="C32" s="29" t="n">
        <v>639289.2191793236</v>
      </c>
      <c r="D32" s="29" t="n">
        <v>69184.63015095638</v>
      </c>
      <c r="E32" s="29" t="n">
        <v>0</v>
      </c>
      <c r="F32" s="29" t="n">
        <v>0</v>
      </c>
      <c r="G32" s="29" t="n">
        <v>0</v>
      </c>
      <c r="H32" s="29" t="n">
        <v>1925.547930140269</v>
      </c>
      <c r="I32" s="29" t="n">
        <v>1.360850626375715</v>
      </c>
      <c r="J32" s="29" t="n">
        <v>543.9037366166961</v>
      </c>
      <c r="K32" s="29" t="n">
        <v>2617.790541288103</v>
      </c>
      <c r="L32" s="29" t="n">
        <v>59.48489704999491</v>
      </c>
      <c r="M32" s="29" t="n">
        <v>78.91283812224647</v>
      </c>
      <c r="N32" s="29" t="n">
        <v>115979.5249857304</v>
      </c>
      <c r="O32" s="29" t="n">
        <v>37254.6422142298</v>
      </c>
      <c r="P32" s="29" t="n">
        <v>8228.305262235461</v>
      </c>
      <c r="Q32" s="29" t="n">
        <v>279648.271431989</v>
      </c>
      <c r="R32" s="29" t="n">
        <v>40830.07034421086</v>
      </c>
      <c r="S32" s="29" t="n">
        <v>32382.19743999818</v>
      </c>
      <c r="T32" s="29" t="n">
        <v>104007.599451792</v>
      </c>
      <c r="U32" s="29" t="n">
        <v>271128.4191629483</v>
      </c>
      <c r="V32" s="29" t="n">
        <v>74043.2151976016</v>
      </c>
      <c r="W32" s="29" t="n">
        <v>15030.10661196942</v>
      </c>
      <c r="X32" s="29" t="n">
        <v>117627.2681990195</v>
      </c>
      <c r="Y32" s="29" t="n">
        <v>74649.32522837679</v>
      </c>
      <c r="Z32" s="29" t="n">
        <v>8834.233167058888</v>
      </c>
      <c r="AA32" s="29" t="n">
        <v>27748.91909172897</v>
      </c>
      <c r="AB32" s="29" t="n">
        <v>13665.54621403195</v>
      </c>
      <c r="AC32" s="29" t="n">
        <v>31515.82151429105</v>
      </c>
      <c r="AD32" s="29" t="n">
        <v>2355.173542009169</v>
      </c>
      <c r="AE32" s="29" t="n">
        <v>49072.69292140996</v>
      </c>
      <c r="AF32" s="29" t="n">
        <v>64054.89161473267</v>
      </c>
      <c r="AG32" s="29" t="n">
        <v>10516.58161038706</v>
      </c>
      <c r="AH32" s="29" t="n">
        <v>8813.23629337644</v>
      </c>
      <c r="AI32" s="29" t="n">
        <v>5478.872374782411</v>
      </c>
      <c r="AJ32" s="29" t="n">
        <v>94140.19437506222</v>
      </c>
      <c r="AK32" s="29" t="n">
        <v>52963.00529445304</v>
      </c>
      <c r="AL32" s="29" t="n">
        <v>31239.7198549181</v>
      </c>
      <c r="AM32" s="29" t="n">
        <v>209126.5536118109</v>
      </c>
      <c r="AN32" s="29" t="n">
        <v>33893.06918445091</v>
      </c>
      <c r="AO32" s="29" t="n">
        <v>8545.169843528265</v>
      </c>
      <c r="AP32" s="29" t="n">
        <v>17367.19967144366</v>
      </c>
      <c r="AQ32" s="29" t="n">
        <v>170083.8162216283</v>
      </c>
      <c r="AR32" s="29" t="n">
        <v>11125.47564389895</v>
      </c>
      <c r="AS32" s="29" t="n">
        <v>28280.96069126487</v>
      </c>
      <c r="AT32" s="29" t="n">
        <v>1054.515836799504</v>
      </c>
      <c r="AU32" s="29" t="n">
        <v>15033.60863632782</v>
      </c>
      <c r="AV32" s="29" t="n">
        <v>160207.3692675538</v>
      </c>
      <c r="AW32" s="29" t="n">
        <v>69967.25698610162</v>
      </c>
      <c r="AX32" s="29" t="n">
        <v>169729.7097185317</v>
      </c>
      <c r="AY32" s="29" t="n">
        <v>17713.85938669885</v>
      </c>
      <c r="AZ32" s="29" t="n">
        <v>75717.08964390241</v>
      </c>
      <c r="BA32" s="29" t="n">
        <v>26505.30361575614</v>
      </c>
      <c r="BB32" s="29" t="n">
        <v>93014.37333985556</v>
      </c>
      <c r="BC32" s="29" t="n">
        <v>18875.93998070894</v>
      </c>
      <c r="BD32" s="29" t="n">
        <v>1340.491426394392</v>
      </c>
      <c r="BE32" s="29" t="n">
        <v>19044.28827463179</v>
      </c>
      <c r="BF32" s="29" t="n">
        <v>13326.06460812652</v>
      </c>
      <c r="BG32" s="29" t="n">
        <v>6172.996105828993</v>
      </c>
      <c r="BH32" s="29" t="n">
        <v>149565.9069564322</v>
      </c>
      <c r="BI32" s="29" t="n">
        <v>1263.473021999141</v>
      </c>
      <c r="BJ32" s="29" t="n">
        <v>8644.477974411731</v>
      </c>
      <c r="BK32" s="29" t="n">
        <v>89630.48292972398</v>
      </c>
      <c r="BL32" s="29" t="n">
        <v>27594.4792308755</v>
      </c>
      <c r="BM32" s="29" t="n">
        <v>10141.16414014427</v>
      </c>
      <c r="BN32" s="29" t="n">
        <v>14470.79679661273</v>
      </c>
      <c r="BO32" s="29" t="n">
        <v>91847.9296915758</v>
      </c>
      <c r="BP32" s="29" t="n">
        <v>14084.05675435418</v>
      </c>
      <c r="BQ32" s="29" t="n">
        <v>4204.169683524481</v>
      </c>
      <c r="BR32" s="29" t="n">
        <v>911.5978657021915</v>
      </c>
      <c r="BS32" s="29" t="n">
        <v>164.0510575030039</v>
      </c>
      <c r="BT32" s="29" t="n">
        <v>176253.0012208279</v>
      </c>
      <c r="BU32" s="29" t="n">
        <v>32694.14652468304</v>
      </c>
      <c r="BV32" s="29" t="n">
        <v>115589.4014499823</v>
      </c>
      <c r="BW32" s="29" t="n">
        <v>1.827881014441943</v>
      </c>
      <c r="BX32" s="29" t="n">
        <v>123104.4000790078</v>
      </c>
      <c r="BY32" s="29" t="n">
        <v>13579998.65913169</v>
      </c>
      <c r="BZ32" s="29" t="n">
        <v>206.7997465973204</v>
      </c>
      <c r="CA32" s="29" t="n">
        <v>3107.777850315392</v>
      </c>
      <c r="CB32" s="29" t="n">
        <v>11896.31255239554</v>
      </c>
      <c r="CC32" s="29" t="n">
        <v>30.21922753049918</v>
      </c>
      <c r="CD32" s="29" t="n">
        <v>532.2741322620731</v>
      </c>
      <c r="CE32" s="29" t="n">
        <v>3705.046754781443</v>
      </c>
      <c r="CF32" s="29" t="n">
        <v>4851.596146431666</v>
      </c>
      <c r="CG32" s="29" t="n">
        <v>36807.7554299117</v>
      </c>
      <c r="CH32" s="29" t="n">
        <v>841752.2824009726</v>
      </c>
      <c r="CI32" s="29" t="n">
        <v>4750.871363025092</v>
      </c>
      <c r="CJ32" s="29" t="n">
        <v>18248.41967788079</v>
      </c>
      <c r="CK32" s="29" t="n">
        <v>2727.925929987935</v>
      </c>
      <c r="CL32" s="29" t="n">
        <v>54000.01891648893</v>
      </c>
      <c r="CM32" s="29" t="n">
        <v>3697.894375131673</v>
      </c>
      <c r="CN32" s="29" t="n">
        <v>439.0494833775464</v>
      </c>
      <c r="CO32" s="29" t="n">
        <v>197.2059003652094</v>
      </c>
      <c r="CP32" s="29" t="n">
        <v>2106.670068884986</v>
      </c>
      <c r="CQ32" s="29" t="n">
        <v>3244.603267697764</v>
      </c>
      <c r="CR32" s="29" t="n">
        <v>112603.9841946439</v>
      </c>
      <c r="CS32" s="29" t="n">
        <v>19635.24549651237</v>
      </c>
      <c r="CT32" s="29" t="n">
        <v>17929.13841114171</v>
      </c>
      <c r="CU32" s="29" t="n">
        <v>107003.0020478126</v>
      </c>
      <c r="CV32" s="29" t="n">
        <v>956846.1462020113</v>
      </c>
      <c r="CW32" s="29" t="n">
        <v>131635.7932364251</v>
      </c>
      <c r="CX32" s="29" t="n">
        <v>80674.14332247799</v>
      </c>
      <c r="CY32" s="29" t="n">
        <v>751303.2628135757</v>
      </c>
      <c r="CZ32" s="29" t="n">
        <v>65653.69270350659</v>
      </c>
      <c r="DA32" s="29" t="n">
        <v>3501.618060350298</v>
      </c>
      <c r="DB32" s="29" t="n">
        <v>193636.294407039</v>
      </c>
      <c r="DC32" s="29" t="n">
        <v>179582.6319491152</v>
      </c>
      <c r="DD32" s="29" t="n">
        <v>361.5176097151373</v>
      </c>
      <c r="DE32" s="29" t="n">
        <v>0</v>
      </c>
      <c r="DF32" s="29">
        <f>SUM(C32:DE32)</f>
        <v/>
      </c>
      <c r="DG32" s="29" t="n">
        <v>0</v>
      </c>
      <c r="DH32" s="29" t="n">
        <v>0</v>
      </c>
      <c r="DI32" s="29" t="n">
        <v>150149846.3221436</v>
      </c>
      <c r="DJ32" s="29" t="n">
        <v>0</v>
      </c>
      <c r="DK32" s="29">
        <f>SUM(DG32:DJ32)</f>
        <v/>
      </c>
      <c r="DL32" s="29">
        <f>DF32+DK32</f>
        <v/>
      </c>
    </row>
    <row r="33">
      <c r="A33" s="30" t="inlineStr">
        <is>
          <t>15420</t>
        </is>
      </c>
      <c r="B33" s="30" t="inlineStr">
        <is>
          <t>15420 - Elaboración de azúcar</t>
        </is>
      </c>
      <c r="C33" s="31" t="n">
        <v>217831.0411221996</v>
      </c>
      <c r="D33" s="31" t="n">
        <v>23434.99273789637</v>
      </c>
      <c r="E33" s="31" t="n">
        <v>0</v>
      </c>
      <c r="F33" s="31" t="n">
        <v>0</v>
      </c>
      <c r="G33" s="31" t="n">
        <v>0</v>
      </c>
      <c r="H33" s="31" t="n">
        <v>25671.79607477733</v>
      </c>
      <c r="I33" s="31" t="n">
        <v>0.01025732542989903</v>
      </c>
      <c r="J33" s="31" t="n">
        <v>1.977822265836959</v>
      </c>
      <c r="K33" s="31" t="n">
        <v>374.4964188664579</v>
      </c>
      <c r="L33" s="31" t="n">
        <v>0.005416722726443645</v>
      </c>
      <c r="M33" s="31" t="n">
        <v>0.1045908341902073</v>
      </c>
      <c r="N33" s="31" t="n">
        <v>116324.4631324074</v>
      </c>
      <c r="O33" s="31" t="n">
        <v>54455.63214972825</v>
      </c>
      <c r="P33" s="31" t="n">
        <v>319916.8158550743</v>
      </c>
      <c r="Q33" s="31" t="n">
        <v>425850.2131105317</v>
      </c>
      <c r="R33" s="31" t="n">
        <v>1787160.132636488</v>
      </c>
      <c r="S33" s="31" t="n">
        <v>46136.27884944688</v>
      </c>
      <c r="T33" s="31" t="n">
        <v>31782.40612065288</v>
      </c>
      <c r="U33" s="31" t="n">
        <v>1956785.66637538</v>
      </c>
      <c r="V33" s="31" t="n">
        <v>255394.7257379425</v>
      </c>
      <c r="W33" s="31" t="n">
        <v>2189157.506440284</v>
      </c>
      <c r="X33" s="31" t="n">
        <v>1468.922458046116</v>
      </c>
      <c r="Y33" s="31" t="n">
        <v>1132806.96473923</v>
      </c>
      <c r="Z33" s="31" t="n">
        <v>337653.2312450464</v>
      </c>
      <c r="AA33" s="31" t="n">
        <v>58320.77818628568</v>
      </c>
      <c r="AB33" s="31" t="n">
        <v>830.8893513790803</v>
      </c>
      <c r="AC33" s="31" t="n">
        <v>2082287.063702716</v>
      </c>
      <c r="AD33" s="31" t="n">
        <v>626.241737267846</v>
      </c>
      <c r="AE33" s="31" t="n">
        <v>95603.10388765427</v>
      </c>
      <c r="AF33" s="31" t="n">
        <v>117045.5522186221</v>
      </c>
      <c r="AG33" s="31" t="n">
        <v>13354.00557206937</v>
      </c>
      <c r="AH33" s="31" t="n">
        <v>15079.30837525474</v>
      </c>
      <c r="AI33" s="31" t="n">
        <v>5436.190523134973</v>
      </c>
      <c r="AJ33" s="31" t="n">
        <v>25278.49287711146</v>
      </c>
      <c r="AK33" s="31" t="n">
        <v>95578.17476268811</v>
      </c>
      <c r="AL33" s="31" t="n">
        <v>63239.68784603379</v>
      </c>
      <c r="AM33" s="31" t="n">
        <v>72353.05861189173</v>
      </c>
      <c r="AN33" s="31" t="n">
        <v>32923.73366327795</v>
      </c>
      <c r="AO33" s="31" t="n">
        <v>6113.406077641351</v>
      </c>
      <c r="AP33" s="31" t="n">
        <v>11750.28403085842</v>
      </c>
      <c r="AQ33" s="31" t="n">
        <v>700052.8369615127</v>
      </c>
      <c r="AR33" s="31" t="n">
        <v>16769.96871584217</v>
      </c>
      <c r="AS33" s="31" t="n">
        <v>44478.19926033216</v>
      </c>
      <c r="AT33" s="31" t="n">
        <v>329.8253212170538</v>
      </c>
      <c r="AU33" s="31" t="n">
        <v>10092.744346318</v>
      </c>
      <c r="AV33" s="31" t="n">
        <v>112502.958783435</v>
      </c>
      <c r="AW33" s="31" t="n">
        <v>24956.68427365943</v>
      </c>
      <c r="AX33" s="31" t="n">
        <v>183948.6309587172</v>
      </c>
      <c r="AY33" s="31" t="n">
        <v>30355.63659080092</v>
      </c>
      <c r="AZ33" s="31" t="n">
        <v>122759.4136530857</v>
      </c>
      <c r="BA33" s="31" t="n">
        <v>46035.92761303663</v>
      </c>
      <c r="BB33" s="31" t="n">
        <v>158197.9947955369</v>
      </c>
      <c r="BC33" s="31" t="n">
        <v>36370.35428874931</v>
      </c>
      <c r="BD33" s="31" t="n">
        <v>2169.303162586166</v>
      </c>
      <c r="BE33" s="31" t="n">
        <v>37825.4026819634</v>
      </c>
      <c r="BF33" s="31" t="n">
        <v>4330.151955238696</v>
      </c>
      <c r="BG33" s="31" t="n">
        <v>11331.57853371588</v>
      </c>
      <c r="BH33" s="31" t="n">
        <v>318847.1463139073</v>
      </c>
      <c r="BI33" s="31" t="n">
        <v>2097.956588296078</v>
      </c>
      <c r="BJ33" s="31" t="n">
        <v>14314.33376580259</v>
      </c>
      <c r="BK33" s="31" t="n">
        <v>40602.71709471001</v>
      </c>
      <c r="BL33" s="31" t="n">
        <v>52512.57495681449</v>
      </c>
      <c r="BM33" s="31" t="n">
        <v>19089.30720797927</v>
      </c>
      <c r="BN33" s="31" t="n">
        <v>19783.88502315455</v>
      </c>
      <c r="BO33" s="31" t="n">
        <v>31488.50261825187</v>
      </c>
      <c r="BP33" s="31" t="n">
        <v>33.28083317264745</v>
      </c>
      <c r="BQ33" s="31" t="n">
        <v>1.221322059891551</v>
      </c>
      <c r="BR33" s="31" t="n">
        <v>2.094110620582874</v>
      </c>
      <c r="BS33" s="31" t="n">
        <v>1559.228079087671</v>
      </c>
      <c r="BT33" s="31" t="n">
        <v>234.7814640696087</v>
      </c>
      <c r="BU33" s="31" t="n">
        <v>42493.61715858465</v>
      </c>
      <c r="BV33" s="31" t="n">
        <v>111150.5763360756</v>
      </c>
      <c r="BW33" s="31" t="n">
        <v>2.893265384534444</v>
      </c>
      <c r="BX33" s="31" t="n">
        <v>17809.8246228103</v>
      </c>
      <c r="BY33" s="31" t="n">
        <v>508129.979026218</v>
      </c>
      <c r="BZ33" s="31" t="n">
        <v>0.5002894200367919</v>
      </c>
      <c r="CA33" s="31" t="n">
        <v>9.073265740642501</v>
      </c>
      <c r="CB33" s="31" t="n">
        <v>25394.14936218223</v>
      </c>
      <c r="CC33" s="31" t="n">
        <v>0.03477190828397719</v>
      </c>
      <c r="CD33" s="31" t="n">
        <v>0</v>
      </c>
      <c r="CE33" s="31" t="n">
        <v>4.793823761240321</v>
      </c>
      <c r="CF33" s="31" t="n">
        <v>1391.357769508659</v>
      </c>
      <c r="CG33" s="31" t="n">
        <v>7919.417257063073</v>
      </c>
      <c r="CH33" s="31" t="n">
        <v>279704.3842818121</v>
      </c>
      <c r="CI33" s="31" t="n">
        <v>674.6361424248544</v>
      </c>
      <c r="CJ33" s="31" t="n">
        <v>0.965141646627518</v>
      </c>
      <c r="CK33" s="31" t="n">
        <v>36.49006076191948</v>
      </c>
      <c r="CL33" s="31" t="n">
        <v>28.39497858081818</v>
      </c>
      <c r="CM33" s="31" t="n">
        <v>103.4762827666567</v>
      </c>
      <c r="CN33" s="31" t="n">
        <v>24.13907484367263</v>
      </c>
      <c r="CO33" s="31" t="n">
        <v>10.84244070146443</v>
      </c>
      <c r="CP33" s="31" t="n">
        <v>0.1798353352105242</v>
      </c>
      <c r="CQ33" s="31" t="n">
        <v>763.87469895522</v>
      </c>
      <c r="CR33" s="31" t="n">
        <v>23317.61259636753</v>
      </c>
      <c r="CS33" s="31" t="n">
        <v>1280.890242172714</v>
      </c>
      <c r="CT33" s="31" t="n">
        <v>1169.59364961719</v>
      </c>
      <c r="CU33" s="31" t="n">
        <v>24504.8115650924</v>
      </c>
      <c r="CV33" s="31" t="n">
        <v>62390.9369961671</v>
      </c>
      <c r="CW33" s="31" t="n">
        <v>55915.69930789764</v>
      </c>
      <c r="CX33" s="31" t="n">
        <v>3125.636279148914</v>
      </c>
      <c r="CY33" s="31" t="n">
        <v>166108.5371390439</v>
      </c>
      <c r="CZ33" s="31" t="n">
        <v>668477.3867326609</v>
      </c>
      <c r="DA33" s="31" t="n">
        <v>298.6163519919045</v>
      </c>
      <c r="DB33" s="31" t="n">
        <v>52046.00831392611</v>
      </c>
      <c r="DC33" s="31" t="n">
        <v>62223.81131367141</v>
      </c>
      <c r="DD33" s="31" t="n">
        <v>0.3496074706732683</v>
      </c>
      <c r="DE33" s="31" t="n">
        <v>0</v>
      </c>
      <c r="DF33" s="31">
        <f>SUM(C33:DE33)</f>
        <v/>
      </c>
      <c r="DG33" s="31" t="n">
        <v>0</v>
      </c>
      <c r="DH33" s="31" t="n">
        <v>0</v>
      </c>
      <c r="DI33" s="31" t="n">
        <v>20880396.6364698</v>
      </c>
      <c r="DJ33" s="31" t="n">
        <v>0</v>
      </c>
      <c r="DK33" s="31">
        <f>SUM(DG33:DJ33)</f>
        <v/>
      </c>
      <c r="DL33" s="31">
        <f>DF33+DK33</f>
        <v/>
      </c>
    </row>
    <row r="34">
      <c r="A34" s="28" t="inlineStr">
        <is>
          <t>15430</t>
        </is>
      </c>
      <c r="B34" s="28" t="inlineStr">
        <is>
          <t>15430 - Elaboración de cacao y chocolate y de productos de confitería</t>
        </is>
      </c>
      <c r="C34" s="29" t="n">
        <v>0.5880879743951223</v>
      </c>
      <c r="D34" s="29" t="n">
        <v>0.1411825094561827</v>
      </c>
      <c r="E34" s="29" t="n">
        <v>0</v>
      </c>
      <c r="F34" s="29" t="n">
        <v>0</v>
      </c>
      <c r="G34" s="29" t="n">
        <v>0</v>
      </c>
      <c r="H34" s="29" t="n">
        <v>47.56489264411895</v>
      </c>
      <c r="I34" s="29" t="n">
        <v>0.3603923224422378</v>
      </c>
      <c r="J34" s="29" t="n">
        <v>154.7569736914296</v>
      </c>
      <c r="K34" s="29" t="n">
        <v>231.2912142887324</v>
      </c>
      <c r="L34" s="29" t="n">
        <v>1214.178344186704</v>
      </c>
      <c r="M34" s="29" t="n">
        <v>234.3890720435624</v>
      </c>
      <c r="N34" s="29" t="n">
        <v>7214.050573693628</v>
      </c>
      <c r="O34" s="29" t="n">
        <v>987.1367869950484</v>
      </c>
      <c r="P34" s="29" t="n">
        <v>782.1693431750259</v>
      </c>
      <c r="Q34" s="29" t="n">
        <v>7821.71822850498</v>
      </c>
      <c r="R34" s="29" t="n">
        <v>707824.3706158962</v>
      </c>
      <c r="S34" s="29" t="n">
        <v>445.7649630008735</v>
      </c>
      <c r="T34" s="29" t="n">
        <v>24954.3906548163</v>
      </c>
      <c r="U34" s="29" t="n">
        <v>691184.2735419775</v>
      </c>
      <c r="V34" s="29" t="n">
        <v>3097.928799388247</v>
      </c>
      <c r="W34" s="29" t="n">
        <v>2309583.604256844</v>
      </c>
      <c r="X34" s="29" t="n">
        <v>1941.120348103882</v>
      </c>
      <c r="Y34" s="29" t="n">
        <v>122663.7188054419</v>
      </c>
      <c r="Z34" s="29" t="n">
        <v>96.96518428378914</v>
      </c>
      <c r="AA34" s="29" t="n">
        <v>3225.422979447624</v>
      </c>
      <c r="AB34" s="29" t="n">
        <v>406.2209992603751</v>
      </c>
      <c r="AC34" s="29" t="n">
        <v>3220.038951060539</v>
      </c>
      <c r="AD34" s="29" t="n">
        <v>426.0735946001058</v>
      </c>
      <c r="AE34" s="29" t="n">
        <v>2578.374885554761</v>
      </c>
      <c r="AF34" s="29" t="n">
        <v>2353.127172037061</v>
      </c>
      <c r="AG34" s="29" t="n">
        <v>293.8842338610497</v>
      </c>
      <c r="AH34" s="29" t="n">
        <v>862.5808876528419</v>
      </c>
      <c r="AI34" s="29" t="n">
        <v>602.693262371415</v>
      </c>
      <c r="AJ34" s="29" t="n">
        <v>31879.97894301511</v>
      </c>
      <c r="AK34" s="29" t="n">
        <v>2040.025451762113</v>
      </c>
      <c r="AL34" s="29" t="n">
        <v>1475.373230008442</v>
      </c>
      <c r="AM34" s="29" t="n">
        <v>1761.409256197843</v>
      </c>
      <c r="AN34" s="29" t="n">
        <v>4652.96277086898</v>
      </c>
      <c r="AO34" s="29" t="n">
        <v>165.6225434807516</v>
      </c>
      <c r="AP34" s="29" t="n">
        <v>1217.926478194671</v>
      </c>
      <c r="AQ34" s="29" t="n">
        <v>32559.43210197871</v>
      </c>
      <c r="AR34" s="29" t="n">
        <v>639.2418523228729</v>
      </c>
      <c r="AS34" s="29" t="n">
        <v>1968.588822243889</v>
      </c>
      <c r="AT34" s="29" t="n">
        <v>128.6225866965025</v>
      </c>
      <c r="AU34" s="29" t="n">
        <v>1462.800814311358</v>
      </c>
      <c r="AV34" s="29" t="n">
        <v>37942.07059076701</v>
      </c>
      <c r="AW34" s="29" t="n">
        <v>21896.72544562342</v>
      </c>
      <c r="AX34" s="29" t="n">
        <v>36988.2054605975</v>
      </c>
      <c r="AY34" s="29" t="n">
        <v>672.1964478797451</v>
      </c>
      <c r="AZ34" s="29" t="n">
        <v>8141.553515900965</v>
      </c>
      <c r="BA34" s="29" t="n">
        <v>1008.043551495598</v>
      </c>
      <c r="BB34" s="29" t="n">
        <v>3131.408899084234</v>
      </c>
      <c r="BC34" s="29" t="n">
        <v>714.0453400488374</v>
      </c>
      <c r="BD34" s="29" t="n">
        <v>44.02254201257661</v>
      </c>
      <c r="BE34" s="29" t="n">
        <v>755.6970128100606</v>
      </c>
      <c r="BF34" s="29" t="n">
        <v>4013.732021500517</v>
      </c>
      <c r="BG34" s="29" t="n">
        <v>416.8277180812499</v>
      </c>
      <c r="BH34" s="29" t="n">
        <v>6210.586923980029</v>
      </c>
      <c r="BI34" s="29" t="n">
        <v>90.91159220504397</v>
      </c>
      <c r="BJ34" s="29" t="n">
        <v>292.7964757714944</v>
      </c>
      <c r="BK34" s="29" t="n">
        <v>586.2686338778269</v>
      </c>
      <c r="BL34" s="29" t="n">
        <v>1787.768071055151</v>
      </c>
      <c r="BM34" s="29" t="n">
        <v>416.6243927438119</v>
      </c>
      <c r="BN34" s="29" t="n">
        <v>951.0609170005802</v>
      </c>
      <c r="BO34" s="29" t="n">
        <v>28915.54732621622</v>
      </c>
      <c r="BP34" s="29" t="n">
        <v>198.7174635133429</v>
      </c>
      <c r="BQ34" s="29" t="n">
        <v>78.36115766892445</v>
      </c>
      <c r="BR34" s="29" t="n">
        <v>38.49910289615196</v>
      </c>
      <c r="BS34" s="29" t="n">
        <v>36.78109333660632</v>
      </c>
      <c r="BT34" s="29" t="n">
        <v>3876.046523279273</v>
      </c>
      <c r="BU34" s="29" t="n">
        <v>2248.80535740431</v>
      </c>
      <c r="BV34" s="29" t="n">
        <v>15104.56064873988</v>
      </c>
      <c r="BW34" s="29" t="n">
        <v>0.4275920383959072</v>
      </c>
      <c r="BX34" s="29" t="n">
        <v>7059.068570239694</v>
      </c>
      <c r="BY34" s="29" t="n">
        <v>9913076.147402007</v>
      </c>
      <c r="BZ34" s="29" t="n">
        <v>41.94154405835806</v>
      </c>
      <c r="CA34" s="29" t="n">
        <v>761.8732743876649</v>
      </c>
      <c r="CB34" s="29" t="n">
        <v>600.4763759080323</v>
      </c>
      <c r="CC34" s="29" t="n">
        <v>3.567574066112587</v>
      </c>
      <c r="CD34" s="29" t="n">
        <v>157.3124188607636</v>
      </c>
      <c r="CE34" s="29" t="n">
        <v>1181.749150971483</v>
      </c>
      <c r="CF34" s="29" t="n">
        <v>102.8560035001383</v>
      </c>
      <c r="CG34" s="29" t="n">
        <v>1249.979476648824</v>
      </c>
      <c r="CH34" s="29" t="n">
        <v>1192.435801273348</v>
      </c>
      <c r="CI34" s="29" t="n">
        <v>595.3620843356952</v>
      </c>
      <c r="CJ34" s="29" t="n">
        <v>1023.861395721756</v>
      </c>
      <c r="CK34" s="29" t="n">
        <v>265.2521393866421</v>
      </c>
      <c r="CL34" s="29" t="n">
        <v>1272.547995859074</v>
      </c>
      <c r="CM34" s="29" t="n">
        <v>237.204724754977</v>
      </c>
      <c r="CN34" s="29" t="n">
        <v>0</v>
      </c>
      <c r="CO34" s="29" t="n">
        <v>0</v>
      </c>
      <c r="CP34" s="29" t="n">
        <v>41.13673833389097</v>
      </c>
      <c r="CQ34" s="29" t="n">
        <v>98.76364503802859</v>
      </c>
      <c r="CR34" s="29" t="n">
        <v>1722.380590994208</v>
      </c>
      <c r="CS34" s="29" t="n">
        <v>621.9227487686794</v>
      </c>
      <c r="CT34" s="29" t="n">
        <v>567.883861991536</v>
      </c>
      <c r="CU34" s="29" t="n">
        <v>1466.439364202141</v>
      </c>
      <c r="CV34" s="29" t="n">
        <v>30369.7257867209</v>
      </c>
      <c r="CW34" s="29" t="n">
        <v>920661.1798152488</v>
      </c>
      <c r="CX34" s="29" t="n">
        <v>2008.271300172265</v>
      </c>
      <c r="CY34" s="29" t="n">
        <v>469242.0013811497</v>
      </c>
      <c r="CZ34" s="29" t="n">
        <v>12672.39748545494</v>
      </c>
      <c r="DA34" s="29" t="n">
        <v>183.1327903878808</v>
      </c>
      <c r="DB34" s="29" t="n">
        <v>376974.5559273975</v>
      </c>
      <c r="DC34" s="29" t="n">
        <v>1624.152622242772</v>
      </c>
      <c r="DD34" s="29" t="n">
        <v>88.03114555508911</v>
      </c>
      <c r="DE34" s="29" t="n">
        <v>0</v>
      </c>
      <c r="DF34" s="29">
        <f>SUM(C34:DE34)</f>
        <v/>
      </c>
      <c r="DG34" s="29" t="n">
        <v>0</v>
      </c>
      <c r="DH34" s="29" t="n">
        <v>0</v>
      </c>
      <c r="DI34" s="29" t="n">
        <v>36160960.34365574</v>
      </c>
      <c r="DJ34" s="29" t="n">
        <v>0</v>
      </c>
      <c r="DK34" s="29">
        <f>SUM(DG34:DJ34)</f>
        <v/>
      </c>
      <c r="DL34" s="29">
        <f>DF34+DK34</f>
        <v/>
      </c>
    </row>
    <row r="35">
      <c r="A35" s="30" t="inlineStr">
        <is>
          <t>1544</t>
        </is>
      </c>
      <c r="B35" s="30" t="inlineStr">
        <is>
          <t>15441 - Elaboración de pastas alimenticias frescas. 15442 - Elaboración de pastas alimenticias secas</t>
        </is>
      </c>
      <c r="C35" s="31" t="n">
        <v>30569.74728020069</v>
      </c>
      <c r="D35" s="31" t="n">
        <v>3292.019489625035</v>
      </c>
      <c r="E35" s="31" t="n">
        <v>0</v>
      </c>
      <c r="F35" s="31" t="n">
        <v>0</v>
      </c>
      <c r="G35" s="31" t="n">
        <v>0</v>
      </c>
      <c r="H35" s="31" t="n">
        <v>638.5333345934476</v>
      </c>
      <c r="I35" s="31" t="n">
        <v>0.9580269719783649</v>
      </c>
      <c r="J35" s="31" t="n">
        <v>180.9003114916464</v>
      </c>
      <c r="K35" s="31" t="n">
        <v>557.2176529319862</v>
      </c>
      <c r="L35" s="31" t="n">
        <v>82.26766404660975</v>
      </c>
      <c r="M35" s="31" t="n">
        <v>35.11769148030632</v>
      </c>
      <c r="N35" s="31" t="n">
        <v>4264.926502191622</v>
      </c>
      <c r="O35" s="31" t="n">
        <v>1642.224684216534</v>
      </c>
      <c r="P35" s="31" t="n">
        <v>389.3900425033636</v>
      </c>
      <c r="Q35" s="31" t="n">
        <v>12300.35377710837</v>
      </c>
      <c r="R35" s="31" t="n">
        <v>2204.794149079035</v>
      </c>
      <c r="S35" s="31" t="n">
        <v>2047.536574885883</v>
      </c>
      <c r="T35" s="31" t="n">
        <v>3917.018024718809</v>
      </c>
      <c r="U35" s="31" t="n">
        <v>7490.967894788418</v>
      </c>
      <c r="V35" s="31" t="n">
        <v>3168.00242394705</v>
      </c>
      <c r="W35" s="31" t="n">
        <v>418.3798572371662</v>
      </c>
      <c r="X35" s="31" t="n">
        <v>1508.113798553663</v>
      </c>
      <c r="Y35" s="31" t="n">
        <v>15117.97664505967</v>
      </c>
      <c r="Z35" s="31" t="n">
        <v>437.1129783689511</v>
      </c>
      <c r="AA35" s="31" t="n">
        <v>1381.359179788922</v>
      </c>
      <c r="AB35" s="31" t="n">
        <v>361.4307550674249</v>
      </c>
      <c r="AC35" s="31" t="n">
        <v>13168.54813955905</v>
      </c>
      <c r="AD35" s="31" t="n">
        <v>26.4137788592402</v>
      </c>
      <c r="AE35" s="31" t="n">
        <v>2075.63855215241</v>
      </c>
      <c r="AF35" s="31" t="n">
        <v>2795.26183281273</v>
      </c>
      <c r="AG35" s="31" t="n">
        <v>466.9984614821476</v>
      </c>
      <c r="AH35" s="31" t="n">
        <v>359.1282877331575</v>
      </c>
      <c r="AI35" s="31" t="n">
        <v>215.629440010753</v>
      </c>
      <c r="AJ35" s="31" t="n">
        <v>3459.342150148108</v>
      </c>
      <c r="AK35" s="31" t="n">
        <v>2246.938714459769</v>
      </c>
      <c r="AL35" s="31" t="n">
        <v>1338.947113592965</v>
      </c>
      <c r="AM35" s="31" t="n">
        <v>9918.632660032848</v>
      </c>
      <c r="AN35" s="31" t="n">
        <v>1431.532991211145</v>
      </c>
      <c r="AO35" s="31" t="n">
        <v>501.0118136888632</v>
      </c>
      <c r="AP35" s="31" t="n">
        <v>751.4257210991318</v>
      </c>
      <c r="AQ35" s="31" t="n">
        <v>7429.752491326382</v>
      </c>
      <c r="AR35" s="31" t="n">
        <v>437.9533432348148</v>
      </c>
      <c r="AS35" s="31" t="n">
        <v>1159.60983904292</v>
      </c>
      <c r="AT35" s="31" t="n">
        <v>30.12971967813085</v>
      </c>
      <c r="AU35" s="31" t="n">
        <v>648.1027132667431</v>
      </c>
      <c r="AV35" s="31" t="n">
        <v>5765.573352960135</v>
      </c>
      <c r="AW35" s="31" t="n">
        <v>2387.403762122492</v>
      </c>
      <c r="AX35" s="31" t="n">
        <v>6326.291708449986</v>
      </c>
      <c r="AY35" s="31" t="n">
        <v>775.7559881567751</v>
      </c>
      <c r="AZ35" s="31" t="n">
        <v>3062.767012573146</v>
      </c>
      <c r="BA35" s="31" t="n">
        <v>1142.791268776411</v>
      </c>
      <c r="BB35" s="31" t="n">
        <v>4100.593968439716</v>
      </c>
      <c r="BC35" s="31" t="n">
        <v>810.8520768895842</v>
      </c>
      <c r="BD35" s="31" t="n">
        <v>58.10203208471201</v>
      </c>
      <c r="BE35" s="31" t="n">
        <v>815.0374407150711</v>
      </c>
      <c r="BF35" s="31" t="n">
        <v>452.9816706304557</v>
      </c>
      <c r="BG35" s="31" t="n">
        <v>254.002517771612</v>
      </c>
      <c r="BH35" s="31" t="n">
        <v>6264.587395217066</v>
      </c>
      <c r="BI35" s="31" t="n">
        <v>46.87376498585184</v>
      </c>
      <c r="BJ35" s="31" t="n">
        <v>370.1125874042127</v>
      </c>
      <c r="BK35" s="31" t="n">
        <v>4221.578832514844</v>
      </c>
      <c r="BL35" s="31" t="n">
        <v>1142.048603581278</v>
      </c>
      <c r="BM35" s="31" t="n">
        <v>434.8992048591886</v>
      </c>
      <c r="BN35" s="31" t="n">
        <v>617.7064875667771</v>
      </c>
      <c r="BO35" s="31" t="n">
        <v>3170.68955470984</v>
      </c>
      <c r="BP35" s="31" t="n">
        <v>283.4754764110424</v>
      </c>
      <c r="BQ35" s="31" t="n">
        <v>102.3856065505836</v>
      </c>
      <c r="BR35" s="31" t="n">
        <v>29.57393549369493</v>
      </c>
      <c r="BS35" s="31" t="n">
        <v>798.5602424268559</v>
      </c>
      <c r="BT35" s="31" t="n">
        <v>850.0405240493847</v>
      </c>
      <c r="BU35" s="31" t="n">
        <v>1592.732267997579</v>
      </c>
      <c r="BV35" s="31" t="n">
        <v>5862.131895260213</v>
      </c>
      <c r="BW35" s="31" t="n">
        <v>0.01445127064294255</v>
      </c>
      <c r="BX35" s="31" t="n">
        <v>16395.50945328251</v>
      </c>
      <c r="BY35" s="31" t="n">
        <v>5535775.177472197</v>
      </c>
      <c r="BZ35" s="31" t="n">
        <v>16.67223638330509</v>
      </c>
      <c r="CA35" s="31" t="n">
        <v>375.049617159828</v>
      </c>
      <c r="CB35" s="31" t="n">
        <v>519.4856540436233</v>
      </c>
      <c r="CC35" s="31" t="n">
        <v>6.388076250713965</v>
      </c>
      <c r="CD35" s="31" t="n">
        <v>643.2837325325438</v>
      </c>
      <c r="CE35" s="31" t="n">
        <v>481.614113706483</v>
      </c>
      <c r="CF35" s="31" t="n">
        <v>236.0982475625706</v>
      </c>
      <c r="CG35" s="31" t="n">
        <v>1423.376644927408</v>
      </c>
      <c r="CH35" s="31" t="n">
        <v>41233.08467189914</v>
      </c>
      <c r="CI35" s="31" t="n">
        <v>214.5474722862064</v>
      </c>
      <c r="CJ35" s="31" t="n">
        <v>391.0320924068571</v>
      </c>
      <c r="CK35" s="31" t="n">
        <v>281.7385420841115</v>
      </c>
      <c r="CL35" s="31" t="n">
        <v>362.8051571598273</v>
      </c>
      <c r="CM35" s="31" t="n">
        <v>117.5524830083288</v>
      </c>
      <c r="CN35" s="31" t="n">
        <v>0</v>
      </c>
      <c r="CO35" s="31" t="n">
        <v>0</v>
      </c>
      <c r="CP35" s="31" t="n">
        <v>40.22254926020353</v>
      </c>
      <c r="CQ35" s="31" t="n">
        <v>145.5441543761819</v>
      </c>
      <c r="CR35" s="31" t="n">
        <v>3894.186842718257</v>
      </c>
      <c r="CS35" s="31" t="n">
        <v>793.8441893758614</v>
      </c>
      <c r="CT35" s="31" t="n">
        <v>724.8670433343166</v>
      </c>
      <c r="CU35" s="31" t="n">
        <v>4148.891002624771</v>
      </c>
      <c r="CV35" s="31" t="n">
        <v>38672.0522298225</v>
      </c>
      <c r="CW35" s="31" t="n">
        <v>89673.66901348777</v>
      </c>
      <c r="CX35" s="31" t="n">
        <v>3366.543582092967</v>
      </c>
      <c r="CY35" s="31" t="n">
        <v>110141.355021271</v>
      </c>
      <c r="CZ35" s="31" t="n">
        <v>162903.8535490727</v>
      </c>
      <c r="DA35" s="31" t="n">
        <v>263.0423332879672</v>
      </c>
      <c r="DB35" s="31" t="n">
        <v>612320.9023709713</v>
      </c>
      <c r="DC35" s="31" t="n">
        <v>8298.764981849819</v>
      </c>
      <c r="DD35" s="31" t="n">
        <v>21.40815766793961</v>
      </c>
      <c r="DE35" s="31" t="n">
        <v>0</v>
      </c>
      <c r="DF35" s="31">
        <f>SUM(C35:DE35)</f>
        <v/>
      </c>
      <c r="DG35" s="31" t="n">
        <v>0</v>
      </c>
      <c r="DH35" s="31" t="n">
        <v>0</v>
      </c>
      <c r="DI35" s="31" t="n">
        <v>22356221.09497267</v>
      </c>
      <c r="DJ35" s="31" t="n">
        <v>0</v>
      </c>
      <c r="DK35" s="31">
        <f>SUM(DG35:DJ35)</f>
        <v/>
      </c>
      <c r="DL35" s="31">
        <f>DF35+DK35</f>
        <v/>
      </c>
    </row>
    <row r="36">
      <c r="A36" s="28" t="inlineStr">
        <is>
          <t>1549</t>
        </is>
      </c>
      <c r="B36" s="28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9" t="n">
        <v>779424.1196237133</v>
      </c>
      <c r="D36" s="29" t="n">
        <v>84890.87782926134</v>
      </c>
      <c r="E36" s="29" t="n">
        <v>0</v>
      </c>
      <c r="F36" s="29" t="n">
        <v>1596.879291102732</v>
      </c>
      <c r="G36" s="29" t="n">
        <v>0</v>
      </c>
      <c r="H36" s="29" t="n">
        <v>368365.7203445212</v>
      </c>
      <c r="I36" s="29" t="n">
        <v>1.104026020675788</v>
      </c>
      <c r="J36" s="29" t="n">
        <v>710563.4248235901</v>
      </c>
      <c r="K36" s="29" t="n">
        <v>3555.526492891732</v>
      </c>
      <c r="L36" s="29" t="n">
        <v>2885.119504567704</v>
      </c>
      <c r="M36" s="29" t="n">
        <v>112152.7053504614</v>
      </c>
      <c r="N36" s="29" t="n">
        <v>116764.1504336605</v>
      </c>
      <c r="O36" s="29" t="n">
        <v>21636.08365822308</v>
      </c>
      <c r="P36" s="29" t="n">
        <v>94875.23889320277</v>
      </c>
      <c r="Q36" s="29" t="n">
        <v>163918.4049678915</v>
      </c>
      <c r="R36" s="29" t="n">
        <v>530545.4663509112</v>
      </c>
      <c r="S36" s="29" t="n">
        <v>568565.404894526</v>
      </c>
      <c r="T36" s="29" t="n">
        <v>489278.8610183128</v>
      </c>
      <c r="U36" s="29" t="n">
        <v>913553.5131035089</v>
      </c>
      <c r="V36" s="29" t="n">
        <v>19426.35854637589</v>
      </c>
      <c r="W36" s="29" t="n">
        <v>252872.6549093488</v>
      </c>
      <c r="X36" s="29" t="n">
        <v>68137.66663467637</v>
      </c>
      <c r="Y36" s="29" t="n">
        <v>1289387.969541562</v>
      </c>
      <c r="Z36" s="29" t="n">
        <v>35034.09149293162</v>
      </c>
      <c r="AA36" s="29" t="n">
        <v>111771.8560010607</v>
      </c>
      <c r="AB36" s="29" t="n">
        <v>5426.334765320451</v>
      </c>
      <c r="AC36" s="29" t="n">
        <v>7967557.351815208</v>
      </c>
      <c r="AD36" s="29" t="n">
        <v>4705.191562471669</v>
      </c>
      <c r="AE36" s="29" t="n">
        <v>46173.91638802987</v>
      </c>
      <c r="AF36" s="29" t="n">
        <v>33964.51385882069</v>
      </c>
      <c r="AG36" s="29" t="n">
        <v>22833.91851846581</v>
      </c>
      <c r="AH36" s="29" t="n">
        <v>2841.71830379379</v>
      </c>
      <c r="AI36" s="29" t="n">
        <v>6916.756040898274</v>
      </c>
      <c r="AJ36" s="29" t="n">
        <v>201268.5864006354</v>
      </c>
      <c r="AK36" s="29" t="n">
        <v>22857.12683392484</v>
      </c>
      <c r="AL36" s="29" t="n">
        <v>9846.093298701031</v>
      </c>
      <c r="AM36" s="29" t="n">
        <v>254959.3108200186</v>
      </c>
      <c r="AN36" s="29" t="n">
        <v>362370.3020147933</v>
      </c>
      <c r="AO36" s="29" t="n">
        <v>87041.73383542446</v>
      </c>
      <c r="AP36" s="29" t="n">
        <v>21603.06587251868</v>
      </c>
      <c r="AQ36" s="29" t="n">
        <v>684377.9240730879</v>
      </c>
      <c r="AR36" s="29" t="n">
        <v>6828.210934923623</v>
      </c>
      <c r="AS36" s="29" t="n">
        <v>11788.35389516912</v>
      </c>
      <c r="AT36" s="29" t="n">
        <v>26179.78666700936</v>
      </c>
      <c r="AU36" s="29" t="n">
        <v>508756.514628046</v>
      </c>
      <c r="AV36" s="29" t="n">
        <v>119683.3171225646</v>
      </c>
      <c r="AW36" s="29" t="n">
        <v>37716.27953199854</v>
      </c>
      <c r="AX36" s="29" t="n">
        <v>75014.12264999092</v>
      </c>
      <c r="AY36" s="29" t="n">
        <v>7567.554112936858</v>
      </c>
      <c r="AZ36" s="29" t="n">
        <v>23751.0964501374</v>
      </c>
      <c r="BA36" s="29" t="n">
        <v>11564.63126191484</v>
      </c>
      <c r="BB36" s="29" t="n">
        <v>42858.73861609584</v>
      </c>
      <c r="BC36" s="29" t="n">
        <v>6541.648748913587</v>
      </c>
      <c r="BD36" s="29" t="n">
        <v>641.3768984489312</v>
      </c>
      <c r="BE36" s="29" t="n">
        <v>6932.425472309891</v>
      </c>
      <c r="BF36" s="29" t="n">
        <v>3394.357613549854</v>
      </c>
      <c r="BG36" s="29" t="n">
        <v>1597.919658759947</v>
      </c>
      <c r="BH36" s="29" t="n">
        <v>31464.7427547332</v>
      </c>
      <c r="BI36" s="29" t="n">
        <v>664.621495052583</v>
      </c>
      <c r="BJ36" s="29" t="n">
        <v>4102.104112395557</v>
      </c>
      <c r="BK36" s="29" t="n">
        <v>107622.2073428378</v>
      </c>
      <c r="BL36" s="29" t="n">
        <v>97462.76738832866</v>
      </c>
      <c r="BM36" s="29" t="n">
        <v>3604.206133744535</v>
      </c>
      <c r="BN36" s="29" t="n">
        <v>9901.10176490205</v>
      </c>
      <c r="BO36" s="29" t="n">
        <v>20321.30018782937</v>
      </c>
      <c r="BP36" s="29" t="n">
        <v>2902.998558708786</v>
      </c>
      <c r="BQ36" s="29" t="n">
        <v>901.0965581231751</v>
      </c>
      <c r="BR36" s="29" t="n">
        <v>361.2252093772969</v>
      </c>
      <c r="BS36" s="29" t="n">
        <v>40522.66111703181</v>
      </c>
      <c r="BT36" s="29" t="n">
        <v>4202.259674600446</v>
      </c>
      <c r="BU36" s="29" t="n">
        <v>11339.04659214121</v>
      </c>
      <c r="BV36" s="29" t="n">
        <v>45614.72113930032</v>
      </c>
      <c r="BW36" s="29" t="n">
        <v>10.34022328889488</v>
      </c>
      <c r="BX36" s="29" t="n">
        <v>103149.1489344868</v>
      </c>
      <c r="BY36" s="29" t="n">
        <v>1227221.892377159</v>
      </c>
      <c r="BZ36" s="29" t="n">
        <v>129.3329016066966</v>
      </c>
      <c r="CA36" s="29" t="n">
        <v>1757.797503224697</v>
      </c>
      <c r="CB36" s="29" t="n">
        <v>2815.501829587304</v>
      </c>
      <c r="CC36" s="29" t="n">
        <v>11.79490573691101</v>
      </c>
      <c r="CD36" s="29" t="n">
        <v>419.8357439065942</v>
      </c>
      <c r="CE36" s="29" t="n">
        <v>2316.431720355427</v>
      </c>
      <c r="CF36" s="29" t="n">
        <v>5259.734029508274</v>
      </c>
      <c r="CG36" s="29" t="n">
        <v>49319.43693778868</v>
      </c>
      <c r="CH36" s="29" t="n">
        <v>1019237.380329403</v>
      </c>
      <c r="CI36" s="29" t="n">
        <v>9706.750577889421</v>
      </c>
      <c r="CJ36" s="29" t="n">
        <v>4669.153532655656</v>
      </c>
      <c r="CK36" s="29" t="n">
        <v>1263.53545922214</v>
      </c>
      <c r="CL36" s="29" t="n">
        <v>3131.749301312041</v>
      </c>
      <c r="CM36" s="29" t="n">
        <v>1438.085147374305</v>
      </c>
      <c r="CN36" s="29" t="n">
        <v>647.1434564235631</v>
      </c>
      <c r="CO36" s="29" t="n">
        <v>290.6745431236945</v>
      </c>
      <c r="CP36" s="29" t="n">
        <v>439.8131915888927</v>
      </c>
      <c r="CQ36" s="29" t="n">
        <v>3220.660237968982</v>
      </c>
      <c r="CR36" s="29" t="n">
        <v>116930.4740157026</v>
      </c>
      <c r="CS36" s="29" t="n">
        <v>3571.929006531516</v>
      </c>
      <c r="CT36" s="29" t="n">
        <v>3261.563985245332</v>
      </c>
      <c r="CU36" s="29" t="n">
        <v>108609.2638167083</v>
      </c>
      <c r="CV36" s="29" t="n">
        <v>175325.2057347425</v>
      </c>
      <c r="CW36" s="29" t="n">
        <v>79406.18886689024</v>
      </c>
      <c r="CX36" s="29" t="n">
        <v>7117.082229823576</v>
      </c>
      <c r="CY36" s="29" t="n">
        <v>344190.7764985734</v>
      </c>
      <c r="CZ36" s="29" t="n">
        <v>302877.2965676466</v>
      </c>
      <c r="DA36" s="29" t="n">
        <v>1979.244437698687</v>
      </c>
      <c r="DB36" s="29" t="n">
        <v>89238.89245215571</v>
      </c>
      <c r="DC36" s="29" t="n">
        <v>227308.5227183149</v>
      </c>
      <c r="DD36" s="29" t="n">
        <v>428.4796500722593</v>
      </c>
      <c r="DE36" s="29" t="n">
        <v>0</v>
      </c>
      <c r="DF36" s="29">
        <f>SUM(C36:DE36)</f>
        <v/>
      </c>
      <c r="DG36" s="29" t="n">
        <v>0</v>
      </c>
      <c r="DH36" s="29" t="n">
        <v>0</v>
      </c>
      <c r="DI36" s="29" t="n">
        <v>108153046.7038448</v>
      </c>
      <c r="DJ36" s="29" t="n">
        <v>0</v>
      </c>
      <c r="DK36" s="29">
        <f>SUM(DG36:DJ36)</f>
        <v/>
      </c>
      <c r="DL36" s="29">
        <f>DF36+DK36</f>
        <v/>
      </c>
    </row>
    <row r="37">
      <c r="A37" s="30" t="inlineStr">
        <is>
          <t>15510</t>
        </is>
      </c>
      <c r="B37" s="30" t="inlineStr">
        <is>
          <t>15510 - Destilación, rectificación y mezcla de bebidas alcohólicas; producción de alcohol etílico</t>
        </is>
      </c>
      <c r="C37" s="31" t="n">
        <v>231778.9868855795</v>
      </c>
      <c r="D37" s="31" t="n">
        <v>24938.89609326384</v>
      </c>
      <c r="E37" s="31" t="n">
        <v>0</v>
      </c>
      <c r="F37" s="31" t="n">
        <v>0</v>
      </c>
      <c r="G37" s="31" t="n">
        <v>0</v>
      </c>
      <c r="H37" s="31" t="n">
        <v>107012.7601189501</v>
      </c>
      <c r="I37" s="31" t="n">
        <v>0.1230300068018564</v>
      </c>
      <c r="J37" s="31" t="n">
        <v>45.61788906878189</v>
      </c>
      <c r="K37" s="31" t="n">
        <v>446.8601339345777</v>
      </c>
      <c r="L37" s="31" t="n">
        <v>5.359879307965725</v>
      </c>
      <c r="M37" s="31" t="n">
        <v>8.855582123428794</v>
      </c>
      <c r="N37" s="31" t="n">
        <v>13737.19282772834</v>
      </c>
      <c r="O37" s="31" t="n">
        <v>4804.817390286499</v>
      </c>
      <c r="P37" s="31" t="n">
        <v>1573.069885975046</v>
      </c>
      <c r="Q37" s="31" t="n">
        <v>34261.9963611105</v>
      </c>
      <c r="R37" s="31" t="n">
        <v>12042.9114484209</v>
      </c>
      <c r="S37" s="31" t="n">
        <v>6806.336662958231</v>
      </c>
      <c r="T37" s="31" t="n">
        <v>17610.60488404752</v>
      </c>
      <c r="U37" s="31" t="n">
        <v>41669.06152852799</v>
      </c>
      <c r="V37" s="31" t="n">
        <v>1177.369325535763</v>
      </c>
      <c r="W37" s="31" t="n">
        <v>194678.5312504678</v>
      </c>
      <c r="X37" s="31" t="n">
        <v>1346.47840396744</v>
      </c>
      <c r="Y37" s="31" t="n">
        <v>28846.16347233296</v>
      </c>
      <c r="Z37" s="31" t="n">
        <v>1143132.162751388</v>
      </c>
      <c r="AA37" s="31" t="n">
        <v>60243.11362926981</v>
      </c>
      <c r="AB37" s="31" t="n">
        <v>894.0121128016156</v>
      </c>
      <c r="AC37" s="31" t="n">
        <v>1610.331601820104</v>
      </c>
      <c r="AD37" s="31" t="n">
        <v>37.13640850174374</v>
      </c>
      <c r="AE37" s="31" t="n">
        <v>1460.365467549709</v>
      </c>
      <c r="AF37" s="31" t="n">
        <v>4325.702734452653</v>
      </c>
      <c r="AG37" s="31" t="n">
        <v>1762.984670860794</v>
      </c>
      <c r="AH37" s="31" t="n">
        <v>286.0718117540769</v>
      </c>
      <c r="AI37" s="31" t="n">
        <v>748.4907567194348</v>
      </c>
      <c r="AJ37" s="31" t="n">
        <v>21829.58318087939</v>
      </c>
      <c r="AK37" s="31" t="n">
        <v>3159.330356986854</v>
      </c>
      <c r="AL37" s="31" t="n">
        <v>6620.598660589634</v>
      </c>
      <c r="AM37" s="31" t="n">
        <v>74294.170299159</v>
      </c>
      <c r="AN37" s="31" t="n">
        <v>37673.72474093619</v>
      </c>
      <c r="AO37" s="31" t="n">
        <v>2215.882539759482</v>
      </c>
      <c r="AP37" s="31" t="n">
        <v>4323.60776377457</v>
      </c>
      <c r="AQ37" s="31" t="n">
        <v>262774.8472126441</v>
      </c>
      <c r="AR37" s="31" t="n">
        <v>948.0536523740301</v>
      </c>
      <c r="AS37" s="31" t="n">
        <v>1960.057989279918</v>
      </c>
      <c r="AT37" s="31" t="n">
        <v>94.90001800896613</v>
      </c>
      <c r="AU37" s="31" t="n">
        <v>2851.565131471971</v>
      </c>
      <c r="AV37" s="31" t="n">
        <v>14355.70011970719</v>
      </c>
      <c r="AW37" s="31" t="n">
        <v>6641.362474405018</v>
      </c>
      <c r="AX37" s="31" t="n">
        <v>8548.383696306137</v>
      </c>
      <c r="AY37" s="31" t="n">
        <v>1377.370761980368</v>
      </c>
      <c r="AZ37" s="31" t="n">
        <v>4072.107338309871</v>
      </c>
      <c r="BA37" s="31" t="n">
        <v>1999.001905716631</v>
      </c>
      <c r="BB37" s="31" t="n">
        <v>8437.40163146349</v>
      </c>
      <c r="BC37" s="31" t="n">
        <v>860.9694920931977</v>
      </c>
      <c r="BD37" s="31" t="n">
        <v>128.3655561915394</v>
      </c>
      <c r="BE37" s="31" t="n">
        <v>643.0850540604415</v>
      </c>
      <c r="BF37" s="31" t="n">
        <v>1367.511008914197</v>
      </c>
      <c r="BG37" s="31" t="n">
        <v>151.5246559527825</v>
      </c>
      <c r="BH37" s="31" t="n">
        <v>125.2996234498101</v>
      </c>
      <c r="BI37" s="31" t="n">
        <v>34.8410447191262</v>
      </c>
      <c r="BJ37" s="31" t="n">
        <v>747.5416396431181</v>
      </c>
      <c r="BK37" s="31" t="n">
        <v>30122.37221287595</v>
      </c>
      <c r="BL37" s="31" t="n">
        <v>728.6223340536884</v>
      </c>
      <c r="BM37" s="31" t="n">
        <v>459.3834881702034</v>
      </c>
      <c r="BN37" s="31" t="n">
        <v>1701.630405276995</v>
      </c>
      <c r="BO37" s="31" t="n">
        <v>9107.449468194995</v>
      </c>
      <c r="BP37" s="31" t="n">
        <v>174.0861892811817</v>
      </c>
      <c r="BQ37" s="31" t="n">
        <v>60.74716083394508</v>
      </c>
      <c r="BR37" s="31" t="n">
        <v>20.44217140414512</v>
      </c>
      <c r="BS37" s="31" t="n">
        <v>0</v>
      </c>
      <c r="BT37" s="31" t="n">
        <v>233.4513514295391</v>
      </c>
      <c r="BU37" s="31" t="n">
        <v>541.7108274707978</v>
      </c>
      <c r="BV37" s="31" t="n">
        <v>4869.886587438959</v>
      </c>
      <c r="BW37" s="31" t="n">
        <v>0.01495749128821264</v>
      </c>
      <c r="BX37" s="31" t="n">
        <v>6441.986992313638</v>
      </c>
      <c r="BY37" s="31" t="n">
        <v>43674.62945244749</v>
      </c>
      <c r="BZ37" s="31" t="n">
        <v>15.70128807555307</v>
      </c>
      <c r="CA37" s="31" t="n">
        <v>289.5657763949779</v>
      </c>
      <c r="CB37" s="31" t="n">
        <v>38.30530131192545</v>
      </c>
      <c r="CC37" s="31" t="n">
        <v>1.414050409360641</v>
      </c>
      <c r="CD37" s="31" t="n">
        <v>50.36135487479705</v>
      </c>
      <c r="CE37" s="31" t="n">
        <v>442.9081960186538</v>
      </c>
      <c r="CF37" s="31" t="n">
        <v>1522.401604530676</v>
      </c>
      <c r="CG37" s="31" t="n">
        <v>8565.317148334851</v>
      </c>
      <c r="CH37" s="31" t="n">
        <v>297847.0115415313</v>
      </c>
      <c r="CI37" s="31" t="n">
        <v>803.2344679078378</v>
      </c>
      <c r="CJ37" s="31" t="n">
        <v>507.0005188197768</v>
      </c>
      <c r="CK37" s="31" t="n">
        <v>143.2855666914007</v>
      </c>
      <c r="CL37" s="31" t="n">
        <v>251.4339638076051</v>
      </c>
      <c r="CM37" s="31" t="n">
        <v>216.7830870808364</v>
      </c>
      <c r="CN37" s="31" t="n">
        <v>0</v>
      </c>
      <c r="CO37" s="31" t="n">
        <v>0</v>
      </c>
      <c r="CP37" s="31" t="n">
        <v>31.34289147246779</v>
      </c>
      <c r="CQ37" s="31" t="n">
        <v>849.0148013481416</v>
      </c>
      <c r="CR37" s="31" t="n">
        <v>25203.54857393402</v>
      </c>
      <c r="CS37" s="31" t="n">
        <v>15.80790059579104</v>
      </c>
      <c r="CT37" s="31" t="n">
        <v>14.43435162661188</v>
      </c>
      <c r="CU37" s="31" t="n">
        <v>26568.08490590525</v>
      </c>
      <c r="CV37" s="31" t="n">
        <v>770.0805342732417</v>
      </c>
      <c r="CW37" s="31" t="n">
        <v>1162.007975698552</v>
      </c>
      <c r="CX37" s="31" t="n">
        <v>97.39499310997479</v>
      </c>
      <c r="CY37" s="31" t="n">
        <v>4768.517272380385</v>
      </c>
      <c r="CZ37" s="31" t="n">
        <v>8511.776879258436</v>
      </c>
      <c r="DA37" s="31" t="n">
        <v>398.8733854960473</v>
      </c>
      <c r="DB37" s="31" t="n">
        <v>7005.297238292302</v>
      </c>
      <c r="DC37" s="31" t="n">
        <v>83476.20064724884</v>
      </c>
      <c r="DD37" s="31" t="n">
        <v>39.30727064184134</v>
      </c>
      <c r="DE37" s="31" t="n">
        <v>0</v>
      </c>
      <c r="DF37" s="31">
        <f>SUM(C37:DE37)</f>
        <v/>
      </c>
      <c r="DG37" s="31" t="n">
        <v>0</v>
      </c>
      <c r="DH37" s="31" t="n">
        <v>0</v>
      </c>
      <c r="DI37" s="31" t="n">
        <v>17083846.80334194</v>
      </c>
      <c r="DJ37" s="31" t="n">
        <v>0</v>
      </c>
      <c r="DK37" s="31">
        <f>SUM(DG37:DJ37)</f>
        <v/>
      </c>
      <c r="DL37" s="31">
        <f>DF37+DK37</f>
        <v/>
      </c>
    </row>
    <row r="38">
      <c r="A38" s="28" t="inlineStr">
        <is>
          <t>1552</t>
        </is>
      </c>
      <c r="B38" s="28" t="inlineStr">
        <is>
          <t>15521 - Elaboración de vinos. 15529 - Elaboración de sidra y otras bebidas alcohólicas fermentadas a partir de frutas</t>
        </is>
      </c>
      <c r="C38" s="29" t="n">
        <v>241653.03600483</v>
      </c>
      <c r="D38" s="29" t="n">
        <v>27796.70639967392</v>
      </c>
      <c r="E38" s="29" t="n">
        <v>0</v>
      </c>
      <c r="F38" s="29" t="n">
        <v>0</v>
      </c>
      <c r="G38" s="29" t="n">
        <v>0</v>
      </c>
      <c r="H38" s="29" t="n">
        <v>9575.638795608182</v>
      </c>
      <c r="I38" s="29" t="n">
        <v>1.633393371229588</v>
      </c>
      <c r="J38" s="29" t="n">
        <v>473.7962605712091</v>
      </c>
      <c r="K38" s="29" t="n">
        <v>4166.556409126215</v>
      </c>
      <c r="L38" s="29" t="n">
        <v>3183.16958531361</v>
      </c>
      <c r="M38" s="29" t="n">
        <v>619.2795252148167</v>
      </c>
      <c r="N38" s="29" t="n">
        <v>71632.03530829854</v>
      </c>
      <c r="O38" s="29" t="n">
        <v>32184.18337057095</v>
      </c>
      <c r="P38" s="29" t="n">
        <v>22023.6522628329</v>
      </c>
      <c r="Q38" s="29" t="n">
        <v>213750.9007092132</v>
      </c>
      <c r="R38" s="29" t="n">
        <v>35440.09450491505</v>
      </c>
      <c r="S38" s="29" t="n">
        <v>16800.36458360034</v>
      </c>
      <c r="T38" s="29" t="n">
        <v>49236.25885756988</v>
      </c>
      <c r="U38" s="29" t="n">
        <v>26248.56455702816</v>
      </c>
      <c r="V38" s="29" t="n">
        <v>69787.15467580561</v>
      </c>
      <c r="W38" s="29" t="n">
        <v>12982.90970699212</v>
      </c>
      <c r="X38" s="29" t="n">
        <v>3154.28791628074</v>
      </c>
      <c r="Y38" s="29" t="n">
        <v>50179.0104994085</v>
      </c>
      <c r="Z38" s="29" t="n">
        <v>67714.65037423115</v>
      </c>
      <c r="AA38" s="29" t="n">
        <v>15447262.80874409</v>
      </c>
      <c r="AB38" s="29" t="n">
        <v>2924.649341550232</v>
      </c>
      <c r="AC38" s="29" t="n">
        <v>181267.4738115655</v>
      </c>
      <c r="AD38" s="29" t="n">
        <v>5881.169794954763</v>
      </c>
      <c r="AE38" s="29" t="n">
        <v>48657.11785452141</v>
      </c>
      <c r="AF38" s="29" t="n">
        <v>55594.57745212547</v>
      </c>
      <c r="AG38" s="29" t="n">
        <v>8329.044310139296</v>
      </c>
      <c r="AH38" s="29" t="n">
        <v>9337.967599558982</v>
      </c>
      <c r="AI38" s="29" t="n">
        <v>9451.279918172642</v>
      </c>
      <c r="AJ38" s="29" t="n">
        <v>51533.05752020532</v>
      </c>
      <c r="AK38" s="29" t="n">
        <v>49457.82039963084</v>
      </c>
      <c r="AL38" s="29" t="n">
        <v>32112.26724217582</v>
      </c>
      <c r="AM38" s="29" t="n">
        <v>95556.6838022579</v>
      </c>
      <c r="AN38" s="29" t="n">
        <v>36615.63172081645</v>
      </c>
      <c r="AO38" s="29" t="n">
        <v>5768.630702943497</v>
      </c>
      <c r="AP38" s="29" t="n">
        <v>17720.6435125671</v>
      </c>
      <c r="AQ38" s="29" t="n">
        <v>177267.3036844625</v>
      </c>
      <c r="AR38" s="29" t="n">
        <v>14197.5569904782</v>
      </c>
      <c r="AS38" s="29" t="n">
        <v>28448.74636610102</v>
      </c>
      <c r="AT38" s="29" t="n">
        <v>2384.737995777089</v>
      </c>
      <c r="AU38" s="29" t="n">
        <v>15005.86698120409</v>
      </c>
      <c r="AV38" s="29" t="n">
        <v>115325.7907516841</v>
      </c>
      <c r="AW38" s="29" t="n">
        <v>37611.17669276037</v>
      </c>
      <c r="AX38" s="29" t="n">
        <v>116058.6803403357</v>
      </c>
      <c r="AY38" s="29" t="n">
        <v>16168.60654127641</v>
      </c>
      <c r="AZ38" s="29" t="n">
        <v>67035.5652901943</v>
      </c>
      <c r="BA38" s="29" t="n">
        <v>24890.70349427255</v>
      </c>
      <c r="BB38" s="29" t="n">
        <v>78266.31769804166</v>
      </c>
      <c r="BC38" s="29" t="n">
        <v>17469.0005844582</v>
      </c>
      <c r="BD38" s="29" t="n">
        <v>1226.8054556287</v>
      </c>
      <c r="BE38" s="29" t="n">
        <v>18021.41023190383</v>
      </c>
      <c r="BF38" s="29" t="n">
        <v>7842.757042156531</v>
      </c>
      <c r="BG38" s="29" t="n">
        <v>6508.473352282406</v>
      </c>
      <c r="BH38" s="29" t="n">
        <v>156266.2795255166</v>
      </c>
      <c r="BI38" s="29" t="n">
        <v>1933.588198473665</v>
      </c>
      <c r="BJ38" s="29" t="n">
        <v>8161.325874191184</v>
      </c>
      <c r="BK38" s="29" t="n">
        <v>40300.77758132383</v>
      </c>
      <c r="BL38" s="29" t="n">
        <v>29001.72937328515</v>
      </c>
      <c r="BM38" s="29" t="n">
        <v>10079.36149641242</v>
      </c>
      <c r="BN38" s="29" t="n">
        <v>13849.69712131898</v>
      </c>
      <c r="BO38" s="29" t="n">
        <v>45658.98387314237</v>
      </c>
      <c r="BP38" s="29" t="n">
        <v>59553.47489805455</v>
      </c>
      <c r="BQ38" s="29" t="n">
        <v>17611.29864834212</v>
      </c>
      <c r="BR38" s="29" t="n">
        <v>3447.708548678558</v>
      </c>
      <c r="BS38" s="29" t="n">
        <v>775.5430071163988</v>
      </c>
      <c r="BT38" s="29" t="n">
        <v>9022.615610650893</v>
      </c>
      <c r="BU38" s="29" t="n">
        <v>60966.04135299128</v>
      </c>
      <c r="BV38" s="29" t="n">
        <v>172240.5960481495</v>
      </c>
      <c r="BW38" s="29" t="n">
        <v>9.162266797867744</v>
      </c>
      <c r="BX38" s="29" t="n">
        <v>154506.7104342912</v>
      </c>
      <c r="BY38" s="29" t="n">
        <v>12860016.20729624</v>
      </c>
      <c r="BZ38" s="29" t="n">
        <v>398.3469643282033</v>
      </c>
      <c r="CA38" s="29" t="n">
        <v>4573.39449513887</v>
      </c>
      <c r="CB38" s="29" t="n">
        <v>11097.2180814118</v>
      </c>
      <c r="CC38" s="29" t="n">
        <v>93.33149517126013</v>
      </c>
      <c r="CD38" s="29" t="n">
        <v>874.4074605786142</v>
      </c>
      <c r="CE38" s="29" t="n">
        <v>2795.915154263644</v>
      </c>
      <c r="CF38" s="29" t="n">
        <v>3769.189769578976</v>
      </c>
      <c r="CG38" s="29" t="n">
        <v>48362.84590301767</v>
      </c>
      <c r="CH38" s="29" t="n">
        <v>384392.5323550462</v>
      </c>
      <c r="CI38" s="29" t="n">
        <v>4053.664047367629</v>
      </c>
      <c r="CJ38" s="29" t="n">
        <v>69021.07975763666</v>
      </c>
      <c r="CK38" s="29" t="n">
        <v>8676.296959935156</v>
      </c>
      <c r="CL38" s="29" t="n">
        <v>42621.54307992431</v>
      </c>
      <c r="CM38" s="29" t="n">
        <v>12445.16982899161</v>
      </c>
      <c r="CN38" s="29" t="n">
        <v>192.7298318707321</v>
      </c>
      <c r="CO38" s="29" t="n">
        <v>86.567599918162</v>
      </c>
      <c r="CP38" s="29" t="n">
        <v>8830.958403466349</v>
      </c>
      <c r="CQ38" s="29" t="n">
        <v>4111.61233393679</v>
      </c>
      <c r="CR38" s="29" t="n">
        <v>193712.4506371662</v>
      </c>
      <c r="CS38" s="29" t="n">
        <v>1620.448478261686</v>
      </c>
      <c r="CT38" s="29" t="n">
        <v>1479.647660124141</v>
      </c>
      <c r="CU38" s="29" t="n">
        <v>163658.5195421007</v>
      </c>
      <c r="CV38" s="29" t="n">
        <v>79082.48363322987</v>
      </c>
      <c r="CW38" s="29" t="n">
        <v>21752.55992538793</v>
      </c>
      <c r="CX38" s="29" t="n">
        <v>4749.740589236121</v>
      </c>
      <c r="CY38" s="29" t="n">
        <v>80140.61769258899</v>
      </c>
      <c r="CZ38" s="29" t="n">
        <v>43663.46480641067</v>
      </c>
      <c r="DA38" s="29" t="n">
        <v>9885.19333777019</v>
      </c>
      <c r="DB38" s="29" t="n">
        <v>34595.6638800091</v>
      </c>
      <c r="DC38" s="29" t="n">
        <v>95896.31752814019</v>
      </c>
      <c r="DD38" s="29" t="n">
        <v>527.8457970926177</v>
      </c>
      <c r="DE38" s="29" t="n">
        <v>0</v>
      </c>
      <c r="DF38" s="29">
        <f>SUM(C38:DE38)</f>
        <v/>
      </c>
      <c r="DG38" s="29" t="n">
        <v>0</v>
      </c>
      <c r="DH38" s="29" t="n">
        <v>0</v>
      </c>
      <c r="DI38" s="29" t="n">
        <v>79024045.17657548</v>
      </c>
      <c r="DJ38" s="29" t="n">
        <v>0</v>
      </c>
      <c r="DK38" s="29">
        <f>SUM(DG38:DJ38)</f>
        <v/>
      </c>
      <c r="DL38" s="29">
        <f>DF38+DK38</f>
        <v/>
      </c>
    </row>
    <row r="39">
      <c r="A39" s="30" t="inlineStr">
        <is>
          <t>15530</t>
        </is>
      </c>
      <c r="B39" s="30" t="inlineStr">
        <is>
          <t>15530 - Elaboración de cerveza, bebidas malteadas y de malta</t>
        </is>
      </c>
      <c r="C39" s="31" t="n">
        <v>70976.4773207916</v>
      </c>
      <c r="D39" s="31" t="n">
        <v>7635.887071030961</v>
      </c>
      <c r="E39" s="31" t="n">
        <v>0</v>
      </c>
      <c r="F39" s="31" t="n">
        <v>0</v>
      </c>
      <c r="G39" s="31" t="n">
        <v>0</v>
      </c>
      <c r="H39" s="31" t="n">
        <v>7.00085770898071</v>
      </c>
      <c r="I39" s="31" t="n">
        <v>0.06426143946918109</v>
      </c>
      <c r="J39" s="31" t="n">
        <v>23.82728647513261</v>
      </c>
      <c r="K39" s="31" t="n">
        <v>144.6356102699779</v>
      </c>
      <c r="L39" s="31" t="n">
        <v>2.799589861566671</v>
      </c>
      <c r="M39" s="31" t="n">
        <v>4.625476900977421</v>
      </c>
      <c r="N39" s="31" t="n">
        <v>42407.64079363978</v>
      </c>
      <c r="O39" s="31" t="n">
        <v>18076.51478013475</v>
      </c>
      <c r="P39" s="31" t="n">
        <v>2859.806424098706</v>
      </c>
      <c r="Q39" s="31" t="n">
        <v>148868.8636795261</v>
      </c>
      <c r="R39" s="31" t="n">
        <v>16987.18494996916</v>
      </c>
      <c r="S39" s="31" t="n">
        <v>5536.584202098734</v>
      </c>
      <c r="T39" s="31" t="n">
        <v>31831.25676499854</v>
      </c>
      <c r="U39" s="31" t="n">
        <v>9710.922862196021</v>
      </c>
      <c r="V39" s="31" t="n">
        <v>51811.1901086691</v>
      </c>
      <c r="W39" s="31" t="n">
        <v>795.3186030695121</v>
      </c>
      <c r="X39" s="31" t="n">
        <v>416.0472471777546</v>
      </c>
      <c r="Y39" s="31" t="n">
        <v>39521.49717233988</v>
      </c>
      <c r="Z39" s="31" t="n">
        <v>900.3903136566297</v>
      </c>
      <c r="AA39" s="31" t="n">
        <v>8610.588099211762</v>
      </c>
      <c r="AB39" s="31" t="n">
        <v>4762868.406498017</v>
      </c>
      <c r="AC39" s="31" t="n">
        <v>13256.47808155769</v>
      </c>
      <c r="AD39" s="31" t="n">
        <v>208.6143722350828</v>
      </c>
      <c r="AE39" s="31" t="n">
        <v>32202.07215445187</v>
      </c>
      <c r="AF39" s="31" t="n">
        <v>38917.70678053993</v>
      </c>
      <c r="AG39" s="31" t="n">
        <v>4439.395285289866</v>
      </c>
      <c r="AH39" s="31" t="n">
        <v>5361.656440621571</v>
      </c>
      <c r="AI39" s="31" t="n">
        <v>1809.545745428368</v>
      </c>
      <c r="AJ39" s="31" t="n">
        <v>34407.43887622659</v>
      </c>
      <c r="AK39" s="31" t="n">
        <v>31772.83862667399</v>
      </c>
      <c r="AL39" s="31" t="n">
        <v>20576.7297290997</v>
      </c>
      <c r="AM39" s="31" t="n">
        <v>23600.64467538277</v>
      </c>
      <c r="AN39" s="31" t="n">
        <v>6525.787856855613</v>
      </c>
      <c r="AO39" s="31" t="n">
        <v>2067.489073700241</v>
      </c>
      <c r="AP39" s="31" t="n">
        <v>3881.809080900136</v>
      </c>
      <c r="AQ39" s="31" t="n">
        <v>90025.43580287335</v>
      </c>
      <c r="AR39" s="31" t="n">
        <v>5565.925667779031</v>
      </c>
      <c r="AS39" s="31" t="n">
        <v>15573.45752902012</v>
      </c>
      <c r="AT39" s="31" t="n">
        <v>191.2560705571728</v>
      </c>
      <c r="AU39" s="31" t="n">
        <v>4279.807447765852</v>
      </c>
      <c r="AV39" s="31" t="n">
        <v>69349.76427750802</v>
      </c>
      <c r="AW39" s="31" t="n">
        <v>27662.52905361766</v>
      </c>
      <c r="AX39" s="31" t="n">
        <v>91290.09298517961</v>
      </c>
      <c r="AY39" s="31" t="n">
        <v>10156.07893018923</v>
      </c>
      <c r="AZ39" s="31" t="n">
        <v>45879.73825669023</v>
      </c>
      <c r="BA39" s="31" t="n">
        <v>15316.30858583058</v>
      </c>
      <c r="BB39" s="31" t="n">
        <v>53520.78363193714</v>
      </c>
      <c r="BC39" s="31" t="n">
        <v>12090.5530458174</v>
      </c>
      <c r="BD39" s="31" t="n">
        <v>720.8749880805481</v>
      </c>
      <c r="BE39" s="31" t="n">
        <v>12577.01427338558</v>
      </c>
      <c r="BF39" s="31" t="n">
        <v>4988.806504366635</v>
      </c>
      <c r="BG39" s="31" t="n">
        <v>3926.33186803327</v>
      </c>
      <c r="BH39" s="31" t="n">
        <v>106034.5115317003</v>
      </c>
      <c r="BI39" s="31" t="n">
        <v>697.8574822663841</v>
      </c>
      <c r="BJ39" s="31" t="n">
        <v>4757.886260227556</v>
      </c>
      <c r="BK39" s="31" t="n">
        <v>12484.76761636332</v>
      </c>
      <c r="BL39" s="31" t="n">
        <v>17742.97176174375</v>
      </c>
      <c r="BM39" s="31" t="n">
        <v>6308.636530183905</v>
      </c>
      <c r="BN39" s="31" t="n">
        <v>6843.357111660864</v>
      </c>
      <c r="BO39" s="31" t="n">
        <v>36094.39052783496</v>
      </c>
      <c r="BP39" s="31" t="n">
        <v>84.67013475057585</v>
      </c>
      <c r="BQ39" s="31" t="n">
        <v>14.88564741636555</v>
      </c>
      <c r="BR39" s="31" t="n">
        <v>7.446603907091028</v>
      </c>
      <c r="BS39" s="31" t="n">
        <v>0</v>
      </c>
      <c r="BT39" s="31" t="n">
        <v>115.3173483562848</v>
      </c>
      <c r="BU39" s="31" t="n">
        <v>14373.57550967138</v>
      </c>
      <c r="BV39" s="31" t="n">
        <v>39409.25006470249</v>
      </c>
      <c r="BW39" s="31" t="n">
        <v>0</v>
      </c>
      <c r="BX39" s="31" t="n">
        <v>87905.1961495525</v>
      </c>
      <c r="BY39" s="31" t="n">
        <v>5049583.095704244</v>
      </c>
      <c r="BZ39" s="31" t="n">
        <v>7.913043025813352</v>
      </c>
      <c r="CA39" s="31" t="n">
        <v>148.6592022404372</v>
      </c>
      <c r="CB39" s="31" t="n">
        <v>8453.082698909131</v>
      </c>
      <c r="CC39" s="31" t="n">
        <v>0.6605609480864849</v>
      </c>
      <c r="CD39" s="31" t="n">
        <v>26.30490920060558</v>
      </c>
      <c r="CE39" s="31" t="n">
        <v>231.3412716841974</v>
      </c>
      <c r="CF39" s="31" t="n">
        <v>473.4055919786367</v>
      </c>
      <c r="CG39" s="31" t="n">
        <v>2617.245970403258</v>
      </c>
      <c r="CH39" s="31" t="n">
        <v>91192.83536660578</v>
      </c>
      <c r="CI39" s="31" t="n">
        <v>262.5635517677619</v>
      </c>
      <c r="CJ39" s="31" t="n">
        <v>200.1508500747644</v>
      </c>
      <c r="CK39" s="31" t="n">
        <v>58.9418300992226</v>
      </c>
      <c r="CL39" s="31" t="n">
        <v>91.88287420720816</v>
      </c>
      <c r="CM39" s="31" t="n">
        <v>78.21297742832286</v>
      </c>
      <c r="CN39" s="31" t="n">
        <v>0</v>
      </c>
      <c r="CO39" s="31" t="n">
        <v>0</v>
      </c>
      <c r="CP39" s="31" t="n">
        <v>7.917182775071817</v>
      </c>
      <c r="CQ39" s="31" t="n">
        <v>265.4019569013157</v>
      </c>
      <c r="CR39" s="31" t="n">
        <v>7645.813488891938</v>
      </c>
      <c r="CS39" s="31" t="n">
        <v>6.344819282429321</v>
      </c>
      <c r="CT39" s="31" t="n">
        <v>5.793517739748245</v>
      </c>
      <c r="CU39" s="31" t="n">
        <v>8118.308354456733</v>
      </c>
      <c r="CV39" s="31" t="n">
        <v>309.0873322028147</v>
      </c>
      <c r="CW39" s="31" t="n">
        <v>395.9095539154414</v>
      </c>
      <c r="CX39" s="31" t="n">
        <v>46.05139905601273</v>
      </c>
      <c r="CY39" s="31" t="n">
        <v>1453.96871913999</v>
      </c>
      <c r="CZ39" s="31" t="n">
        <v>9.870435064336307</v>
      </c>
      <c r="DA39" s="31" t="n">
        <v>131.1093342147512</v>
      </c>
      <c r="DB39" s="31" t="n">
        <v>28.91319781526473</v>
      </c>
      <c r="DC39" s="31" t="n">
        <v>18596.52557978552</v>
      </c>
      <c r="DD39" s="31" t="n">
        <v>15.57569569800637</v>
      </c>
      <c r="DE39" s="31" t="n">
        <v>0</v>
      </c>
      <c r="DF39" s="31">
        <f>SUM(C39:DE39)</f>
        <v/>
      </c>
      <c r="DG39" s="31" t="n">
        <v>0</v>
      </c>
      <c r="DH39" s="31" t="n">
        <v>0</v>
      </c>
      <c r="DI39" s="31" t="n">
        <v>53979263.97255494</v>
      </c>
      <c r="DJ39" s="31" t="n">
        <v>0</v>
      </c>
      <c r="DK39" s="31">
        <f>SUM(DG39:DJ39)</f>
        <v/>
      </c>
      <c r="DL39" s="31">
        <f>DF39+DK39</f>
        <v/>
      </c>
    </row>
    <row r="40">
      <c r="A40" s="28" t="inlineStr">
        <is>
          <t>1554</t>
        </is>
      </c>
      <c r="B40" s="28" t="inlineStr">
        <is>
          <t>15541 - Elaboración de soda y aguas. 15542 - Elaboración de bebidas gaseosas, excepto soda. 15549 - Elaboración de hielo, jugos envasados para diluir y otras bebidas no alcohólicas</t>
        </is>
      </c>
      <c r="C40" s="29" t="n">
        <v>634697.6216087467</v>
      </c>
      <c r="D40" s="29" t="n">
        <v>68363.71064972803</v>
      </c>
      <c r="E40" s="29" t="n">
        <v>0</v>
      </c>
      <c r="F40" s="29" t="n">
        <v>0</v>
      </c>
      <c r="G40" s="29" t="n">
        <v>0</v>
      </c>
      <c r="H40" s="29" t="n">
        <v>5992.961919723227</v>
      </c>
      <c r="I40" s="29" t="n">
        <v>8.838262824987238</v>
      </c>
      <c r="J40" s="29" t="n">
        <v>2265.05478060152</v>
      </c>
      <c r="K40" s="29" t="n">
        <v>7816.043100347587</v>
      </c>
      <c r="L40" s="29" t="n">
        <v>1117.151225961346</v>
      </c>
      <c r="M40" s="29" t="n">
        <v>382.3138065232736</v>
      </c>
      <c r="N40" s="29" t="n">
        <v>46043.13795032967</v>
      </c>
      <c r="O40" s="29" t="n">
        <v>16120.66098816606</v>
      </c>
      <c r="P40" s="29" t="n">
        <v>37712.94076248186</v>
      </c>
      <c r="Q40" s="29" t="n">
        <v>114632.0199403589</v>
      </c>
      <c r="R40" s="29" t="n">
        <v>25768.17683930457</v>
      </c>
      <c r="S40" s="29" t="n">
        <v>26303.32554248054</v>
      </c>
      <c r="T40" s="29" t="n">
        <v>60699.44343476115</v>
      </c>
      <c r="U40" s="29" t="n">
        <v>23783.16102305828</v>
      </c>
      <c r="V40" s="29" t="n">
        <v>11280.68776573744</v>
      </c>
      <c r="W40" s="29" t="n">
        <v>8199.157071481268</v>
      </c>
      <c r="X40" s="29" t="n">
        <v>4631.433309114964</v>
      </c>
      <c r="Y40" s="29" t="n">
        <v>88421.72251770805</v>
      </c>
      <c r="Z40" s="29" t="n">
        <v>11055.15996690521</v>
      </c>
      <c r="AA40" s="29" t="n">
        <v>94619.13903454409</v>
      </c>
      <c r="AB40" s="29" t="n">
        <v>3054.608927792478</v>
      </c>
      <c r="AC40" s="29" t="n">
        <v>475409.7565594367</v>
      </c>
      <c r="AD40" s="29" t="n">
        <v>5139.903685253639</v>
      </c>
      <c r="AE40" s="29" t="n">
        <v>9518.934165396728</v>
      </c>
      <c r="AF40" s="29" t="n">
        <v>18147.34339479189</v>
      </c>
      <c r="AG40" s="29" t="n">
        <v>5770.630951086276</v>
      </c>
      <c r="AH40" s="29" t="n">
        <v>2049.840901516755</v>
      </c>
      <c r="AI40" s="29" t="n">
        <v>2753.723470205576</v>
      </c>
      <c r="AJ40" s="29" t="n">
        <v>44664.82775471133</v>
      </c>
      <c r="AK40" s="29" t="n">
        <v>17499.97799801766</v>
      </c>
      <c r="AL40" s="29" t="n">
        <v>5990.236149543538</v>
      </c>
      <c r="AM40" s="29" t="n">
        <v>205823.7410709033</v>
      </c>
      <c r="AN40" s="29" t="n">
        <v>28595.08148899851</v>
      </c>
      <c r="AO40" s="29" t="n">
        <v>7923.39208407461</v>
      </c>
      <c r="AP40" s="29" t="n">
        <v>14903.40152884343</v>
      </c>
      <c r="AQ40" s="29" t="n">
        <v>74415.32194686259</v>
      </c>
      <c r="AR40" s="29" t="n">
        <v>5424.52503967018</v>
      </c>
      <c r="AS40" s="29" t="n">
        <v>9109.418351443666</v>
      </c>
      <c r="AT40" s="29" t="n">
        <v>982.0458379698795</v>
      </c>
      <c r="AU40" s="29" t="n">
        <v>9594.695590129551</v>
      </c>
      <c r="AV40" s="29" t="n">
        <v>60210.42068434373</v>
      </c>
      <c r="AW40" s="29" t="n">
        <v>28006.34281405301</v>
      </c>
      <c r="AX40" s="29" t="n">
        <v>45490.31700719705</v>
      </c>
      <c r="AY40" s="29" t="n">
        <v>5680.43374176138</v>
      </c>
      <c r="AZ40" s="29" t="n">
        <v>17346.47043410306</v>
      </c>
      <c r="BA40" s="29" t="n">
        <v>8137.057360734891</v>
      </c>
      <c r="BB40" s="29" t="n">
        <v>31492.88990279553</v>
      </c>
      <c r="BC40" s="29" t="n">
        <v>4474.130453822036</v>
      </c>
      <c r="BD40" s="29" t="n">
        <v>477.9151998724623</v>
      </c>
      <c r="BE40" s="29" t="n">
        <v>3923.48458892832</v>
      </c>
      <c r="BF40" s="29" t="n">
        <v>5745.52484206155</v>
      </c>
      <c r="BG40" s="29" t="n">
        <v>1211.543806198714</v>
      </c>
      <c r="BH40" s="29" t="n">
        <v>17474.25050403007</v>
      </c>
      <c r="BI40" s="29" t="n">
        <v>240.0397063038407</v>
      </c>
      <c r="BJ40" s="29" t="n">
        <v>3006.121266665692</v>
      </c>
      <c r="BK40" s="29" t="n">
        <v>89887.00472939492</v>
      </c>
      <c r="BL40" s="29" t="n">
        <v>5733.089624825599</v>
      </c>
      <c r="BM40" s="29" t="n">
        <v>2508.627302022346</v>
      </c>
      <c r="BN40" s="29" t="n">
        <v>6195.498070250072</v>
      </c>
      <c r="BO40" s="29" t="n">
        <v>37334.39019233146</v>
      </c>
      <c r="BP40" s="29" t="n">
        <v>3973.716859766557</v>
      </c>
      <c r="BQ40" s="29" t="n">
        <v>1317.152339570244</v>
      </c>
      <c r="BR40" s="29" t="n">
        <v>388.1744327163254</v>
      </c>
      <c r="BS40" s="29" t="n">
        <v>7413.809837044339</v>
      </c>
      <c r="BT40" s="29" t="n">
        <v>7009.552591390328</v>
      </c>
      <c r="BU40" s="29" t="n">
        <v>13594.03040619732</v>
      </c>
      <c r="BV40" s="29" t="n">
        <v>49488.86850879456</v>
      </c>
      <c r="BW40" s="29" t="n">
        <v>59.47511374701031</v>
      </c>
      <c r="BX40" s="29" t="n">
        <v>180038.1373208949</v>
      </c>
      <c r="BY40" s="29" t="n">
        <v>8287189.632648684</v>
      </c>
      <c r="BZ40" s="29" t="n">
        <v>200.5547133034266</v>
      </c>
      <c r="CA40" s="29" t="n">
        <v>3620.907969807257</v>
      </c>
      <c r="CB40" s="29" t="n">
        <v>1789.439139768675</v>
      </c>
      <c r="CC40" s="29" t="n">
        <v>59.72945422305675</v>
      </c>
      <c r="CD40" s="29" t="n">
        <v>5759.762999958004</v>
      </c>
      <c r="CE40" s="29" t="n">
        <v>4389.816849615232</v>
      </c>
      <c r="CF40" s="29" t="n">
        <v>4463.351152901342</v>
      </c>
      <c r="CG40" s="29" t="n">
        <v>49900.54849093989</v>
      </c>
      <c r="CH40" s="29" t="n">
        <v>852482.4923674983</v>
      </c>
      <c r="CI40" s="29" t="n">
        <v>11357.78377930459</v>
      </c>
      <c r="CJ40" s="29" t="n">
        <v>4978.274852969417</v>
      </c>
      <c r="CK40" s="29" t="n">
        <v>3133.185362462732</v>
      </c>
      <c r="CL40" s="29" t="n">
        <v>3265.641440517762</v>
      </c>
      <c r="CM40" s="29" t="n">
        <v>1661.881735240641</v>
      </c>
      <c r="CN40" s="29" t="n">
        <v>625.8029845316245</v>
      </c>
      <c r="CO40" s="29" t="n">
        <v>281.0891384415319</v>
      </c>
      <c r="CP40" s="29" t="n">
        <v>549.6828301487601</v>
      </c>
      <c r="CQ40" s="29" t="n">
        <v>2867.182849425622</v>
      </c>
      <c r="CR40" s="29" t="n">
        <v>109030.6786511396</v>
      </c>
      <c r="CS40" s="29" t="n">
        <v>1543.967906910305</v>
      </c>
      <c r="CT40" s="29" t="n">
        <v>1409.812487970799</v>
      </c>
      <c r="CU40" s="29" t="n">
        <v>97326.6780245166</v>
      </c>
      <c r="CV40" s="29" t="n">
        <v>76821.7074845012</v>
      </c>
      <c r="CW40" s="29" t="n">
        <v>46308.4340562327</v>
      </c>
      <c r="CX40" s="29" t="n">
        <v>6253.021915578829</v>
      </c>
      <c r="CY40" s="29" t="n">
        <v>186137.7452572606</v>
      </c>
      <c r="CZ40" s="29" t="n">
        <v>10443.81287105301</v>
      </c>
      <c r="DA40" s="29" t="n">
        <v>3130.887439517027</v>
      </c>
      <c r="DB40" s="29" t="n">
        <v>3884.908170757252</v>
      </c>
      <c r="DC40" s="29" t="n">
        <v>196500.9134596404</v>
      </c>
      <c r="DD40" s="29" t="n">
        <v>15832.04070569606</v>
      </c>
      <c r="DE40" s="29" t="n">
        <v>0</v>
      </c>
      <c r="DF40" s="29">
        <f>SUM(C40:DE40)</f>
        <v/>
      </c>
      <c r="DG40" s="29" t="n">
        <v>0</v>
      </c>
      <c r="DH40" s="29" t="n">
        <v>0</v>
      </c>
      <c r="DI40" s="29" t="n">
        <v>133570667.9432152</v>
      </c>
      <c r="DJ40" s="29" t="n">
        <v>0</v>
      </c>
      <c r="DK40" s="29">
        <f>SUM(DG40:DJ40)</f>
        <v/>
      </c>
      <c r="DL40" s="29">
        <f>DF40+DK40</f>
        <v/>
      </c>
    </row>
    <row r="41">
      <c r="A41" s="30" t="inlineStr">
        <is>
          <t>160</t>
        </is>
      </c>
      <c r="B41" s="30" t="inlineStr">
        <is>
          <t>16001 - Preparación de hojas de tabaco. 16009 - Elaboración de cigarrillos y productos de tabaco n.c.p.</t>
        </is>
      </c>
      <c r="C41" s="31" t="n">
        <v>157496.0577084272</v>
      </c>
      <c r="D41" s="31" t="n">
        <v>16943.95321084544</v>
      </c>
      <c r="E41" s="31" t="n">
        <v>0</v>
      </c>
      <c r="F41" s="31" t="n">
        <v>0</v>
      </c>
      <c r="G41" s="31" t="n">
        <v>0</v>
      </c>
      <c r="H41" s="31" t="n">
        <v>8.992056335294766</v>
      </c>
      <c r="I41" s="31" t="n">
        <v>0.195163058291057</v>
      </c>
      <c r="J41" s="31" t="n">
        <v>44.8677788100678</v>
      </c>
      <c r="K41" s="31" t="n">
        <v>301.4034331373988</v>
      </c>
      <c r="L41" s="31" t="n">
        <v>3.595855079104699</v>
      </c>
      <c r="M41" s="31" t="n">
        <v>6.750409399413873</v>
      </c>
      <c r="N41" s="31" t="n">
        <v>16519.57626409535</v>
      </c>
      <c r="O41" s="31" t="n">
        <v>5418.118053356492</v>
      </c>
      <c r="P41" s="31" t="n">
        <v>1375.282040843632</v>
      </c>
      <c r="Q41" s="31" t="n">
        <v>40301.0982742929</v>
      </c>
      <c r="R41" s="31" t="n">
        <v>6161.864025824864</v>
      </c>
      <c r="S41" s="31" t="n">
        <v>5067.7973379878</v>
      </c>
      <c r="T41" s="31" t="n">
        <v>26385.7084579529</v>
      </c>
      <c r="U41" s="31" t="n">
        <v>3843.764238590978</v>
      </c>
      <c r="V41" s="31" t="n">
        <v>7491.004108118049</v>
      </c>
      <c r="W41" s="31" t="n">
        <v>1762.01690439771</v>
      </c>
      <c r="X41" s="31" t="n">
        <v>913.2020722209376</v>
      </c>
      <c r="Y41" s="31" t="n">
        <v>13609.78479812089</v>
      </c>
      <c r="Z41" s="31" t="n">
        <v>1998.189686800667</v>
      </c>
      <c r="AA41" s="31" t="n">
        <v>5240.209433152868</v>
      </c>
      <c r="AB41" s="31" t="n">
        <v>605.3952719622005</v>
      </c>
      <c r="AC41" s="31" t="n">
        <v>2743.013102552987</v>
      </c>
      <c r="AD41" s="31" t="n">
        <v>1997807.95262703</v>
      </c>
      <c r="AE41" s="31" t="n">
        <v>5329.399867332208</v>
      </c>
      <c r="AF41" s="31" t="n">
        <v>7827.669116646173</v>
      </c>
      <c r="AG41" s="31" t="n">
        <v>1708.070731618798</v>
      </c>
      <c r="AH41" s="31" t="n">
        <v>1052.549757944962</v>
      </c>
      <c r="AI41" s="31" t="n">
        <v>707.4169703751356</v>
      </c>
      <c r="AJ41" s="31" t="n">
        <v>24790.7186723687</v>
      </c>
      <c r="AK41" s="31" t="n">
        <v>6149.825676189387</v>
      </c>
      <c r="AL41" s="31" t="n">
        <v>3228.589830357272</v>
      </c>
      <c r="AM41" s="31" t="n">
        <v>50579.1540146535</v>
      </c>
      <c r="AN41" s="31" t="n">
        <v>7941.449449601361</v>
      </c>
      <c r="AO41" s="31" t="n">
        <v>1708.95112457573</v>
      </c>
      <c r="AP41" s="31" t="n">
        <v>3263.358300288694</v>
      </c>
      <c r="AQ41" s="31" t="n">
        <v>23018.94565344995</v>
      </c>
      <c r="AR41" s="31" t="n">
        <v>1258.502783195055</v>
      </c>
      <c r="AS41" s="31" t="n">
        <v>3673.522945564567</v>
      </c>
      <c r="AT41" s="31" t="n">
        <v>124.8803644266379</v>
      </c>
      <c r="AU41" s="31" t="n">
        <v>2851.019871405941</v>
      </c>
      <c r="AV41" s="31" t="n">
        <v>34633.11493798601</v>
      </c>
      <c r="AW41" s="31" t="n">
        <v>17814.10459411015</v>
      </c>
      <c r="AX41" s="31" t="n">
        <v>32847.5497123436</v>
      </c>
      <c r="AY41" s="31" t="n">
        <v>2233.260766285114</v>
      </c>
      <c r="AZ41" s="31" t="n">
        <v>10536.14043055182</v>
      </c>
      <c r="BA41" s="31" t="n">
        <v>3277.329231261016</v>
      </c>
      <c r="BB41" s="31" t="n">
        <v>12333.50668116856</v>
      </c>
      <c r="BC41" s="31" t="n">
        <v>2122.407788427109</v>
      </c>
      <c r="BD41" s="31" t="n">
        <v>175.5996401910818</v>
      </c>
      <c r="BE41" s="31" t="n">
        <v>2045.998778587977</v>
      </c>
      <c r="BF41" s="31" t="n">
        <v>3349.578069523734</v>
      </c>
      <c r="BG41" s="31" t="n">
        <v>686.3759424032834</v>
      </c>
      <c r="BH41" s="31" t="n">
        <v>13851.53142941483</v>
      </c>
      <c r="BI41" s="31" t="n">
        <v>111.8549826133595</v>
      </c>
      <c r="BJ41" s="31" t="n">
        <v>1095.348502681545</v>
      </c>
      <c r="BK41" s="31" t="n">
        <v>20904.69170984093</v>
      </c>
      <c r="BL41" s="31" t="n">
        <v>3000.14231899886</v>
      </c>
      <c r="BM41" s="31" t="n">
        <v>1112.351665937332</v>
      </c>
      <c r="BN41" s="31" t="n">
        <v>2120.228471956979</v>
      </c>
      <c r="BO41" s="31" t="n">
        <v>23714.85254330865</v>
      </c>
      <c r="BP41" s="31" t="n">
        <v>145.6445911769608</v>
      </c>
      <c r="BQ41" s="31" t="n">
        <v>32.52942925758597</v>
      </c>
      <c r="BR41" s="31" t="n">
        <v>32.25309344402141</v>
      </c>
      <c r="BS41" s="31" t="n">
        <v>0</v>
      </c>
      <c r="BT41" s="31" t="n">
        <v>166.8929780418052</v>
      </c>
      <c r="BU41" s="31" t="n">
        <v>2210.866501324373</v>
      </c>
      <c r="BV41" s="31" t="n">
        <v>8054.018015232382</v>
      </c>
      <c r="BW41" s="31" t="n">
        <v>0</v>
      </c>
      <c r="BX41" s="31" t="n">
        <v>4399.98692233113</v>
      </c>
      <c r="BY41" s="31" t="n">
        <v>691.3728723498556</v>
      </c>
      <c r="BZ41" s="31" t="n">
        <v>15.68396221615425</v>
      </c>
      <c r="CA41" s="31" t="n">
        <v>290.5645714010417</v>
      </c>
      <c r="CB41" s="31" t="n">
        <v>1140.82774689896</v>
      </c>
      <c r="CC41" s="31" t="n">
        <v>1.230230604352126</v>
      </c>
      <c r="CD41" s="31" t="n">
        <v>33.78660662153313</v>
      </c>
      <c r="CE41" s="31" t="n">
        <v>349.7754709697067</v>
      </c>
      <c r="CF41" s="31" t="n">
        <v>1034.185769625103</v>
      </c>
      <c r="CG41" s="31" t="n">
        <v>5795.164409344229</v>
      </c>
      <c r="CH41" s="31" t="n">
        <v>202422.9045260743</v>
      </c>
      <c r="CI41" s="31" t="n">
        <v>550.960220494965</v>
      </c>
      <c r="CJ41" s="31" t="n">
        <v>257.1534363617836</v>
      </c>
      <c r="CK41" s="31" t="n">
        <v>87.74845991838329</v>
      </c>
      <c r="CL41" s="31" t="n">
        <v>131.8570859865856</v>
      </c>
      <c r="CM41" s="31" t="n">
        <v>133.1720129658968</v>
      </c>
      <c r="CN41" s="31" t="n">
        <v>265.0442466367832</v>
      </c>
      <c r="CO41" s="31" t="n">
        <v>119.0487434184703</v>
      </c>
      <c r="CP41" s="31" t="n">
        <v>12.14357565454184</v>
      </c>
      <c r="CQ41" s="31" t="n">
        <v>575.9563679374498</v>
      </c>
      <c r="CR41" s="31" t="n">
        <v>16950.70027444531</v>
      </c>
      <c r="CS41" s="31" t="n">
        <v>11.95860649348792</v>
      </c>
      <c r="CT41" s="31" t="n">
        <v>10.91952280730109</v>
      </c>
      <c r="CU41" s="31" t="n">
        <v>17953.3245547713</v>
      </c>
      <c r="CV41" s="31" t="n">
        <v>583.8633877946028</v>
      </c>
      <c r="CW41" s="31" t="n">
        <v>806.8308438278265</v>
      </c>
      <c r="CX41" s="31" t="n">
        <v>69.42369563624352</v>
      </c>
      <c r="CY41" s="31" t="n">
        <v>3169.021466570406</v>
      </c>
      <c r="CZ41" s="31" t="n">
        <v>43.4947706721544</v>
      </c>
      <c r="DA41" s="31" t="n">
        <v>264.7879862091903</v>
      </c>
      <c r="DB41" s="31" t="n">
        <v>46.67214054594889</v>
      </c>
      <c r="DC41" s="31" t="n">
        <v>41178.06206065837</v>
      </c>
      <c r="DD41" s="31" t="n">
        <v>23.81883103381626</v>
      </c>
      <c r="DE41" s="31" t="n">
        <v>0</v>
      </c>
      <c r="DF41" s="31">
        <f>SUM(C41:DE41)</f>
        <v/>
      </c>
      <c r="DG41" s="31" t="n">
        <v>0</v>
      </c>
      <c r="DH41" s="31" t="n">
        <v>0</v>
      </c>
      <c r="DI41" s="31" t="n">
        <v>38666261.27231187</v>
      </c>
      <c r="DJ41" s="31" t="n">
        <v>0</v>
      </c>
      <c r="DK41" s="31">
        <f>SUM(DG41:DJ41)</f>
        <v/>
      </c>
      <c r="DL41" s="31">
        <f>DF41+DK41</f>
        <v/>
      </c>
    </row>
    <row r="42">
      <c r="A42" s="28" t="inlineStr">
        <is>
          <t>171/2</t>
        </is>
      </c>
      <c r="B42" s="28" t="inlineStr">
        <is>
          <t>Hilatura, tejedura y acabado de productos textiles. Fabricación de otros productos textiles</t>
        </is>
      </c>
      <c r="C42" s="29" t="n">
        <v>841212.1712520234</v>
      </c>
      <c r="D42" s="29" t="n">
        <v>106458.1283074752</v>
      </c>
      <c r="E42" s="29" t="n">
        <v>0</v>
      </c>
      <c r="F42" s="29" t="n">
        <v>904.1651957049232</v>
      </c>
      <c r="G42" s="29" t="n">
        <v>1971.136079797758</v>
      </c>
      <c r="H42" s="29" t="n">
        <v>7617.123616196021</v>
      </c>
      <c r="I42" s="29" t="n">
        <v>1.834690716647034</v>
      </c>
      <c r="J42" s="29" t="n">
        <v>24587.52234043283</v>
      </c>
      <c r="K42" s="29" t="n">
        <v>2572.994513881844</v>
      </c>
      <c r="L42" s="29" t="n">
        <v>1180.786966483662</v>
      </c>
      <c r="M42" s="29" t="n">
        <v>1521.8076890821</v>
      </c>
      <c r="N42" s="29" t="n">
        <v>313945.7349799438</v>
      </c>
      <c r="O42" s="29" t="n">
        <v>147052.7767766399</v>
      </c>
      <c r="P42" s="29" t="n">
        <v>24241.7125122021</v>
      </c>
      <c r="Q42" s="29" t="n">
        <v>4219552.963057962</v>
      </c>
      <c r="R42" s="29" t="n">
        <v>155905.5658204297</v>
      </c>
      <c r="S42" s="29" t="n">
        <v>62070.96891092643</v>
      </c>
      <c r="T42" s="29" t="n">
        <v>194332.2981791483</v>
      </c>
      <c r="U42" s="29" t="n">
        <v>90438.87989325964</v>
      </c>
      <c r="V42" s="29" t="n">
        <v>423914.4227660398</v>
      </c>
      <c r="W42" s="29" t="n">
        <v>11636.0585891767</v>
      </c>
      <c r="X42" s="29" t="n">
        <v>4742.769851404172</v>
      </c>
      <c r="Y42" s="29" t="n">
        <v>89210.2497226273</v>
      </c>
      <c r="Z42" s="29" t="n">
        <v>6948.859713237936</v>
      </c>
      <c r="AA42" s="29" t="n">
        <v>69645.87317639965</v>
      </c>
      <c r="AB42" s="29" t="n">
        <v>6411.952643841343</v>
      </c>
      <c r="AC42" s="29" t="n">
        <v>120176.4848385331</v>
      </c>
      <c r="AD42" s="29" t="n">
        <v>40362.90265426906</v>
      </c>
      <c r="AE42" s="29" t="n">
        <v>15145759.29473053</v>
      </c>
      <c r="AF42" s="29" t="n">
        <v>17684941.84965859</v>
      </c>
      <c r="AG42" s="29" t="n">
        <v>232702.2673650819</v>
      </c>
      <c r="AH42" s="29" t="n">
        <v>1200089.43064201</v>
      </c>
      <c r="AI42" s="29" t="n">
        <v>57136.71381505308</v>
      </c>
      <c r="AJ42" s="29" t="n">
        <v>769274.4930984703</v>
      </c>
      <c r="AK42" s="29" t="n">
        <v>261587.2734245192</v>
      </c>
      <c r="AL42" s="29" t="n">
        <v>199235.1355002518</v>
      </c>
      <c r="AM42" s="29" t="n">
        <v>166472.329471737</v>
      </c>
      <c r="AN42" s="29" t="n">
        <v>28489.31292142258</v>
      </c>
      <c r="AO42" s="29" t="n">
        <v>16825.44321076078</v>
      </c>
      <c r="AP42" s="29" t="n">
        <v>34632.58109946125</v>
      </c>
      <c r="AQ42" s="29" t="n">
        <v>1465751.964191383</v>
      </c>
      <c r="AR42" s="29" t="n">
        <v>3892561.111365313</v>
      </c>
      <c r="AS42" s="29" t="n">
        <v>944858.3015372012</v>
      </c>
      <c r="AT42" s="29" t="n">
        <v>7921.740745608025</v>
      </c>
      <c r="AU42" s="29" t="n">
        <v>308563.335127112</v>
      </c>
      <c r="AV42" s="29" t="n">
        <v>326894.1925545349</v>
      </c>
      <c r="AW42" s="29" t="n">
        <v>79902.81336091274</v>
      </c>
      <c r="AX42" s="29" t="n">
        <v>519353.619804886</v>
      </c>
      <c r="AY42" s="29" t="n">
        <v>122017.8626832977</v>
      </c>
      <c r="AZ42" s="29" t="n">
        <v>338010.4648895396</v>
      </c>
      <c r="BA42" s="29" t="n">
        <v>197264.9663902941</v>
      </c>
      <c r="BB42" s="29" t="n">
        <v>430762.9295106932</v>
      </c>
      <c r="BC42" s="29" t="n">
        <v>99496.57894604506</v>
      </c>
      <c r="BD42" s="29" t="n">
        <v>5912.744711461157</v>
      </c>
      <c r="BE42" s="29" t="n">
        <v>103188.8926329507</v>
      </c>
      <c r="BF42" s="29" t="n">
        <v>14240.75363349699</v>
      </c>
      <c r="BG42" s="29" t="n">
        <v>33282.1978592436</v>
      </c>
      <c r="BH42" s="29" t="n">
        <v>869937.4829576006</v>
      </c>
      <c r="BI42" s="29" t="n">
        <v>6172.83717437937</v>
      </c>
      <c r="BJ42" s="29" t="n">
        <v>51613.07170130432</v>
      </c>
      <c r="BK42" s="29" t="n">
        <v>284048.6993247638</v>
      </c>
      <c r="BL42" s="29" t="n">
        <v>389602.8755261932</v>
      </c>
      <c r="BM42" s="29" t="n">
        <v>66145.57990650438</v>
      </c>
      <c r="BN42" s="29" t="n">
        <v>1381560.21290964</v>
      </c>
      <c r="BO42" s="29" t="n">
        <v>101035.7313970276</v>
      </c>
      <c r="BP42" s="29" t="n">
        <v>8558.853356425816</v>
      </c>
      <c r="BQ42" s="29" t="n">
        <v>2606.230478587458</v>
      </c>
      <c r="BR42" s="29" t="n">
        <v>619.1195377199349</v>
      </c>
      <c r="BS42" s="29" t="n">
        <v>47744.08905966066</v>
      </c>
      <c r="BT42" s="29" t="n">
        <v>957994.8337815739</v>
      </c>
      <c r="BU42" s="29" t="n">
        <v>1116956.701251649</v>
      </c>
      <c r="BV42" s="29" t="n">
        <v>1320799.35249111</v>
      </c>
      <c r="BW42" s="29" t="n">
        <v>680730.3466484199</v>
      </c>
      <c r="BX42" s="29" t="n">
        <v>92617.24530791631</v>
      </c>
      <c r="BY42" s="29" t="n">
        <v>3201274.325266253</v>
      </c>
      <c r="BZ42" s="29" t="n">
        <v>181.7129648613454</v>
      </c>
      <c r="CA42" s="29" t="n">
        <v>3102.807013775876</v>
      </c>
      <c r="CB42" s="29" t="n">
        <v>69560.01053583325</v>
      </c>
      <c r="CC42" s="29" t="n">
        <v>27.72436375932584</v>
      </c>
      <c r="CD42" s="29" t="n">
        <v>1129.233470625137</v>
      </c>
      <c r="CE42" s="29" t="n">
        <v>5657.062989726501</v>
      </c>
      <c r="CF42" s="29" t="n">
        <v>3862.220637700094</v>
      </c>
      <c r="CG42" s="29" t="n">
        <v>24511.73272003122</v>
      </c>
      <c r="CH42" s="29" t="n">
        <v>642156.0174500016</v>
      </c>
      <c r="CI42" s="29" t="n">
        <v>2861.566025221901</v>
      </c>
      <c r="CJ42" s="29" t="n">
        <v>16594.55034354681</v>
      </c>
      <c r="CK42" s="29" t="n">
        <v>2859.549450061548</v>
      </c>
      <c r="CL42" s="29" t="n">
        <v>20583.18155868976</v>
      </c>
      <c r="CM42" s="29" t="n">
        <v>4194.29907261238</v>
      </c>
      <c r="CN42" s="29" t="n">
        <v>1458612.645235727</v>
      </c>
      <c r="CO42" s="29" t="n">
        <v>911451.4592465779</v>
      </c>
      <c r="CP42" s="29" t="n">
        <v>1304.234232792339</v>
      </c>
      <c r="CQ42" s="29" t="n">
        <v>2504.566325791689</v>
      </c>
      <c r="CR42" s="29" t="n">
        <v>76641.42076089545</v>
      </c>
      <c r="CS42" s="29" t="n">
        <v>12451.63185019013</v>
      </c>
      <c r="CT42" s="29" t="n">
        <v>11369.70917558897</v>
      </c>
      <c r="CU42" s="29" t="n">
        <v>98684.65910020063</v>
      </c>
      <c r="CV42" s="29" t="n">
        <v>606494.875697396</v>
      </c>
      <c r="CW42" s="29" t="n">
        <v>404270.0149835605</v>
      </c>
      <c r="CX42" s="29" t="n">
        <v>90971.89837675093</v>
      </c>
      <c r="CY42" s="29" t="n">
        <v>5013620.918499911</v>
      </c>
      <c r="CZ42" s="29" t="n">
        <v>292119.7007830897</v>
      </c>
      <c r="DA42" s="29" t="n">
        <v>6037.443259941898</v>
      </c>
      <c r="DB42" s="29" t="n">
        <v>137762.3913379814</v>
      </c>
      <c r="DC42" s="29" t="n">
        <v>135638.528443037</v>
      </c>
      <c r="DD42" s="29" t="n">
        <v>260347.4786291116</v>
      </c>
      <c r="DE42" s="29" t="n">
        <v>0</v>
      </c>
      <c r="DF42" s="29">
        <f>SUM(C42:DE42)</f>
        <v/>
      </c>
      <c r="DG42" s="29" t="n">
        <v>0</v>
      </c>
      <c r="DH42" s="29" t="n">
        <v>0</v>
      </c>
      <c r="DI42" s="29" t="n">
        <v>29945864.64341988</v>
      </c>
      <c r="DJ42" s="29" t="n">
        <v>0</v>
      </c>
      <c r="DK42" s="29">
        <f>SUM(DG42:DJ42)</f>
        <v/>
      </c>
      <c r="DL42" s="29">
        <f>DF42+DK42</f>
        <v/>
      </c>
    </row>
    <row r="43">
      <c r="A43" s="30" t="inlineStr">
        <is>
          <t>18</t>
        </is>
      </c>
      <c r="B43" s="3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31" t="n">
        <v>1506824.8841566</v>
      </c>
      <c r="D43" s="31" t="n">
        <v>345285.0081819241</v>
      </c>
      <c r="E43" s="31" t="n">
        <v>0</v>
      </c>
      <c r="F43" s="31" t="n">
        <v>2928.628972253973</v>
      </c>
      <c r="G43" s="31" t="n">
        <v>0</v>
      </c>
      <c r="H43" s="31" t="n">
        <v>134544.9665278951</v>
      </c>
      <c r="I43" s="31" t="n">
        <v>3.671116022504691</v>
      </c>
      <c r="J43" s="31" t="n">
        <v>1889332.542793841</v>
      </c>
      <c r="K43" s="31" t="n">
        <v>280947.0562794396</v>
      </c>
      <c r="L43" s="31" t="n">
        <v>512.8171685243428</v>
      </c>
      <c r="M43" s="31" t="n">
        <v>198.1373455234155</v>
      </c>
      <c r="N43" s="31" t="n">
        <v>300876.672265769</v>
      </c>
      <c r="O43" s="31" t="n">
        <v>166748.9661452232</v>
      </c>
      <c r="P43" s="31" t="n">
        <v>29061.42941101473</v>
      </c>
      <c r="Q43" s="31" t="n">
        <v>857125.2921147963</v>
      </c>
      <c r="R43" s="31" t="n">
        <v>134859.1632751789</v>
      </c>
      <c r="S43" s="31" t="n">
        <v>44488.90974999683</v>
      </c>
      <c r="T43" s="31" t="n">
        <v>54158.32777430858</v>
      </c>
      <c r="U43" s="31" t="n">
        <v>117631.8190488367</v>
      </c>
      <c r="V43" s="31" t="n">
        <v>313106.1305109624</v>
      </c>
      <c r="W43" s="31" t="n">
        <v>16982.98484144509</v>
      </c>
      <c r="X43" s="31" t="n">
        <v>11118.88107520688</v>
      </c>
      <c r="Y43" s="31" t="n">
        <v>73688.65857329054</v>
      </c>
      <c r="Z43" s="31" t="n">
        <v>7388.459182030267</v>
      </c>
      <c r="AA43" s="31" t="n">
        <v>67579.32447285176</v>
      </c>
      <c r="AB43" s="31" t="n">
        <v>19625.87922159395</v>
      </c>
      <c r="AC43" s="31" t="n">
        <v>139768.0270350862</v>
      </c>
      <c r="AD43" s="31" t="n">
        <v>34368.49518407232</v>
      </c>
      <c r="AE43" s="31" t="n">
        <v>205082.5729536815</v>
      </c>
      <c r="AF43" s="31" t="n">
        <v>486008.0806739021</v>
      </c>
      <c r="AG43" s="31" t="n">
        <v>58697.10011884657</v>
      </c>
      <c r="AH43" s="31" t="n">
        <v>82923.08245892308</v>
      </c>
      <c r="AI43" s="31" t="n">
        <v>42299.19652153471</v>
      </c>
      <c r="AJ43" s="31" t="n">
        <v>38490.28302060271</v>
      </c>
      <c r="AK43" s="31" t="n">
        <v>191924.4020171779</v>
      </c>
      <c r="AL43" s="31" t="n">
        <v>139280.009237219</v>
      </c>
      <c r="AM43" s="31" t="n">
        <v>145624.1184787702</v>
      </c>
      <c r="AN43" s="31" t="n">
        <v>31793.54227835729</v>
      </c>
      <c r="AO43" s="31" t="n">
        <v>17116.07114215848</v>
      </c>
      <c r="AP43" s="31" t="n">
        <v>33431.66870062819</v>
      </c>
      <c r="AQ43" s="31" t="n">
        <v>682779.0669670455</v>
      </c>
      <c r="AR43" s="31" t="n">
        <v>42954.37741522527</v>
      </c>
      <c r="AS43" s="31" t="n">
        <v>137318.6767806993</v>
      </c>
      <c r="AT43" s="31" t="n">
        <v>8437.761425545797</v>
      </c>
      <c r="AU43" s="31" t="n">
        <v>66187.73957983105</v>
      </c>
      <c r="AV43" s="31" t="n">
        <v>197692.0739285909</v>
      </c>
      <c r="AW43" s="31" t="n">
        <v>47336.57082233263</v>
      </c>
      <c r="AX43" s="31" t="n">
        <v>379634.3639966438</v>
      </c>
      <c r="AY43" s="31" t="n">
        <v>86212.57677170905</v>
      </c>
      <c r="AZ43" s="31" t="n">
        <v>293387.0907718684</v>
      </c>
      <c r="BA43" s="31" t="n">
        <v>113536.2658926951</v>
      </c>
      <c r="BB43" s="31" t="n">
        <v>357853.4870377819</v>
      </c>
      <c r="BC43" s="31" t="n">
        <v>85297.13809786874</v>
      </c>
      <c r="BD43" s="31" t="n">
        <v>4247.163354128378</v>
      </c>
      <c r="BE43" s="31" t="n">
        <v>86817.31357892681</v>
      </c>
      <c r="BF43" s="31" t="n">
        <v>7603.934175403966</v>
      </c>
      <c r="BG43" s="31" t="n">
        <v>49682.97245310732</v>
      </c>
      <c r="BH43" s="31" t="n">
        <v>638251.1026311909</v>
      </c>
      <c r="BI43" s="31" t="n">
        <v>5426.674492981218</v>
      </c>
      <c r="BJ43" s="31" t="n">
        <v>35595.47981413481</v>
      </c>
      <c r="BK43" s="31" t="n">
        <v>115144.131742377</v>
      </c>
      <c r="BL43" s="31" t="n">
        <v>155859.9509701604</v>
      </c>
      <c r="BM43" s="31" t="n">
        <v>53271.73041135395</v>
      </c>
      <c r="BN43" s="31" t="n">
        <v>86614.71093371985</v>
      </c>
      <c r="BO43" s="31" t="n">
        <v>66256.58032912111</v>
      </c>
      <c r="BP43" s="31" t="n">
        <v>11505.97433994413</v>
      </c>
      <c r="BQ43" s="31" t="n">
        <v>446.6965864173104</v>
      </c>
      <c r="BR43" s="31" t="n">
        <v>18981.14501016552</v>
      </c>
      <c r="BS43" s="31" t="n">
        <v>135263.2629124374</v>
      </c>
      <c r="BT43" s="31" t="n">
        <v>322262.4935123369</v>
      </c>
      <c r="BU43" s="31" t="n">
        <v>725417.7909228427</v>
      </c>
      <c r="BV43" s="31" t="n">
        <v>1436375.823951778</v>
      </c>
      <c r="BW43" s="31" t="n">
        <v>20052.61037922227</v>
      </c>
      <c r="BX43" s="31" t="n">
        <v>65181.81932312764</v>
      </c>
      <c r="BY43" s="31" t="n">
        <v>1084445.554093835</v>
      </c>
      <c r="BZ43" s="31" t="n">
        <v>117.9711856268215</v>
      </c>
      <c r="CA43" s="31" t="n">
        <v>2431.13024721159</v>
      </c>
      <c r="CB43" s="31" t="n">
        <v>142972.5962240362</v>
      </c>
      <c r="CC43" s="31" t="n">
        <v>25.80168470380622</v>
      </c>
      <c r="CD43" s="31" t="n">
        <v>97299.05059005824</v>
      </c>
      <c r="CE43" s="31" t="n">
        <v>965366.9323313582</v>
      </c>
      <c r="CF43" s="31" t="n">
        <v>34097.41384816421</v>
      </c>
      <c r="CG43" s="31" t="n">
        <v>91093.06641306887</v>
      </c>
      <c r="CH43" s="31" t="n">
        <v>469901.1630427754</v>
      </c>
      <c r="CI43" s="31" t="n">
        <v>4717.300164511495</v>
      </c>
      <c r="CJ43" s="31" t="n">
        <v>5823.868365348313</v>
      </c>
      <c r="CK43" s="31" t="n">
        <v>1453.337680880592</v>
      </c>
      <c r="CL43" s="31" t="n">
        <v>29152.14523072218</v>
      </c>
      <c r="CM43" s="31" t="n">
        <v>1113.361761921723</v>
      </c>
      <c r="CN43" s="31" t="n">
        <v>629.7348208336147</v>
      </c>
      <c r="CO43" s="31" t="n">
        <v>381.0577881132502</v>
      </c>
      <c r="CP43" s="31" t="n">
        <v>476.7771889631326</v>
      </c>
      <c r="CQ43" s="31" t="n">
        <v>19151.70828387989</v>
      </c>
      <c r="CR43" s="31" t="n">
        <v>56891.975434279</v>
      </c>
      <c r="CS43" s="31" t="n">
        <v>76949.32789761636</v>
      </c>
      <c r="CT43" s="31" t="n">
        <v>70263.19842885296</v>
      </c>
      <c r="CU43" s="31" t="n">
        <v>1523038.006206434</v>
      </c>
      <c r="CV43" s="31" t="n">
        <v>3749164.399331862</v>
      </c>
      <c r="CW43" s="31" t="n">
        <v>1154469.65167146</v>
      </c>
      <c r="CX43" s="31" t="n">
        <v>114517.1893717375</v>
      </c>
      <c r="CY43" s="31" t="n">
        <v>1478480.019017551</v>
      </c>
      <c r="CZ43" s="31" t="n">
        <v>180236.5909051368</v>
      </c>
      <c r="DA43" s="31" t="n">
        <v>550982.9766768742</v>
      </c>
      <c r="DB43" s="31" t="n">
        <v>1017495.794954484</v>
      </c>
      <c r="DC43" s="31" t="n">
        <v>178494.3367722728</v>
      </c>
      <c r="DD43" s="31" t="n">
        <v>95741.99122033887</v>
      </c>
      <c r="DE43" s="31" t="n">
        <v>0</v>
      </c>
      <c r="DF43" s="31">
        <f>SUM(C43:DE43)</f>
        <v/>
      </c>
      <c r="DG43" s="31" t="n">
        <v>0</v>
      </c>
      <c r="DH43" s="31" t="n">
        <v>0</v>
      </c>
      <c r="DI43" s="31" t="n">
        <v>74697236.60640241</v>
      </c>
      <c r="DJ43" s="31" t="n">
        <v>0</v>
      </c>
      <c r="DK43" s="31">
        <f>SUM(DG43:DJ43)</f>
        <v/>
      </c>
      <c r="DL43" s="31">
        <f>DF43+DK43</f>
        <v/>
      </c>
    </row>
    <row r="44">
      <c r="A44" s="28" t="inlineStr">
        <is>
          <t>191</t>
        </is>
      </c>
      <c r="B44" s="28" t="inlineStr">
        <is>
          <t>19110 - Curtido y terminación de cueros. 19120 - Fabricación de maletas, bolsos de mano y similares, artículos de talabartería y artículos de cuero n.c.p.</t>
        </is>
      </c>
      <c r="C44" s="29" t="n">
        <v>34101.45045064782</v>
      </c>
      <c r="D44" s="29" t="n">
        <v>22542.57970151485</v>
      </c>
      <c r="E44" s="29" t="n">
        <v>0</v>
      </c>
      <c r="F44" s="29" t="n">
        <v>0</v>
      </c>
      <c r="G44" s="29" t="n">
        <v>0</v>
      </c>
      <c r="H44" s="29" t="n">
        <v>2373.315959956029</v>
      </c>
      <c r="I44" s="29" t="n">
        <v>0.3024373762805374</v>
      </c>
      <c r="J44" s="29" t="n">
        <v>4560.162662267616</v>
      </c>
      <c r="K44" s="29" t="n">
        <v>822.8525908047036</v>
      </c>
      <c r="L44" s="29" t="n">
        <v>13.63789431351</v>
      </c>
      <c r="M44" s="29" t="n">
        <v>21.02229594862315</v>
      </c>
      <c r="N44" s="29" t="n">
        <v>87422.93872650011</v>
      </c>
      <c r="O44" s="29" t="n">
        <v>34151.62084991897</v>
      </c>
      <c r="P44" s="29" t="n">
        <v>5035.90346648408</v>
      </c>
      <c r="Q44" s="29" t="n">
        <v>271117.8975242302</v>
      </c>
      <c r="R44" s="29" t="n">
        <v>1297105.460523828</v>
      </c>
      <c r="S44" s="29" t="n">
        <v>7725.998239681205</v>
      </c>
      <c r="T44" s="29" t="n">
        <v>20040.81646730382</v>
      </c>
      <c r="U44" s="29" t="n">
        <v>30402.72507555678</v>
      </c>
      <c r="V44" s="29" t="n">
        <v>103784.7243107569</v>
      </c>
      <c r="W44" s="29" t="n">
        <v>1923.288835039751</v>
      </c>
      <c r="X44" s="29" t="n">
        <v>7829.602854470329</v>
      </c>
      <c r="Y44" s="29" t="n">
        <v>68295.11798467541</v>
      </c>
      <c r="Z44" s="29" t="n">
        <v>323.5237001185048</v>
      </c>
      <c r="AA44" s="29" t="n">
        <v>14091.75448889611</v>
      </c>
      <c r="AB44" s="29" t="n">
        <v>136.6231239406601</v>
      </c>
      <c r="AC44" s="29" t="n">
        <v>26048.05517723492</v>
      </c>
      <c r="AD44" s="29" t="n">
        <v>512.7789546838344</v>
      </c>
      <c r="AE44" s="29" t="n">
        <v>98906.72851607917</v>
      </c>
      <c r="AF44" s="29" t="n">
        <v>427030.7537570837</v>
      </c>
      <c r="AG44" s="29" t="n">
        <v>2208384.391938698</v>
      </c>
      <c r="AH44" s="29" t="n">
        <v>2115171.428897856</v>
      </c>
      <c r="AI44" s="29" t="n">
        <v>3397.618465828573</v>
      </c>
      <c r="AJ44" s="29" t="n">
        <v>19754.40192116953</v>
      </c>
      <c r="AK44" s="29" t="n">
        <v>62457.04979406407</v>
      </c>
      <c r="AL44" s="29" t="n">
        <v>42420.82701187617</v>
      </c>
      <c r="AM44" s="29" t="n">
        <v>9480.82988234472</v>
      </c>
      <c r="AN44" s="29" t="n">
        <v>3702.28034964274</v>
      </c>
      <c r="AO44" s="29" t="n">
        <v>2969.379412950103</v>
      </c>
      <c r="AP44" s="29" t="n">
        <v>5677.465283291327</v>
      </c>
      <c r="AQ44" s="29" t="n">
        <v>179459.197489353</v>
      </c>
      <c r="AR44" s="29" t="n">
        <v>10897.14316811708</v>
      </c>
      <c r="AS44" s="29" t="n">
        <v>29269.67290315236</v>
      </c>
      <c r="AT44" s="29" t="n">
        <v>240.4318154298628</v>
      </c>
      <c r="AU44" s="29" t="n">
        <v>5818.519981147517</v>
      </c>
      <c r="AV44" s="29" t="n">
        <v>79727.78435542688</v>
      </c>
      <c r="AW44" s="29" t="n">
        <v>20386.08890706399</v>
      </c>
      <c r="AX44" s="29" t="n">
        <v>129871.0753072664</v>
      </c>
      <c r="AY44" s="29" t="n">
        <v>19743.78470105257</v>
      </c>
      <c r="AZ44" s="29" t="n">
        <v>82690.06096020619</v>
      </c>
      <c r="BA44" s="29" t="n">
        <v>33207.33572779837</v>
      </c>
      <c r="BB44" s="29" t="n">
        <v>102576.2840263884</v>
      </c>
      <c r="BC44" s="29" t="n">
        <v>23954.48267659181</v>
      </c>
      <c r="BD44" s="29" t="n">
        <v>1390.28781466555</v>
      </c>
      <c r="BE44" s="29" t="n">
        <v>25048.43070781403</v>
      </c>
      <c r="BF44" s="29" t="n">
        <v>3503.230802793728</v>
      </c>
      <c r="BG44" s="29" t="n">
        <v>7651.547462346195</v>
      </c>
      <c r="BH44" s="29" t="n">
        <v>213711.6664651214</v>
      </c>
      <c r="BI44" s="29" t="n">
        <v>1397.5434555872</v>
      </c>
      <c r="BJ44" s="29" t="n">
        <v>19277.97977575242</v>
      </c>
      <c r="BK44" s="29" t="n">
        <v>49486.71264878209</v>
      </c>
      <c r="BL44" s="29" t="n">
        <v>42720.35390893521</v>
      </c>
      <c r="BM44" s="29" t="n">
        <v>12543.5979582782</v>
      </c>
      <c r="BN44" s="29" t="n">
        <v>232440.0923817464</v>
      </c>
      <c r="BO44" s="29" t="n">
        <v>25779.9437955903</v>
      </c>
      <c r="BP44" s="29" t="n">
        <v>593.4626558751428</v>
      </c>
      <c r="BQ44" s="29" t="n">
        <v>185.2655838520062</v>
      </c>
      <c r="BR44" s="29" t="n">
        <v>101.0051629098296</v>
      </c>
      <c r="BS44" s="29" t="n">
        <v>24366.55526186429</v>
      </c>
      <c r="BT44" s="29" t="n">
        <v>5372.445931587716</v>
      </c>
      <c r="BU44" s="29" t="n">
        <v>42206.99518925934</v>
      </c>
      <c r="BV44" s="29" t="n">
        <v>110683.4816400275</v>
      </c>
      <c r="BW44" s="29" t="n">
        <v>12177.45989349384</v>
      </c>
      <c r="BX44" s="29" t="n">
        <v>1200.960706746939</v>
      </c>
      <c r="BY44" s="29" t="n">
        <v>140624.6845008167</v>
      </c>
      <c r="BZ44" s="29" t="n">
        <v>37.44140535230122</v>
      </c>
      <c r="CA44" s="29" t="n">
        <v>684.5322006013802</v>
      </c>
      <c r="CB44" s="29" t="n">
        <v>17292.89123182332</v>
      </c>
      <c r="CC44" s="29" t="n">
        <v>3.575539225017936</v>
      </c>
      <c r="CD44" s="29" t="n">
        <v>349.9259616186761</v>
      </c>
      <c r="CE44" s="29" t="n">
        <v>3300.782410657106</v>
      </c>
      <c r="CF44" s="29" t="n">
        <v>328.7160304078179</v>
      </c>
      <c r="CG44" s="29" t="n">
        <v>1438.797720457208</v>
      </c>
      <c r="CH44" s="29" t="n">
        <v>31132.70223409316</v>
      </c>
      <c r="CI44" s="29" t="n">
        <v>278.434858221466</v>
      </c>
      <c r="CJ44" s="29" t="n">
        <v>1345.304262073681</v>
      </c>
      <c r="CK44" s="29" t="n">
        <v>269.5422130890539</v>
      </c>
      <c r="CL44" s="29" t="n">
        <v>131219.6195513555</v>
      </c>
      <c r="CM44" s="29" t="n">
        <v>290.1623347663171</v>
      </c>
      <c r="CN44" s="29" t="n">
        <v>8.399982641812899</v>
      </c>
      <c r="CO44" s="29" t="n">
        <v>3.772982779042168</v>
      </c>
      <c r="CP44" s="29" t="n">
        <v>95.3155166563369</v>
      </c>
      <c r="CQ44" s="29" t="n">
        <v>221.695726497308</v>
      </c>
      <c r="CR44" s="29" t="n">
        <v>4494.529546437088</v>
      </c>
      <c r="CS44" s="29" t="n">
        <v>1026.901480876274</v>
      </c>
      <c r="CT44" s="29" t="n">
        <v>937.673979605059</v>
      </c>
      <c r="CU44" s="29" t="n">
        <v>9642.964298239191</v>
      </c>
      <c r="CV44" s="29" t="n">
        <v>50025.4183815997</v>
      </c>
      <c r="CW44" s="29" t="n">
        <v>60784.00586142772</v>
      </c>
      <c r="CX44" s="29" t="n">
        <v>2859.811487053717</v>
      </c>
      <c r="CY44" s="29" t="n">
        <v>9161.52703862684</v>
      </c>
      <c r="CZ44" s="29" t="n">
        <v>1597.871315845297</v>
      </c>
      <c r="DA44" s="29" t="n">
        <v>2754.855140264687</v>
      </c>
      <c r="DB44" s="29" t="n">
        <v>41989.13106723625</v>
      </c>
      <c r="DC44" s="29" t="n">
        <v>6857.578202001783</v>
      </c>
      <c r="DD44" s="29" t="n">
        <v>285.8025115143338</v>
      </c>
      <c r="DE44" s="29" t="n">
        <v>0</v>
      </c>
      <c r="DF44" s="29">
        <f>SUM(C44:DE44)</f>
        <v/>
      </c>
      <c r="DG44" s="29" t="n">
        <v>0</v>
      </c>
      <c r="DH44" s="29" t="n">
        <v>0</v>
      </c>
      <c r="DI44" s="29" t="n">
        <v>23025159.62843687</v>
      </c>
      <c r="DJ44" s="29" t="n">
        <v>0</v>
      </c>
      <c r="DK44" s="29">
        <f>SUM(DG44:DJ44)</f>
        <v/>
      </c>
      <c r="DL44" s="29">
        <f>DF44+DK44</f>
        <v/>
      </c>
    </row>
    <row r="45">
      <c r="A45" s="30" t="inlineStr">
        <is>
          <t>192</t>
        </is>
      </c>
      <c r="B45" s="3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31" t="n">
        <v>839535.1460136464</v>
      </c>
      <c r="D45" s="31" t="n">
        <v>243924.9528263359</v>
      </c>
      <c r="E45" s="31" t="n">
        <v>0</v>
      </c>
      <c r="F45" s="31" t="n">
        <v>0</v>
      </c>
      <c r="G45" s="31" t="n">
        <v>0</v>
      </c>
      <c r="H45" s="31" t="n">
        <v>125299.9122815386</v>
      </c>
      <c r="I45" s="31" t="n">
        <v>0.7200080020403525</v>
      </c>
      <c r="J45" s="31" t="n">
        <v>1190.563391190565</v>
      </c>
      <c r="K45" s="31" t="n">
        <v>2456.988890764595</v>
      </c>
      <c r="L45" s="31" t="n">
        <v>50.88359340559686</v>
      </c>
      <c r="M45" s="31" t="n">
        <v>27.54676811807408</v>
      </c>
      <c r="N45" s="31" t="n">
        <v>33978.20352543061</v>
      </c>
      <c r="O45" s="31" t="n">
        <v>14180.33422363778</v>
      </c>
      <c r="P45" s="31" t="n">
        <v>3373.565295150531</v>
      </c>
      <c r="Q45" s="31" t="n">
        <v>114267.4774049568</v>
      </c>
      <c r="R45" s="31" t="n">
        <v>15621.97714301137</v>
      </c>
      <c r="S45" s="31" t="n">
        <v>11730.35706808999</v>
      </c>
      <c r="T45" s="31" t="n">
        <v>24220.12070745895</v>
      </c>
      <c r="U45" s="31" t="n">
        <v>9532.914857134479</v>
      </c>
      <c r="V45" s="31" t="n">
        <v>23162.0254655599</v>
      </c>
      <c r="W45" s="31" t="n">
        <v>3931.125240189801</v>
      </c>
      <c r="X45" s="31" t="n">
        <v>2035.904820587215</v>
      </c>
      <c r="Y45" s="31" t="n">
        <v>30660.43629081354</v>
      </c>
      <c r="Z45" s="31" t="n">
        <v>4459.896143245194</v>
      </c>
      <c r="AA45" s="31" t="n">
        <v>12506.92640739142</v>
      </c>
      <c r="AB45" s="31" t="n">
        <v>1351.810401941872</v>
      </c>
      <c r="AC45" s="31" t="n">
        <v>7754.193056271113</v>
      </c>
      <c r="AD45" s="31" t="n">
        <v>146.0987178854992</v>
      </c>
      <c r="AE45" s="31" t="n">
        <v>15150.26970015227</v>
      </c>
      <c r="AF45" s="31" t="n">
        <v>22138.86829541038</v>
      </c>
      <c r="AG45" s="31" t="n">
        <v>4327.371525622956</v>
      </c>
      <c r="AH45" s="31" t="n">
        <v>1153614.612699875</v>
      </c>
      <c r="AI45" s="31" t="n">
        <v>1813.943834398292</v>
      </c>
      <c r="AJ45" s="31" t="n">
        <v>11351.75429294367</v>
      </c>
      <c r="AK45" s="31" t="n">
        <v>17570.83389298225</v>
      </c>
      <c r="AL45" s="31" t="n">
        <v>9751.84223642428</v>
      </c>
      <c r="AM45" s="31" t="n">
        <v>112681.4889876614</v>
      </c>
      <c r="AN45" s="31" t="n">
        <v>12694.81916618719</v>
      </c>
      <c r="AO45" s="31" t="n">
        <v>3901.061580285306</v>
      </c>
      <c r="AP45" s="31" t="n">
        <v>7632.539353761769</v>
      </c>
      <c r="AQ45" s="31" t="n">
        <v>57442.28158104941</v>
      </c>
      <c r="AR45" s="31" t="n">
        <v>3917.148006451055</v>
      </c>
      <c r="AS45" s="31" t="n">
        <v>8788.078381958974</v>
      </c>
      <c r="AT45" s="31" t="n">
        <v>163.4699198659989</v>
      </c>
      <c r="AU45" s="31" t="n">
        <v>5220.251320071256</v>
      </c>
      <c r="AV45" s="31" t="n">
        <v>28729.93008243043</v>
      </c>
      <c r="AW45" s="31" t="n">
        <v>8542.877749299938</v>
      </c>
      <c r="AX45" s="31" t="n">
        <v>30864.47012029811</v>
      </c>
      <c r="AY45" s="31" t="n">
        <v>6118.550011273605</v>
      </c>
      <c r="AZ45" s="31" t="n">
        <v>25829.68407210138</v>
      </c>
      <c r="BA45" s="31" t="n">
        <v>9310.577782961509</v>
      </c>
      <c r="BB45" s="31" t="n">
        <v>35351.25803612208</v>
      </c>
      <c r="BC45" s="31" t="n">
        <v>6344.703827056308</v>
      </c>
      <c r="BD45" s="31" t="n">
        <v>477.3043832249927</v>
      </c>
      <c r="BE45" s="31" t="n">
        <v>6129.045409566395</v>
      </c>
      <c r="BF45" s="31" t="n">
        <v>1769.806160191177</v>
      </c>
      <c r="BG45" s="31" t="n">
        <v>1768.772128469083</v>
      </c>
      <c r="BH45" s="31" t="n">
        <v>44248.51204613579</v>
      </c>
      <c r="BI45" s="31" t="n">
        <v>339.1204188853025</v>
      </c>
      <c r="BJ45" s="31" t="n">
        <v>3044.381771629427</v>
      </c>
      <c r="BK45" s="31" t="n">
        <v>53995.92745153745</v>
      </c>
      <c r="BL45" s="31" t="n">
        <v>8904.431331935049</v>
      </c>
      <c r="BM45" s="31" t="n">
        <v>3881.581144707361</v>
      </c>
      <c r="BN45" s="31" t="n">
        <v>5142.276028477359</v>
      </c>
      <c r="BO45" s="31" t="n">
        <v>11582.24821180781</v>
      </c>
      <c r="BP45" s="31" t="n">
        <v>470.1339586253296</v>
      </c>
      <c r="BQ45" s="31" t="n">
        <v>137.4823743757875</v>
      </c>
      <c r="BR45" s="31" t="n">
        <v>250.2368977228278</v>
      </c>
      <c r="BS45" s="31" t="n">
        <v>3559.452060221775</v>
      </c>
      <c r="BT45" s="31" t="n">
        <v>33199.52133408149</v>
      </c>
      <c r="BU45" s="31" t="n">
        <v>601715.8870568867</v>
      </c>
      <c r="BV45" s="31" t="n">
        <v>201666.5380637621</v>
      </c>
      <c r="BW45" s="31" t="n">
        <v>762192.1901233285</v>
      </c>
      <c r="BX45" s="31" t="n">
        <v>8975.355704250594</v>
      </c>
      <c r="BY45" s="31" t="n">
        <v>1211.971199727365</v>
      </c>
      <c r="BZ45" s="31" t="n">
        <v>20.89277078197426</v>
      </c>
      <c r="CA45" s="31" t="n">
        <v>6415.390204253618</v>
      </c>
      <c r="CB45" s="31" t="n">
        <v>3720.970381484497</v>
      </c>
      <c r="CC45" s="31" t="n">
        <v>4.704781143661766</v>
      </c>
      <c r="CD45" s="31" t="n">
        <v>1367.25410567444</v>
      </c>
      <c r="CE45" s="31" t="n">
        <v>2902.383396949104</v>
      </c>
      <c r="CF45" s="31" t="n">
        <v>2285.621243867101</v>
      </c>
      <c r="CG45" s="31" t="n">
        <v>13064.32439584714</v>
      </c>
      <c r="CH45" s="31" t="n">
        <v>451367.8915553345</v>
      </c>
      <c r="CI45" s="31" t="n">
        <v>1181.488655458415</v>
      </c>
      <c r="CJ45" s="31" t="n">
        <v>529.720757748594</v>
      </c>
      <c r="CK45" s="31" t="n">
        <v>265.086683245164</v>
      </c>
      <c r="CL45" s="31" t="n">
        <v>356.4433560624635</v>
      </c>
      <c r="CM45" s="31" t="n">
        <v>303.4941175365951</v>
      </c>
      <c r="CN45" s="31" t="n">
        <v>327.5805978126519</v>
      </c>
      <c r="CO45" s="31" t="n">
        <v>147.1379176598784</v>
      </c>
      <c r="CP45" s="31" t="n">
        <v>87.14463188647298</v>
      </c>
      <c r="CQ45" s="31" t="n">
        <v>1300.149565040474</v>
      </c>
      <c r="CR45" s="31" t="n">
        <v>38453.5678619304</v>
      </c>
      <c r="CS45" s="31" t="n">
        <v>5369.447364525467</v>
      </c>
      <c r="CT45" s="31" t="n">
        <v>4902.895917803354</v>
      </c>
      <c r="CU45" s="31" t="n">
        <v>43620.29493829994</v>
      </c>
      <c r="CV45" s="31" t="n">
        <v>261566.1142445387</v>
      </c>
      <c r="CW45" s="31" t="n">
        <v>1785.794227075736</v>
      </c>
      <c r="CX45" s="31" t="n">
        <v>10202.53674259458</v>
      </c>
      <c r="CY45" s="31" t="n">
        <v>7678.927745918206</v>
      </c>
      <c r="CZ45" s="31" t="n">
        <v>1431.744343633829</v>
      </c>
      <c r="DA45" s="31" t="n">
        <v>77615.75484437107</v>
      </c>
      <c r="DB45" s="31" t="n">
        <v>311.1670561058368</v>
      </c>
      <c r="DC45" s="31" t="n">
        <v>91769.08703664123</v>
      </c>
      <c r="DD45" s="31" t="n">
        <v>29.98497556742573</v>
      </c>
      <c r="DE45" s="31" t="n">
        <v>0</v>
      </c>
      <c r="DF45" s="31">
        <f>SUM(C45:DE45)</f>
        <v/>
      </c>
      <c r="DG45" s="31" t="n">
        <v>0</v>
      </c>
      <c r="DH45" s="31" t="n">
        <v>0</v>
      </c>
      <c r="DI45" s="31" t="n">
        <v>26859768.12360676</v>
      </c>
      <c r="DJ45" s="31" t="n">
        <v>0</v>
      </c>
      <c r="DK45" s="31">
        <f>SUM(DG45:DJ45)</f>
        <v/>
      </c>
      <c r="DL45" s="31">
        <f>DF45+DK45</f>
        <v/>
      </c>
    </row>
    <row r="46">
      <c r="A46" s="28" t="inlineStr">
        <is>
          <t>201/2</t>
        </is>
      </c>
      <c r="B46" s="28" t="inlineStr">
        <is>
          <t>Aserrado y acepilladura de madera. Fabricación de productos de madera, corcho, paja y materiales trenzables</t>
        </is>
      </c>
      <c r="C46" s="29" t="n">
        <v>817515.7972902373</v>
      </c>
      <c r="D46" s="29" t="n">
        <v>62229.0515652625</v>
      </c>
      <c r="E46" s="29" t="n">
        <v>7.871305256138132</v>
      </c>
      <c r="F46" s="29" t="n">
        <v>336162.6148523096</v>
      </c>
      <c r="G46" s="29" t="n">
        <v>66.35646871375241</v>
      </c>
      <c r="H46" s="29" t="n">
        <v>20694.58559031105</v>
      </c>
      <c r="I46" s="29" t="n">
        <v>7.345628579472902</v>
      </c>
      <c r="J46" s="29" t="n">
        <v>4188.864630906224</v>
      </c>
      <c r="K46" s="29" t="n">
        <v>3166.834244135316</v>
      </c>
      <c r="L46" s="29" t="n">
        <v>2367.558382754139</v>
      </c>
      <c r="M46" s="29" t="n">
        <v>375.9512933630173</v>
      </c>
      <c r="N46" s="29" t="n">
        <v>377456.726191272</v>
      </c>
      <c r="O46" s="29" t="n">
        <v>124991.9686840097</v>
      </c>
      <c r="P46" s="29" t="n">
        <v>204962.7705831907</v>
      </c>
      <c r="Q46" s="29" t="n">
        <v>142625.776403585</v>
      </c>
      <c r="R46" s="29" t="n">
        <v>254588.2754247094</v>
      </c>
      <c r="S46" s="29" t="n">
        <v>60471.40670205691</v>
      </c>
      <c r="T46" s="29" t="n">
        <v>571617.5081330505</v>
      </c>
      <c r="U46" s="29" t="n">
        <v>73134.98122296244</v>
      </c>
      <c r="V46" s="29" t="n">
        <v>26388.69374066653</v>
      </c>
      <c r="W46" s="29" t="n">
        <v>67214.30644437604</v>
      </c>
      <c r="X46" s="29" t="n">
        <v>109434.966300404</v>
      </c>
      <c r="Y46" s="29" t="n">
        <v>566411.7658673847</v>
      </c>
      <c r="Z46" s="29" t="n">
        <v>14807.60918256701</v>
      </c>
      <c r="AA46" s="29" t="n">
        <v>1079537.237301058</v>
      </c>
      <c r="AB46" s="29" t="n">
        <v>4694.867021802816</v>
      </c>
      <c r="AC46" s="29" t="n">
        <v>447113.8293037559</v>
      </c>
      <c r="AD46" s="29" t="n">
        <v>58316.75366528246</v>
      </c>
      <c r="AE46" s="29" t="n">
        <v>59207.80332953476</v>
      </c>
      <c r="AF46" s="29" t="n">
        <v>22640.23599012774</v>
      </c>
      <c r="AG46" s="29" t="n">
        <v>62305.6372269729</v>
      </c>
      <c r="AH46" s="29" t="n">
        <v>37033.96582680253</v>
      </c>
      <c r="AI46" s="29" t="n">
        <v>9380006.499843337</v>
      </c>
      <c r="AJ46" s="29" t="n">
        <v>517011.0891378095</v>
      </c>
      <c r="AK46" s="29" t="n">
        <v>26719.05458984799</v>
      </c>
      <c r="AL46" s="29" t="n">
        <v>138813.9809247857</v>
      </c>
      <c r="AM46" s="29" t="n">
        <v>200506.2838649321</v>
      </c>
      <c r="AN46" s="29" t="n">
        <v>212056.9812824985</v>
      </c>
      <c r="AO46" s="29" t="n">
        <v>34592.80592568124</v>
      </c>
      <c r="AP46" s="29" t="n">
        <v>75713.61034383038</v>
      </c>
      <c r="AQ46" s="29" t="n">
        <v>366290.5458214027</v>
      </c>
      <c r="AR46" s="29" t="n">
        <v>116901.9582818207</v>
      </c>
      <c r="AS46" s="29" t="n">
        <v>82578.95395247673</v>
      </c>
      <c r="AT46" s="29" t="n">
        <v>166227.9985258829</v>
      </c>
      <c r="AU46" s="29" t="n">
        <v>381445.0725303736</v>
      </c>
      <c r="AV46" s="29" t="n">
        <v>55452.02383822319</v>
      </c>
      <c r="AW46" s="29" t="n">
        <v>18674.72877542406</v>
      </c>
      <c r="AX46" s="29" t="n">
        <v>301413.3077860897</v>
      </c>
      <c r="AY46" s="29" t="n">
        <v>62255.79750774528</v>
      </c>
      <c r="AZ46" s="29" t="n">
        <v>704922.1672407934</v>
      </c>
      <c r="BA46" s="29" t="n">
        <v>120211.6024236391</v>
      </c>
      <c r="BB46" s="29" t="n">
        <v>92232.09940612863</v>
      </c>
      <c r="BC46" s="29" t="n">
        <v>69760.72048411901</v>
      </c>
      <c r="BD46" s="29" t="n">
        <v>7739.380739392849</v>
      </c>
      <c r="BE46" s="29" t="n">
        <v>57863.76521026975</v>
      </c>
      <c r="BF46" s="29" t="n">
        <v>149926.4641197368</v>
      </c>
      <c r="BG46" s="29" t="n">
        <v>50351.84929407686</v>
      </c>
      <c r="BH46" s="29" t="n">
        <v>79078.08743345106</v>
      </c>
      <c r="BI46" s="29" t="n">
        <v>17358.23852663438</v>
      </c>
      <c r="BJ46" s="29" t="n">
        <v>40542.02027542512</v>
      </c>
      <c r="BK46" s="29" t="n">
        <v>146683.7465264547</v>
      </c>
      <c r="BL46" s="29" t="n">
        <v>166276.984891725</v>
      </c>
      <c r="BM46" s="29" t="n">
        <v>48385.88965307074</v>
      </c>
      <c r="BN46" s="29" t="n">
        <v>7724862.062987045</v>
      </c>
      <c r="BO46" s="29" t="n">
        <v>26601.97367145459</v>
      </c>
      <c r="BP46" s="29" t="n">
        <v>9923.011971770138</v>
      </c>
      <c r="BQ46" s="29" t="n">
        <v>2772.28666971155</v>
      </c>
      <c r="BR46" s="29" t="n">
        <v>1174.217278561217</v>
      </c>
      <c r="BS46" s="29" t="n">
        <v>12628625.06085297</v>
      </c>
      <c r="BT46" s="29" t="n">
        <v>7061.744074298207</v>
      </c>
      <c r="BU46" s="29" t="n">
        <v>13669907.33592875</v>
      </c>
      <c r="BV46" s="29" t="n">
        <v>12986355.03129245</v>
      </c>
      <c r="BW46" s="29" t="n">
        <v>139.7841780055564</v>
      </c>
      <c r="BX46" s="29" t="n">
        <v>15952.59238527769</v>
      </c>
      <c r="BY46" s="29" t="n">
        <v>1424710.530731148</v>
      </c>
      <c r="BZ46" s="29" t="n">
        <v>316.4368707540833</v>
      </c>
      <c r="CA46" s="29" t="n">
        <v>6173.333586748249</v>
      </c>
      <c r="CB46" s="29" t="n">
        <v>2430.055847292067</v>
      </c>
      <c r="CC46" s="29" t="n">
        <v>50.88211929013502</v>
      </c>
      <c r="CD46" s="29" t="n">
        <v>2535.933915068669</v>
      </c>
      <c r="CE46" s="29" t="n">
        <v>6010.576921967593</v>
      </c>
      <c r="CF46" s="29" t="n">
        <v>5152.90642998562</v>
      </c>
      <c r="CG46" s="29" t="n">
        <v>26761.87019212699</v>
      </c>
      <c r="CH46" s="29" t="n">
        <v>747048.116373377</v>
      </c>
      <c r="CI46" s="29" t="n">
        <v>3239.16549371696</v>
      </c>
      <c r="CJ46" s="29" t="n">
        <v>14243.86871800804</v>
      </c>
      <c r="CK46" s="29" t="n">
        <v>3078.75942301518</v>
      </c>
      <c r="CL46" s="29" t="n">
        <v>9436.351336781989</v>
      </c>
      <c r="CM46" s="29" t="n">
        <v>3211.883197047224</v>
      </c>
      <c r="CN46" s="29" t="n">
        <v>1218656.277996952</v>
      </c>
      <c r="CO46" s="29" t="n">
        <v>761474.6029119639</v>
      </c>
      <c r="CP46" s="29" t="n">
        <v>1742.899603543269</v>
      </c>
      <c r="CQ46" s="29" t="n">
        <v>3189.779209345475</v>
      </c>
      <c r="CR46" s="29" t="n">
        <v>84784.27457411753</v>
      </c>
      <c r="CS46" s="29" t="n">
        <v>7143.701203574574</v>
      </c>
      <c r="CT46" s="29" t="n">
        <v>6522.984786183469</v>
      </c>
      <c r="CU46" s="29" t="n">
        <v>105402.3096847628</v>
      </c>
      <c r="CV46" s="29" t="n">
        <v>348004.7971077102</v>
      </c>
      <c r="CW46" s="29" t="n">
        <v>10956.01557195969</v>
      </c>
      <c r="CX46" s="29" t="n">
        <v>49921.91430238273</v>
      </c>
      <c r="CY46" s="29" t="n">
        <v>32811.96344249866</v>
      </c>
      <c r="CZ46" s="29" t="n">
        <v>38620.15190646364</v>
      </c>
      <c r="DA46" s="29" t="n">
        <v>3326.410170239367</v>
      </c>
      <c r="DB46" s="29" t="n">
        <v>16328.2277944121</v>
      </c>
      <c r="DC46" s="29" t="n">
        <v>166637.702070184</v>
      </c>
      <c r="DD46" s="29" t="n">
        <v>20201.71607824886</v>
      </c>
      <c r="DE46" s="29" t="n">
        <v>0</v>
      </c>
      <c r="DF46" s="29">
        <f>SUM(C46:DE46)</f>
        <v/>
      </c>
      <c r="DG46" s="29" t="n">
        <v>0</v>
      </c>
      <c r="DH46" s="29" t="n">
        <v>0</v>
      </c>
      <c r="DI46" s="29" t="n">
        <v>2563973.953427019</v>
      </c>
      <c r="DJ46" s="29" t="n">
        <v>0</v>
      </c>
      <c r="DK46" s="29">
        <f>SUM(DG46:DJ46)</f>
        <v/>
      </c>
      <c r="DL46" s="29">
        <f>DF46+DK46</f>
        <v/>
      </c>
    </row>
    <row r="47">
      <c r="A47" s="30" t="inlineStr">
        <is>
          <t>210</t>
        </is>
      </c>
      <c r="B47" s="30" t="inlineStr">
        <is>
          <t>Fabricación de papel y de productos de papel</t>
        </is>
      </c>
      <c r="C47" s="31" t="n">
        <v>209947.4339061392</v>
      </c>
      <c r="D47" s="31" t="n">
        <v>58996.91610291094</v>
      </c>
      <c r="E47" s="31" t="n">
        <v>1.8145603942989</v>
      </c>
      <c r="F47" s="31" t="n">
        <v>3880.682830990275</v>
      </c>
      <c r="G47" s="31" t="n">
        <v>14.20274504663348</v>
      </c>
      <c r="H47" s="31" t="n">
        <v>514699.8383629996</v>
      </c>
      <c r="I47" s="31" t="n">
        <v>1090.122653000355</v>
      </c>
      <c r="J47" s="31" t="n">
        <v>208.6479017582522</v>
      </c>
      <c r="K47" s="31" t="n">
        <v>477802.3979321536</v>
      </c>
      <c r="L47" s="31" t="n">
        <v>515835.7919361287</v>
      </c>
      <c r="M47" s="31" t="n">
        <v>210877.4101889202</v>
      </c>
      <c r="N47" s="31" t="n">
        <v>491828.1338646724</v>
      </c>
      <c r="O47" s="31" t="n">
        <v>281924.2670323678</v>
      </c>
      <c r="P47" s="31" t="n">
        <v>830130.0830493479</v>
      </c>
      <c r="Q47" s="31" t="n">
        <v>560629.2844104667</v>
      </c>
      <c r="R47" s="31" t="n">
        <v>4065446.255866104</v>
      </c>
      <c r="S47" s="31" t="n">
        <v>1411111.180132239</v>
      </c>
      <c r="T47" s="31" t="n">
        <v>435990.0500606445</v>
      </c>
      <c r="U47" s="31" t="n">
        <v>2921031.978157351</v>
      </c>
      <c r="V47" s="31" t="n">
        <v>592836.3471882726</v>
      </c>
      <c r="W47" s="31" t="n">
        <v>1435633.691099977</v>
      </c>
      <c r="X47" s="31" t="n">
        <v>309897.259729198</v>
      </c>
      <c r="Y47" s="31" t="n">
        <v>3479682.106255987</v>
      </c>
      <c r="Z47" s="31" t="n">
        <v>679735.495542628</v>
      </c>
      <c r="AA47" s="31" t="n">
        <v>2928595.283154545</v>
      </c>
      <c r="AB47" s="31" t="n">
        <v>639211.6374271695</v>
      </c>
      <c r="AC47" s="31" t="n">
        <v>1146765.880840406</v>
      </c>
      <c r="AD47" s="31" t="n">
        <v>1766863.803302428</v>
      </c>
      <c r="AE47" s="31" t="n">
        <v>263913.9652714203</v>
      </c>
      <c r="AF47" s="31" t="n">
        <v>362034.4102637818</v>
      </c>
      <c r="AG47" s="31" t="n">
        <v>32734.69497402634</v>
      </c>
      <c r="AH47" s="31" t="n">
        <v>269997.0037076326</v>
      </c>
      <c r="AI47" s="31" t="n">
        <v>976020.2028290565</v>
      </c>
      <c r="AJ47" s="31" t="n">
        <v>25423056.18838666</v>
      </c>
      <c r="AK47" s="31" t="n">
        <v>9056839.137361666</v>
      </c>
      <c r="AL47" s="31" t="n">
        <v>11145787.82820934</v>
      </c>
      <c r="AM47" s="31" t="n">
        <v>122811.9495707781</v>
      </c>
      <c r="AN47" s="31" t="n">
        <v>266813.8163461483</v>
      </c>
      <c r="AO47" s="31" t="n">
        <v>383624.6527505404</v>
      </c>
      <c r="AP47" s="31" t="n">
        <v>167143.7269820625</v>
      </c>
      <c r="AQ47" s="31" t="n">
        <v>4344621.508548107</v>
      </c>
      <c r="AR47" s="31" t="n">
        <v>106284.1234748998</v>
      </c>
      <c r="AS47" s="31" t="n">
        <v>140884.1683977376</v>
      </c>
      <c r="AT47" s="31" t="n">
        <v>291078.5748711024</v>
      </c>
      <c r="AU47" s="31" t="n">
        <v>2584507.126022904</v>
      </c>
      <c r="AV47" s="31" t="n">
        <v>115044.4183326552</v>
      </c>
      <c r="AW47" s="31" t="n">
        <v>69787.48644783275</v>
      </c>
      <c r="AX47" s="31" t="n">
        <v>194370.0644610504</v>
      </c>
      <c r="AY47" s="31" t="n">
        <v>59752.73141084848</v>
      </c>
      <c r="AZ47" s="31" t="n">
        <v>537847.7376878225</v>
      </c>
      <c r="BA47" s="31" t="n">
        <v>90158.29647955173</v>
      </c>
      <c r="BB47" s="31" t="n">
        <v>104538.5391278264</v>
      </c>
      <c r="BC47" s="31" t="n">
        <v>268178.1628754013</v>
      </c>
      <c r="BD47" s="31" t="n">
        <v>6363.599573623738</v>
      </c>
      <c r="BE47" s="31" t="n">
        <v>191914.398322485</v>
      </c>
      <c r="BF47" s="31" t="n">
        <v>32235.1485813479</v>
      </c>
      <c r="BG47" s="31" t="n">
        <v>175203.8583268</v>
      </c>
      <c r="BH47" s="31" t="n">
        <v>413498.5456804807</v>
      </c>
      <c r="BI47" s="31" t="n">
        <v>156753.9115819047</v>
      </c>
      <c r="BJ47" s="31" t="n">
        <v>110073.7599312058</v>
      </c>
      <c r="BK47" s="31" t="n">
        <v>69682.08677129993</v>
      </c>
      <c r="BL47" s="31" t="n">
        <v>300656.6349606281</v>
      </c>
      <c r="BM47" s="31" t="n">
        <v>85692.78012896556</v>
      </c>
      <c r="BN47" s="31" t="n">
        <v>694203.7091515822</v>
      </c>
      <c r="BO47" s="31" t="n">
        <v>185203.4280827098</v>
      </c>
      <c r="BP47" s="31" t="n">
        <v>29628.84563563645</v>
      </c>
      <c r="BQ47" s="31" t="n">
        <v>56200.35110100438</v>
      </c>
      <c r="BR47" s="31" t="n">
        <v>16995.81011092765</v>
      </c>
      <c r="BS47" s="31" t="n">
        <v>193265.8782047326</v>
      </c>
      <c r="BT47" s="31" t="n">
        <v>532309.3677981367</v>
      </c>
      <c r="BU47" s="31" t="n">
        <v>3770821.001904157</v>
      </c>
      <c r="BV47" s="31" t="n">
        <v>7225893.341723626</v>
      </c>
      <c r="BW47" s="31" t="n">
        <v>3171.243484410194</v>
      </c>
      <c r="BX47" s="31" t="n">
        <v>240128.6946712287</v>
      </c>
      <c r="BY47" s="31" t="n">
        <v>2128016.936955667</v>
      </c>
      <c r="BZ47" s="31" t="n">
        <v>30275.34710388512</v>
      </c>
      <c r="CA47" s="31" t="n">
        <v>181418.9254432068</v>
      </c>
      <c r="CB47" s="31" t="n">
        <v>31324.1214339063</v>
      </c>
      <c r="CC47" s="31" t="n">
        <v>6551.319804029178</v>
      </c>
      <c r="CD47" s="31" t="n">
        <v>501586.7631795967</v>
      </c>
      <c r="CE47" s="31" t="n">
        <v>898.3466520300691</v>
      </c>
      <c r="CF47" s="31" t="n">
        <v>766902.5705932198</v>
      </c>
      <c r="CG47" s="31" t="n">
        <v>169633.8387733838</v>
      </c>
      <c r="CH47" s="31" t="n">
        <v>541803.6918765923</v>
      </c>
      <c r="CI47" s="31" t="n">
        <v>135855.722085068</v>
      </c>
      <c r="CJ47" s="31" t="n">
        <v>1394557.088155041</v>
      </c>
      <c r="CK47" s="31" t="n">
        <v>675175.9201041459</v>
      </c>
      <c r="CL47" s="31" t="n">
        <v>1336424.68223173</v>
      </c>
      <c r="CM47" s="31" t="n">
        <v>496891.6433824163</v>
      </c>
      <c r="CN47" s="31" t="n">
        <v>577843.4633361629</v>
      </c>
      <c r="CO47" s="31" t="n">
        <v>361088.3937169755</v>
      </c>
      <c r="CP47" s="31" t="n">
        <v>375.2893552610833</v>
      </c>
      <c r="CQ47" s="31" t="n">
        <v>157861.287977932</v>
      </c>
      <c r="CR47" s="31" t="n">
        <v>707460.6271204141</v>
      </c>
      <c r="CS47" s="31" t="n">
        <v>59762.30423705737</v>
      </c>
      <c r="CT47" s="31" t="n">
        <v>54569.55578300624</v>
      </c>
      <c r="CU47" s="31" t="n">
        <v>4120493.036294877</v>
      </c>
      <c r="CV47" s="31" t="n">
        <v>2911315.572703351</v>
      </c>
      <c r="CW47" s="31" t="n">
        <v>2350191.783171038</v>
      </c>
      <c r="CX47" s="31" t="n">
        <v>378520.6055975945</v>
      </c>
      <c r="CY47" s="31" t="n">
        <v>1992317.795434145</v>
      </c>
      <c r="CZ47" s="31" t="n">
        <v>918939.857520543</v>
      </c>
      <c r="DA47" s="31" t="n">
        <v>163409.1825118877</v>
      </c>
      <c r="DB47" s="31" t="n">
        <v>644709.1651068541</v>
      </c>
      <c r="DC47" s="31" t="n">
        <v>299195.1702452262</v>
      </c>
      <c r="DD47" s="31" t="n">
        <v>205939.8138626688</v>
      </c>
      <c r="DE47" s="31" t="n">
        <v>0</v>
      </c>
      <c r="DF47" s="31">
        <f>SUM(C47:DE47)</f>
        <v/>
      </c>
      <c r="DG47" s="31" t="n">
        <v>0</v>
      </c>
      <c r="DH47" s="31" t="n">
        <v>0</v>
      </c>
      <c r="DI47" s="31" t="n">
        <v>24945182.93715122</v>
      </c>
      <c r="DJ47" s="31" t="n">
        <v>0</v>
      </c>
      <c r="DK47" s="31">
        <f>SUM(DG47:DJ47)</f>
        <v/>
      </c>
      <c r="DL47" s="31">
        <f>DF47+DK47</f>
        <v/>
      </c>
    </row>
    <row r="48">
      <c r="A48" s="28" t="inlineStr">
        <is>
          <t>221</t>
        </is>
      </c>
      <c r="B48" s="28" t="inlineStr">
        <is>
          <t>Actividades de edición</t>
        </is>
      </c>
      <c r="C48" s="29" t="n">
        <v>334483.3472744552</v>
      </c>
      <c r="D48" s="29" t="n">
        <v>36092.20003663586</v>
      </c>
      <c r="E48" s="29" t="n">
        <v>0</v>
      </c>
      <c r="F48" s="29" t="n">
        <v>0</v>
      </c>
      <c r="G48" s="29" t="n">
        <v>0</v>
      </c>
      <c r="H48" s="29" t="n">
        <v>11443.58981268249</v>
      </c>
      <c r="I48" s="29" t="n">
        <v>22739.71236592843</v>
      </c>
      <c r="J48" s="29" t="n">
        <v>449256.5112499765</v>
      </c>
      <c r="K48" s="29" t="n">
        <v>25598.0101838723</v>
      </c>
      <c r="L48" s="29" t="n">
        <v>33963.97673929792</v>
      </c>
      <c r="M48" s="29" t="n">
        <v>19424.64510240893</v>
      </c>
      <c r="N48" s="29" t="n">
        <v>118659.2092945559</v>
      </c>
      <c r="O48" s="29" t="n">
        <v>42825.44395978858</v>
      </c>
      <c r="P48" s="29" t="n">
        <v>37930.65157439078</v>
      </c>
      <c r="Q48" s="29" t="n">
        <v>118723.1985172661</v>
      </c>
      <c r="R48" s="29" t="n">
        <v>281988.6162954476</v>
      </c>
      <c r="S48" s="29" t="n">
        <v>49082.21983381607</v>
      </c>
      <c r="T48" s="29" t="n">
        <v>132179.7090576826</v>
      </c>
      <c r="U48" s="29" t="n">
        <v>807156.7462884557</v>
      </c>
      <c r="V48" s="29" t="n">
        <v>3858.768920332222</v>
      </c>
      <c r="W48" s="29" t="n">
        <v>245952.1140155014</v>
      </c>
      <c r="X48" s="29" t="n">
        <v>57140.47362878302</v>
      </c>
      <c r="Y48" s="29" t="n">
        <v>224275.6099207777</v>
      </c>
      <c r="Z48" s="29" t="n">
        <v>154280.3846943356</v>
      </c>
      <c r="AA48" s="29" t="n">
        <v>256762.1200633965</v>
      </c>
      <c r="AB48" s="29" t="n">
        <v>519295.2344063572</v>
      </c>
      <c r="AC48" s="29" t="n">
        <v>736958.5402249863</v>
      </c>
      <c r="AD48" s="29" t="n">
        <v>516561.4064207029</v>
      </c>
      <c r="AE48" s="29" t="n">
        <v>19672.07787933623</v>
      </c>
      <c r="AF48" s="29" t="n">
        <v>126881.2767933</v>
      </c>
      <c r="AG48" s="29" t="n">
        <v>5446.002701519025</v>
      </c>
      <c r="AH48" s="29" t="n">
        <v>48993.1477745337</v>
      </c>
      <c r="AI48" s="29" t="n">
        <v>17968.8966687182</v>
      </c>
      <c r="AJ48" s="29" t="n">
        <v>139640.9541123573</v>
      </c>
      <c r="AK48" s="29" t="n">
        <v>732083.5815671767</v>
      </c>
      <c r="AL48" s="29" t="n">
        <v>126525.9555190842</v>
      </c>
      <c r="AM48" s="29" t="n">
        <v>115324.8989216578</v>
      </c>
      <c r="AN48" s="29" t="n">
        <v>35482.88048322084</v>
      </c>
      <c r="AO48" s="29" t="n">
        <v>39460.88464857762</v>
      </c>
      <c r="AP48" s="29" t="n">
        <v>22043.64456816352</v>
      </c>
      <c r="AQ48" s="29" t="n">
        <v>2475513.840313751</v>
      </c>
      <c r="AR48" s="29" t="n">
        <v>70574.18585960128</v>
      </c>
      <c r="AS48" s="29" t="n">
        <v>102779.4889339637</v>
      </c>
      <c r="AT48" s="29" t="n">
        <v>6355.193692241615</v>
      </c>
      <c r="AU48" s="29" t="n">
        <v>100277.6569020755</v>
      </c>
      <c r="AV48" s="29" t="n">
        <v>70771.08645320356</v>
      </c>
      <c r="AW48" s="29" t="n">
        <v>27192.76969162007</v>
      </c>
      <c r="AX48" s="29" t="n">
        <v>38559.06928596914</v>
      </c>
      <c r="AY48" s="29" t="n">
        <v>32165.79739654596</v>
      </c>
      <c r="AZ48" s="29" t="n">
        <v>87479.64468413361</v>
      </c>
      <c r="BA48" s="29" t="n">
        <v>51270.43872934511</v>
      </c>
      <c r="BB48" s="29" t="n">
        <v>134373.8363397878</v>
      </c>
      <c r="BC48" s="29" t="n">
        <v>67308.43454750984</v>
      </c>
      <c r="BD48" s="29" t="n">
        <v>4204.630826992128</v>
      </c>
      <c r="BE48" s="29" t="n">
        <v>22852.10195156372</v>
      </c>
      <c r="BF48" s="29" t="n">
        <v>15074.34793798283</v>
      </c>
      <c r="BG48" s="29" t="n">
        <v>26842.99032774725</v>
      </c>
      <c r="BH48" s="29" t="n">
        <v>402268.4799472032</v>
      </c>
      <c r="BI48" s="29" t="n">
        <v>30789.10187607321</v>
      </c>
      <c r="BJ48" s="29" t="n">
        <v>22482.70234059627</v>
      </c>
      <c r="BK48" s="29" t="n">
        <v>351233.1723604435</v>
      </c>
      <c r="BL48" s="29" t="n">
        <v>34442.9559214627</v>
      </c>
      <c r="BM48" s="29" t="n">
        <v>31269.99996688209</v>
      </c>
      <c r="BN48" s="29" t="n">
        <v>91384.07935386822</v>
      </c>
      <c r="BO48" s="29" t="n">
        <v>38254.08746357123</v>
      </c>
      <c r="BP48" s="29" t="n">
        <v>106973.3422725623</v>
      </c>
      <c r="BQ48" s="29" t="n">
        <v>62646.25514646099</v>
      </c>
      <c r="BR48" s="29" t="n">
        <v>28952.40987017371</v>
      </c>
      <c r="BS48" s="29" t="n">
        <v>55046.13550472281</v>
      </c>
      <c r="BT48" s="29" t="n">
        <v>650252.1666566882</v>
      </c>
      <c r="BU48" s="29" t="n">
        <v>3667755.343271886</v>
      </c>
      <c r="BV48" s="29" t="n">
        <v>6280072.337961144</v>
      </c>
      <c r="BW48" s="29" t="n">
        <v>2166.12610031137</v>
      </c>
      <c r="BX48" s="29" t="n">
        <v>189019.6447545506</v>
      </c>
      <c r="BY48" s="29" t="n">
        <v>922826.8751667731</v>
      </c>
      <c r="BZ48" s="29" t="n">
        <v>4729.568717656941</v>
      </c>
      <c r="CA48" s="29" t="n">
        <v>242287.4436660899</v>
      </c>
      <c r="CB48" s="29" t="n">
        <v>494.511718218805</v>
      </c>
      <c r="CC48" s="29" t="n">
        <v>744.2299970358949</v>
      </c>
      <c r="CD48" s="29" t="n">
        <v>218172.2746751806</v>
      </c>
      <c r="CE48" s="29" t="n">
        <v>262765.8421413668</v>
      </c>
      <c r="CF48" s="29" t="n">
        <v>80178.06434227325</v>
      </c>
      <c r="CG48" s="29" t="n">
        <v>1076809.393151611</v>
      </c>
      <c r="CH48" s="29" t="n">
        <v>2574148.427713357</v>
      </c>
      <c r="CI48" s="29" t="n">
        <v>236485.6159212066</v>
      </c>
      <c r="CJ48" s="29" t="n">
        <v>2392062.992875525</v>
      </c>
      <c r="CK48" s="29" t="n">
        <v>794591.838102262</v>
      </c>
      <c r="CL48" s="29" t="n">
        <v>1184886.390080897</v>
      </c>
      <c r="CM48" s="29" t="n">
        <v>397385.9454843795</v>
      </c>
      <c r="CN48" s="29" t="n">
        <v>91.63706029095202</v>
      </c>
      <c r="CO48" s="29" t="n">
        <v>57.26510905886001</v>
      </c>
      <c r="CP48" s="29" t="n">
        <v>13858.16119144709</v>
      </c>
      <c r="CQ48" s="29" t="n">
        <v>52837.89467040407</v>
      </c>
      <c r="CR48" s="29" t="n">
        <v>586484.7010583718</v>
      </c>
      <c r="CS48" s="29" t="n">
        <v>39723.96123184793</v>
      </c>
      <c r="CT48" s="29" t="n">
        <v>36272.34501810181</v>
      </c>
      <c r="CU48" s="29" t="n">
        <v>4633632.362562095</v>
      </c>
      <c r="CV48" s="29" t="n">
        <v>1776600.493257888</v>
      </c>
      <c r="CW48" s="29" t="n">
        <v>831091.630839402</v>
      </c>
      <c r="CX48" s="29" t="n">
        <v>187465.6925548148</v>
      </c>
      <c r="CY48" s="29" t="n">
        <v>591417.0991984525</v>
      </c>
      <c r="CZ48" s="29" t="n">
        <v>52794.22606042128</v>
      </c>
      <c r="DA48" s="29" t="n">
        <v>211940.8469735282</v>
      </c>
      <c r="DB48" s="29" t="n">
        <v>1927899.881103098</v>
      </c>
      <c r="DC48" s="29" t="n">
        <v>1493949.987288205</v>
      </c>
      <c r="DD48" s="29" t="n">
        <v>248655.6261301208</v>
      </c>
      <c r="DE48" s="29" t="n">
        <v>0</v>
      </c>
      <c r="DF48" s="29">
        <f>SUM(C48:DE48)</f>
        <v/>
      </c>
      <c r="DG48" s="29" t="n">
        <v>0</v>
      </c>
      <c r="DH48" s="29" t="n">
        <v>0</v>
      </c>
      <c r="DI48" s="29" t="n">
        <v>32882783.31080028</v>
      </c>
      <c r="DJ48" s="29" t="n">
        <v>0</v>
      </c>
      <c r="DK48" s="29">
        <f>SUM(DG48:DJ48)</f>
        <v/>
      </c>
      <c r="DL48" s="29">
        <f>DF48+DK48</f>
        <v/>
      </c>
    </row>
    <row r="49">
      <c r="A49" s="30" t="inlineStr">
        <is>
          <t>222</t>
        </is>
      </c>
      <c r="B49" s="30" t="inlineStr">
        <is>
          <t>22210 - Impresión. 22220-Servicios relacionados con la impresión</t>
        </is>
      </c>
      <c r="C49" s="31" t="n">
        <v>133321.4022429025</v>
      </c>
      <c r="D49" s="31" t="n">
        <v>19418.10470858274</v>
      </c>
      <c r="E49" s="31" t="n">
        <v>3.125952699747631</v>
      </c>
      <c r="F49" s="31" t="n">
        <v>2483.494079430406</v>
      </c>
      <c r="G49" s="31" t="n">
        <v>24.46714331572587</v>
      </c>
      <c r="H49" s="31" t="n">
        <v>58861.7009115596</v>
      </c>
      <c r="I49" s="31" t="n">
        <v>12370.95206239613</v>
      </c>
      <c r="J49" s="31" t="n">
        <v>6487.162652356185</v>
      </c>
      <c r="K49" s="31" t="n">
        <v>255852.2905604039</v>
      </c>
      <c r="L49" s="31" t="n">
        <v>511077.5389010584</v>
      </c>
      <c r="M49" s="31" t="n">
        <v>216030.2028246162</v>
      </c>
      <c r="N49" s="31" t="n">
        <v>202836.6399164899</v>
      </c>
      <c r="O49" s="31" t="n">
        <v>76487.50265814338</v>
      </c>
      <c r="P49" s="31" t="n">
        <v>71302.13431617465</v>
      </c>
      <c r="Q49" s="31" t="n">
        <v>265526.3989440811</v>
      </c>
      <c r="R49" s="31" t="n">
        <v>318356.0355256989</v>
      </c>
      <c r="S49" s="31" t="n">
        <v>138203.8181450883</v>
      </c>
      <c r="T49" s="31" t="n">
        <v>172845.4165093228</v>
      </c>
      <c r="U49" s="31" t="n">
        <v>293440.6193880683</v>
      </c>
      <c r="V49" s="31" t="n">
        <v>88498.2487474363</v>
      </c>
      <c r="W49" s="31" t="n">
        <v>226084.3326517974</v>
      </c>
      <c r="X49" s="31" t="n">
        <v>36810.17655266031</v>
      </c>
      <c r="Y49" s="31" t="n">
        <v>350916.7170674008</v>
      </c>
      <c r="Z49" s="31" t="n">
        <v>54341.98338936901</v>
      </c>
      <c r="AA49" s="31" t="n">
        <v>229069.7540100876</v>
      </c>
      <c r="AB49" s="31" t="n">
        <v>70430.33088066835</v>
      </c>
      <c r="AC49" s="31" t="n">
        <v>285384.2157670995</v>
      </c>
      <c r="AD49" s="31" t="n">
        <v>170920.174009379</v>
      </c>
      <c r="AE49" s="31" t="n">
        <v>131926.1775323261</v>
      </c>
      <c r="AF49" s="31" t="n">
        <v>102294.6595788747</v>
      </c>
      <c r="AG49" s="31" t="n">
        <v>17122.27663553881</v>
      </c>
      <c r="AH49" s="31" t="n">
        <v>38762.36246333043</v>
      </c>
      <c r="AI49" s="31" t="n">
        <v>151807.2162517226</v>
      </c>
      <c r="AJ49" s="31" t="n">
        <v>1813297.136221269</v>
      </c>
      <c r="AK49" s="31" t="n">
        <v>4005233.994035353</v>
      </c>
      <c r="AL49" s="31" t="n">
        <v>861449.2859811388</v>
      </c>
      <c r="AM49" s="31" t="n">
        <v>127542.7481409147</v>
      </c>
      <c r="AN49" s="31" t="n">
        <v>126113.9684094038</v>
      </c>
      <c r="AO49" s="31" t="n">
        <v>54063.37677651078</v>
      </c>
      <c r="AP49" s="31" t="n">
        <v>91586.90092876753</v>
      </c>
      <c r="AQ49" s="31" t="n">
        <v>762727.8479365411</v>
      </c>
      <c r="AR49" s="31" t="n">
        <v>92934.11704882004</v>
      </c>
      <c r="AS49" s="31" t="n">
        <v>441614.5574590774</v>
      </c>
      <c r="AT49" s="31" t="n">
        <v>30920.1065952972</v>
      </c>
      <c r="AU49" s="31" t="n">
        <v>295930.7315549569</v>
      </c>
      <c r="AV49" s="31" t="n">
        <v>372976.422160072</v>
      </c>
      <c r="AW49" s="31" t="n">
        <v>123258.8181984095</v>
      </c>
      <c r="AX49" s="31" t="n">
        <v>237978.1305689203</v>
      </c>
      <c r="AY49" s="31" t="n">
        <v>47582.23155139646</v>
      </c>
      <c r="AZ49" s="31" t="n">
        <v>185415.769535211</v>
      </c>
      <c r="BA49" s="31" t="n">
        <v>92274.68994588172</v>
      </c>
      <c r="BB49" s="31" t="n">
        <v>94620.77970514452</v>
      </c>
      <c r="BC49" s="31" t="n">
        <v>72543.84526631741</v>
      </c>
      <c r="BD49" s="31" t="n">
        <v>12037.50468406476</v>
      </c>
      <c r="BE49" s="31" t="n">
        <v>52607.74731600565</v>
      </c>
      <c r="BF49" s="31" t="n">
        <v>41983.39187022287</v>
      </c>
      <c r="BG49" s="31" t="n">
        <v>46386.96149143012</v>
      </c>
      <c r="BH49" s="31" t="n">
        <v>278098.8179924095</v>
      </c>
      <c r="BI49" s="31" t="n">
        <v>41737.05534470966</v>
      </c>
      <c r="BJ49" s="31" t="n">
        <v>47313.80283091674</v>
      </c>
      <c r="BK49" s="31" t="n">
        <v>112549.6274066853</v>
      </c>
      <c r="BL49" s="31" t="n">
        <v>115120.4939736682</v>
      </c>
      <c r="BM49" s="31" t="n">
        <v>32635.87079386772</v>
      </c>
      <c r="BN49" s="31" t="n">
        <v>159700.8641672523</v>
      </c>
      <c r="BO49" s="31" t="n">
        <v>183603.0064124832</v>
      </c>
      <c r="BP49" s="31" t="n">
        <v>207394.915044386</v>
      </c>
      <c r="BQ49" s="31" t="n">
        <v>63079.58436562392</v>
      </c>
      <c r="BR49" s="31" t="n">
        <v>26175.82489829659</v>
      </c>
      <c r="BS49" s="31" t="n">
        <v>60618.66810786885</v>
      </c>
      <c r="BT49" s="31" t="n">
        <v>758942.0018050608</v>
      </c>
      <c r="BU49" s="31" t="n">
        <v>4380324.40599178</v>
      </c>
      <c r="BV49" s="31" t="n">
        <v>5896943.431157669</v>
      </c>
      <c r="BW49" s="31" t="n">
        <v>22686.31416340777</v>
      </c>
      <c r="BX49" s="31" t="n">
        <v>173019.3663623118</v>
      </c>
      <c r="BY49" s="31" t="n">
        <v>425478.6071124213</v>
      </c>
      <c r="BZ49" s="31" t="n">
        <v>2307.739867372323</v>
      </c>
      <c r="CA49" s="31" t="n">
        <v>19515.93348559299</v>
      </c>
      <c r="CB49" s="31" t="n">
        <v>8303.584322490218</v>
      </c>
      <c r="CC49" s="31" t="n">
        <v>520.3681038764774</v>
      </c>
      <c r="CD49" s="31" t="n">
        <v>30445.9754240499</v>
      </c>
      <c r="CE49" s="31" t="n">
        <v>5703.99752573225</v>
      </c>
      <c r="CF49" s="31" t="n">
        <v>95872.90991254638</v>
      </c>
      <c r="CG49" s="31" t="n">
        <v>406752.9576988751</v>
      </c>
      <c r="CH49" s="31" t="n">
        <v>832953.1530084544</v>
      </c>
      <c r="CI49" s="31" t="n">
        <v>444208.5492932047</v>
      </c>
      <c r="CJ49" s="31" t="n">
        <v>9299850.024723416</v>
      </c>
      <c r="CK49" s="31" t="n">
        <v>645272.9035045338</v>
      </c>
      <c r="CL49" s="31" t="n">
        <v>879374.8774670897</v>
      </c>
      <c r="CM49" s="31" t="n">
        <v>571318.4890491033</v>
      </c>
      <c r="CN49" s="31" t="n">
        <v>36395.84161629229</v>
      </c>
      <c r="CO49" s="31" t="n">
        <v>22742.35519932007</v>
      </c>
      <c r="CP49" s="31" t="n">
        <v>17048.01315149848</v>
      </c>
      <c r="CQ49" s="31" t="n">
        <v>74724.40032278273</v>
      </c>
      <c r="CR49" s="31" t="n">
        <v>2483986.270490739</v>
      </c>
      <c r="CS49" s="31" t="n">
        <v>80025.75837059361</v>
      </c>
      <c r="CT49" s="31" t="n">
        <v>73072.31776337071</v>
      </c>
      <c r="CU49" s="31" t="n">
        <v>10720706.10569128</v>
      </c>
      <c r="CV49" s="31" t="n">
        <v>2537616.427931357</v>
      </c>
      <c r="CW49" s="31" t="n">
        <v>2418364.595682976</v>
      </c>
      <c r="CX49" s="31" t="n">
        <v>827596.1098429523</v>
      </c>
      <c r="CY49" s="31" t="n">
        <v>821356.4965456768</v>
      </c>
      <c r="CZ49" s="31" t="n">
        <v>236793.2251241503</v>
      </c>
      <c r="DA49" s="31" t="n">
        <v>132160.3391894823</v>
      </c>
      <c r="DB49" s="31" t="n">
        <v>794451.7176012261</v>
      </c>
      <c r="DC49" s="31" t="n">
        <v>566909.8207587551</v>
      </c>
      <c r="DD49" s="31" t="n">
        <v>496464.8272607324</v>
      </c>
      <c r="DE49" s="31" t="n">
        <v>0</v>
      </c>
      <c r="DF49" s="31">
        <f>SUM(C49:DE49)</f>
        <v/>
      </c>
      <c r="DG49" s="31" t="n">
        <v>0</v>
      </c>
      <c r="DH49" s="31" t="n">
        <v>0</v>
      </c>
      <c r="DI49" s="31" t="n">
        <v>13020524.04469273</v>
      </c>
      <c r="DJ49" s="31" t="n">
        <v>0</v>
      </c>
      <c r="DK49" s="31">
        <f>SUM(DG49:DJ49)</f>
        <v/>
      </c>
      <c r="DL49" s="31">
        <f>DF49+DK49</f>
        <v/>
      </c>
    </row>
    <row r="50">
      <c r="A50" s="28" t="inlineStr">
        <is>
          <t>23</t>
        </is>
      </c>
      <c r="B50" s="28" t="inlineStr">
        <is>
          <t>23200 - Fabricación de productos de la refinación del petróleo. 23300-Fabricación de combustible nuclear</t>
        </is>
      </c>
      <c r="C50" s="29" t="n">
        <v>27224012.26903059</v>
      </c>
      <c r="D50" s="29" t="n">
        <v>4546566.345192094</v>
      </c>
      <c r="E50" s="29" t="n">
        <v>16395.18455351096</v>
      </c>
      <c r="F50" s="29" t="n">
        <v>1890586.58203536</v>
      </c>
      <c r="G50" s="29" t="n">
        <v>26194.36709562017</v>
      </c>
      <c r="H50" s="29" t="n">
        <v>3333962.218471929</v>
      </c>
      <c r="I50" s="29" t="n">
        <v>33581.80436777994</v>
      </c>
      <c r="J50" s="29" t="n">
        <v>513111.891952115</v>
      </c>
      <c r="K50" s="29" t="n">
        <v>1500096.958945143</v>
      </c>
      <c r="L50" s="29" t="n">
        <v>1204562.412156862</v>
      </c>
      <c r="M50" s="29" t="n">
        <v>969573.6606532929</v>
      </c>
      <c r="N50" s="29" t="n">
        <v>331309.7375423225</v>
      </c>
      <c r="O50" s="29" t="n">
        <v>723822.8940361672</v>
      </c>
      <c r="P50" s="29" t="n">
        <v>196769.9758382499</v>
      </c>
      <c r="Q50" s="29" t="n">
        <v>979281.8908070223</v>
      </c>
      <c r="R50" s="29" t="n">
        <v>705278.5141245126</v>
      </c>
      <c r="S50" s="29" t="n">
        <v>197846.3545957664</v>
      </c>
      <c r="T50" s="29" t="n">
        <v>398339.0113668406</v>
      </c>
      <c r="U50" s="29" t="n">
        <v>349723.5163414316</v>
      </c>
      <c r="V50" s="29" t="n">
        <v>217957.2709309376</v>
      </c>
      <c r="W50" s="29" t="n">
        <v>87338.18389752017</v>
      </c>
      <c r="X50" s="29" t="n">
        <v>66115.94799565176</v>
      </c>
      <c r="Y50" s="29" t="n">
        <v>383924.1835901911</v>
      </c>
      <c r="Z50" s="29" t="n">
        <v>24088.88907151244</v>
      </c>
      <c r="AA50" s="29" t="n">
        <v>241584.1594742962</v>
      </c>
      <c r="AB50" s="29" t="n">
        <v>16332.77683139358</v>
      </c>
      <c r="AC50" s="29" t="n">
        <v>499120.9569777966</v>
      </c>
      <c r="AD50" s="29" t="n">
        <v>97952.44443403417</v>
      </c>
      <c r="AE50" s="29" t="n">
        <v>257676.0936396327</v>
      </c>
      <c r="AF50" s="29" t="n">
        <v>64530.62762082947</v>
      </c>
      <c r="AG50" s="29" t="n">
        <v>46908.75779102436</v>
      </c>
      <c r="AH50" s="29" t="n">
        <v>52119.90529559294</v>
      </c>
      <c r="AI50" s="29" t="n">
        <v>516683.9568022899</v>
      </c>
      <c r="AJ50" s="29" t="n">
        <v>402387.1539420806</v>
      </c>
      <c r="AK50" s="29" t="n">
        <v>59872.73350906602</v>
      </c>
      <c r="AL50" s="29" t="n">
        <v>85952.87467334687</v>
      </c>
      <c r="AM50" s="29" t="n">
        <v>21191355.04726692</v>
      </c>
      <c r="AN50" s="29" t="n">
        <v>12591102.71184134</v>
      </c>
      <c r="AO50" s="29" t="n">
        <v>307255.39313999</v>
      </c>
      <c r="AP50" s="29" t="n">
        <v>6554771.187582098</v>
      </c>
      <c r="AQ50" s="29" t="n">
        <v>8602189.208926797</v>
      </c>
      <c r="AR50" s="29" t="n">
        <v>201272.6707317866</v>
      </c>
      <c r="AS50" s="29" t="n">
        <v>177605.1446142231</v>
      </c>
      <c r="AT50" s="29" t="n">
        <v>109208.7486633665</v>
      </c>
      <c r="AU50" s="29" t="n">
        <v>3057380.845136715</v>
      </c>
      <c r="AV50" s="29" t="n">
        <v>707548.0433090735</v>
      </c>
      <c r="AW50" s="29" t="n">
        <v>1400642.95497101</v>
      </c>
      <c r="AX50" s="29" t="n">
        <v>763778.3639940668</v>
      </c>
      <c r="AY50" s="29" t="n">
        <v>192216.8106802593</v>
      </c>
      <c r="AZ50" s="29" t="n">
        <v>343331.6120277636</v>
      </c>
      <c r="BA50" s="29" t="n">
        <v>110229.918231219</v>
      </c>
      <c r="BB50" s="29" t="n">
        <v>129639.9755478173</v>
      </c>
      <c r="BC50" s="29" t="n">
        <v>65517.63420094614</v>
      </c>
      <c r="BD50" s="29" t="n">
        <v>1314.793269480575</v>
      </c>
      <c r="BE50" s="29" t="n">
        <v>173698.52550283</v>
      </c>
      <c r="BF50" s="29" t="n">
        <v>38282.57490111329</v>
      </c>
      <c r="BG50" s="29" t="n">
        <v>75719.47247819824</v>
      </c>
      <c r="BH50" s="29" t="n">
        <v>110412.1143101865</v>
      </c>
      <c r="BI50" s="29" t="n">
        <v>4155.83974329354</v>
      </c>
      <c r="BJ50" s="29" t="n">
        <v>19795.5513727186</v>
      </c>
      <c r="BK50" s="29" t="n">
        <v>137399.1333805964</v>
      </c>
      <c r="BL50" s="29" t="n">
        <v>271000.2036313301</v>
      </c>
      <c r="BM50" s="29" t="n">
        <v>89302.57300671065</v>
      </c>
      <c r="BN50" s="29" t="n">
        <v>280323.0337394506</v>
      </c>
      <c r="BO50" s="29" t="n">
        <v>270553.2306506754</v>
      </c>
      <c r="BP50" s="29" t="n">
        <v>13332760.39790996</v>
      </c>
      <c r="BQ50" s="29" t="n">
        <v>451662.9360153449</v>
      </c>
      <c r="BR50" s="29" t="n">
        <v>225820.2866442703</v>
      </c>
      <c r="BS50" s="29" t="n">
        <v>4618371.055225966</v>
      </c>
      <c r="BT50" s="29" t="n">
        <v>1960918.519041523</v>
      </c>
      <c r="BU50" s="29" t="n">
        <v>11562549.54633299</v>
      </c>
      <c r="BV50" s="29" t="n">
        <v>12014609.58894883</v>
      </c>
      <c r="BW50" s="29" t="n">
        <v>4526.381619655538</v>
      </c>
      <c r="BX50" s="29" t="n">
        <v>72197.5507447261</v>
      </c>
      <c r="BY50" s="29" t="n">
        <v>1235566.064925642</v>
      </c>
      <c r="BZ50" s="29" t="n">
        <v>596882.6515137177</v>
      </c>
      <c r="CA50" s="29" t="n">
        <v>71328166.61313696</v>
      </c>
      <c r="CB50" s="29" t="n">
        <v>185805.0159994998</v>
      </c>
      <c r="CC50" s="29" t="n">
        <v>106723.911319094</v>
      </c>
      <c r="CD50" s="29" t="n">
        <v>15827063.90905843</v>
      </c>
      <c r="CE50" s="29" t="n">
        <v>8270861.880505944</v>
      </c>
      <c r="CF50" s="29" t="n">
        <v>366784.4900554404</v>
      </c>
      <c r="CG50" s="29" t="n">
        <v>296599.2964830172</v>
      </c>
      <c r="CH50" s="29" t="n">
        <v>673205.4667602013</v>
      </c>
      <c r="CI50" s="29" t="n">
        <v>71592.5785947133</v>
      </c>
      <c r="CJ50" s="29" t="n">
        <v>251285.0265719633</v>
      </c>
      <c r="CK50" s="29" t="n">
        <v>44320.35179136961</v>
      </c>
      <c r="CL50" s="29" t="n">
        <v>753316.5408794321</v>
      </c>
      <c r="CM50" s="29" t="n">
        <v>1535184.746548869</v>
      </c>
      <c r="CN50" s="29" t="n">
        <v>0</v>
      </c>
      <c r="CO50" s="29" t="n">
        <v>0</v>
      </c>
      <c r="CP50" s="29" t="n">
        <v>27444.08636522142</v>
      </c>
      <c r="CQ50" s="29" t="n">
        <v>601873.4031426734</v>
      </c>
      <c r="CR50" s="29" t="n">
        <v>683111.0884384906</v>
      </c>
      <c r="CS50" s="29" t="n">
        <v>248206.8858300693</v>
      </c>
      <c r="CT50" s="29" t="n">
        <v>226640.1818829403</v>
      </c>
      <c r="CU50" s="29" t="n">
        <v>2444646.003267209</v>
      </c>
      <c r="CV50" s="29" t="n">
        <v>12091377.35223422</v>
      </c>
      <c r="CW50" s="29" t="n">
        <v>229543.8402050402</v>
      </c>
      <c r="CX50" s="29" t="n">
        <v>129327.2047408991</v>
      </c>
      <c r="CY50" s="29" t="n">
        <v>1571547.904947465</v>
      </c>
      <c r="CZ50" s="29" t="n">
        <v>480601.6905607233</v>
      </c>
      <c r="DA50" s="29" t="n">
        <v>3303533.941984126</v>
      </c>
      <c r="DB50" s="29" t="n">
        <v>454236.8789713798</v>
      </c>
      <c r="DC50" s="29" t="n">
        <v>359019.1181497838</v>
      </c>
      <c r="DD50" s="29" t="n">
        <v>135442.1923626005</v>
      </c>
      <c r="DE50" s="29" t="n">
        <v>0</v>
      </c>
      <c r="DF50" s="29">
        <f>SUM(C50:DE50)</f>
        <v/>
      </c>
      <c r="DG50" s="29" t="n">
        <v>0</v>
      </c>
      <c r="DH50" s="29" t="n">
        <v>0</v>
      </c>
      <c r="DI50" s="29" t="n">
        <v>247714711.4793321</v>
      </c>
      <c r="DJ50" s="29" t="n">
        <v>0</v>
      </c>
      <c r="DK50" s="29">
        <f>SUM(DG50:DJ50)</f>
        <v/>
      </c>
      <c r="DL50" s="29">
        <f>DF50+DK50</f>
        <v/>
      </c>
    </row>
    <row r="51">
      <c r="A51" s="30" t="inlineStr">
        <is>
          <t>2411</t>
        </is>
      </c>
      <c r="B51" s="30" t="inlineStr">
        <is>
          <t>24111 - Fabricación de gases comprimidos y licuados. 24119-Fabricación de materias químicas orgánicas básicas, n.c.p.</t>
        </is>
      </c>
      <c r="C51" s="31" t="n">
        <v>1844433.366827921</v>
      </c>
      <c r="D51" s="31" t="n">
        <v>240331.8513034406</v>
      </c>
      <c r="E51" s="31" t="n">
        <v>214.3719429771979</v>
      </c>
      <c r="F51" s="31" t="n">
        <v>29870.68091248847</v>
      </c>
      <c r="G51" s="31" t="n">
        <v>438.5283484130117</v>
      </c>
      <c r="H51" s="31" t="n">
        <v>70207.24870694376</v>
      </c>
      <c r="I51" s="31" t="n">
        <v>464.8482310770862</v>
      </c>
      <c r="J51" s="31" t="n">
        <v>40608.2540156784</v>
      </c>
      <c r="K51" s="31" t="n">
        <v>36981.55950617306</v>
      </c>
      <c r="L51" s="31" t="n">
        <v>101615.58974642</v>
      </c>
      <c r="M51" s="31" t="n">
        <v>637678.3616376872</v>
      </c>
      <c r="N51" s="31" t="n">
        <v>202185.0399120219</v>
      </c>
      <c r="O51" s="31" t="n">
        <v>29331.46799982244</v>
      </c>
      <c r="P51" s="31" t="n">
        <v>267289.7176469121</v>
      </c>
      <c r="Q51" s="31" t="n">
        <v>244941.5459075797</v>
      </c>
      <c r="R51" s="31" t="n">
        <v>646757.4548065191</v>
      </c>
      <c r="S51" s="31" t="n">
        <v>170035.0116560827</v>
      </c>
      <c r="T51" s="31" t="n">
        <v>540346.1750795529</v>
      </c>
      <c r="U51" s="31" t="n">
        <v>231929.9774381423</v>
      </c>
      <c r="V51" s="31" t="n">
        <v>188898.4990644736</v>
      </c>
      <c r="W51" s="31" t="n">
        <v>448649.1394986041</v>
      </c>
      <c r="X51" s="31" t="n">
        <v>84415.40145513299</v>
      </c>
      <c r="Y51" s="31" t="n">
        <v>929293.168854492</v>
      </c>
      <c r="Z51" s="31" t="n">
        <v>65161.74343247319</v>
      </c>
      <c r="AA51" s="31" t="n">
        <v>235150.7758138113</v>
      </c>
      <c r="AB51" s="31" t="n">
        <v>18581.48473761019</v>
      </c>
      <c r="AC51" s="31" t="n">
        <v>2308451.70145951</v>
      </c>
      <c r="AD51" s="31" t="n">
        <v>65314.07753800201</v>
      </c>
      <c r="AE51" s="31" t="n">
        <v>1379226.807823298</v>
      </c>
      <c r="AF51" s="31" t="n">
        <v>446664.9943400322</v>
      </c>
      <c r="AG51" s="31" t="n">
        <v>2490359.905917449</v>
      </c>
      <c r="AH51" s="31" t="n">
        <v>427780.0391893032</v>
      </c>
      <c r="AI51" s="31" t="n">
        <v>149252.2639467631</v>
      </c>
      <c r="AJ51" s="31" t="n">
        <v>2005939.501073454</v>
      </c>
      <c r="AK51" s="31" t="n">
        <v>61212.19429198749</v>
      </c>
      <c r="AL51" s="31" t="n">
        <v>719310.3195972251</v>
      </c>
      <c r="AM51" s="31" t="n">
        <v>3159072.68471868</v>
      </c>
      <c r="AN51" s="31" t="n">
        <v>9205429.4034949</v>
      </c>
      <c r="AO51" s="31" t="n">
        <v>2951830.724169206</v>
      </c>
      <c r="AP51" s="31" t="n">
        <v>21869115.87971601</v>
      </c>
      <c r="AQ51" s="31" t="n">
        <v>19525322.30495963</v>
      </c>
      <c r="AR51" s="31" t="n">
        <v>2199116.402092144</v>
      </c>
      <c r="AS51" s="31" t="n">
        <v>2624604.195316012</v>
      </c>
      <c r="AT51" s="31" t="n">
        <v>881263.2828046525</v>
      </c>
      <c r="AU51" s="31" t="n">
        <v>886089.2792180596</v>
      </c>
      <c r="AV51" s="31" t="n">
        <v>2066233.455507329</v>
      </c>
      <c r="AW51" s="31" t="n">
        <v>1080010.680989376</v>
      </c>
      <c r="AX51" s="31" t="n">
        <v>641526.2710715098</v>
      </c>
      <c r="AY51" s="31" t="n">
        <v>120579.6414305157</v>
      </c>
      <c r="AZ51" s="31" t="n">
        <v>714060.1885671659</v>
      </c>
      <c r="BA51" s="31" t="n">
        <v>107314.7883925706</v>
      </c>
      <c r="BB51" s="31" t="n">
        <v>185111.626868198</v>
      </c>
      <c r="BC51" s="31" t="n">
        <v>84631.84133359585</v>
      </c>
      <c r="BD51" s="31" t="n">
        <v>41198.82352185143</v>
      </c>
      <c r="BE51" s="31" t="n">
        <v>24420.60869170074</v>
      </c>
      <c r="BF51" s="31" t="n">
        <v>123969.9147472591</v>
      </c>
      <c r="BG51" s="31" t="n">
        <v>173664.7051236775</v>
      </c>
      <c r="BH51" s="31" t="n">
        <v>36015.77920733841</v>
      </c>
      <c r="BI51" s="31" t="n">
        <v>11086.71279274173</v>
      </c>
      <c r="BJ51" s="31" t="n">
        <v>56507.53471025509</v>
      </c>
      <c r="BK51" s="31" t="n">
        <v>238875.2040640244</v>
      </c>
      <c r="BL51" s="31" t="n">
        <v>321836.5669820575</v>
      </c>
      <c r="BM51" s="31" t="n">
        <v>106816.02472943</v>
      </c>
      <c r="BN51" s="31" t="n">
        <v>346722.23564254</v>
      </c>
      <c r="BO51" s="31" t="n">
        <v>142371.6585384554</v>
      </c>
      <c r="BP51" s="31" t="n">
        <v>216264.8426928978</v>
      </c>
      <c r="BQ51" s="31" t="n">
        <v>24179.64269874723</v>
      </c>
      <c r="BR51" s="31" t="n">
        <v>812826.1646949456</v>
      </c>
      <c r="BS51" s="31" t="n">
        <v>800078.5966222854</v>
      </c>
      <c r="BT51" s="31" t="n">
        <v>71414.9049719288</v>
      </c>
      <c r="BU51" s="31" t="n">
        <v>206763.1669822162</v>
      </c>
      <c r="BV51" s="31" t="n">
        <v>280901.6761851994</v>
      </c>
      <c r="BW51" s="31" t="n">
        <v>142468.1526768956</v>
      </c>
      <c r="BX51" s="31" t="n">
        <v>23680.44759161639</v>
      </c>
      <c r="BY51" s="31" t="n">
        <v>172253.3367756303</v>
      </c>
      <c r="BZ51" s="31" t="n">
        <v>10509.16310160498</v>
      </c>
      <c r="CA51" s="31" t="n">
        <v>1073716.169688773</v>
      </c>
      <c r="CB51" s="31" t="n">
        <v>15102.78006008579</v>
      </c>
      <c r="CC51" s="31" t="n">
        <v>3178.604201968356</v>
      </c>
      <c r="CD51" s="31" t="n">
        <v>248865.195730121</v>
      </c>
      <c r="CE51" s="31" t="n">
        <v>118737.1254269921</v>
      </c>
      <c r="CF51" s="31" t="n">
        <v>11188.87602217761</v>
      </c>
      <c r="CG51" s="31" t="n">
        <v>69638.63842095104</v>
      </c>
      <c r="CH51" s="31" t="n">
        <v>960774.2947328096</v>
      </c>
      <c r="CI51" s="31" t="n">
        <v>7308.080889909015</v>
      </c>
      <c r="CJ51" s="31" t="n">
        <v>66994.64655183115</v>
      </c>
      <c r="CK51" s="31" t="n">
        <v>25089.79140433716</v>
      </c>
      <c r="CL51" s="31" t="n">
        <v>59542.08699305497</v>
      </c>
      <c r="CM51" s="31" t="n">
        <v>50814.29277118509</v>
      </c>
      <c r="CN51" s="31" t="n">
        <v>259664.8934418815</v>
      </c>
      <c r="CO51" s="31" t="n">
        <v>121876.6437676945</v>
      </c>
      <c r="CP51" s="31" t="n">
        <v>14812.2589647</v>
      </c>
      <c r="CQ51" s="31" t="n">
        <v>13888.85647695696</v>
      </c>
      <c r="CR51" s="31" t="n">
        <v>246412.3563264599</v>
      </c>
      <c r="CS51" s="31" t="n">
        <v>10700.65827707872</v>
      </c>
      <c r="CT51" s="31" t="n">
        <v>9770.877750122869</v>
      </c>
      <c r="CU51" s="31" t="n">
        <v>366875.267680334</v>
      </c>
      <c r="CV51" s="31" t="n">
        <v>521304.3243802779</v>
      </c>
      <c r="CW51" s="31" t="n">
        <v>31902.68625383685</v>
      </c>
      <c r="CX51" s="31" t="n">
        <v>20981.64854103714</v>
      </c>
      <c r="CY51" s="31" t="n">
        <v>4409264.495711198</v>
      </c>
      <c r="CZ51" s="31" t="n">
        <v>2251467.563236842</v>
      </c>
      <c r="DA51" s="31" t="n">
        <v>123751.7286589507</v>
      </c>
      <c r="DB51" s="31" t="n">
        <v>114915.4806712392</v>
      </c>
      <c r="DC51" s="31" t="n">
        <v>209639.4258835769</v>
      </c>
      <c r="DD51" s="31" t="n">
        <v>36662.18488423612</v>
      </c>
      <c r="DE51" s="31" t="n">
        <v>0</v>
      </c>
      <c r="DF51" s="31">
        <f>SUM(C51:DE51)</f>
        <v/>
      </c>
      <c r="DG51" s="31" t="n">
        <v>0</v>
      </c>
      <c r="DH51" s="31" t="n">
        <v>0</v>
      </c>
      <c r="DI51" s="31" t="n">
        <v>19696182.51281201</v>
      </c>
      <c r="DJ51" s="31" t="n">
        <v>0</v>
      </c>
      <c r="DK51" s="31">
        <f>SUM(DG51:DJ51)</f>
        <v/>
      </c>
      <c r="DL51" s="31">
        <f>DF51+DK51</f>
        <v/>
      </c>
    </row>
    <row r="52">
      <c r="A52" s="28" t="inlineStr">
        <is>
          <t>2412/2421</t>
        </is>
      </c>
      <c r="B52" s="28" t="inlineStr">
        <is>
          <t>24120 - Fabricación de abonos y compuestos de nitrógeno. 24210 - Fabricación de plaguicidas y productos químicos de uso agropecuario</t>
        </is>
      </c>
      <c r="C52" s="29" t="n">
        <v>41655637.19674886</v>
      </c>
      <c r="D52" s="29" t="n">
        <v>180612.5848815468</v>
      </c>
      <c r="E52" s="29" t="n">
        <v>0</v>
      </c>
      <c r="F52" s="29" t="n">
        <v>327944.8095229869</v>
      </c>
      <c r="G52" s="29" t="n">
        <v>17608.11694579091</v>
      </c>
      <c r="H52" s="29" t="n">
        <v>2753.72112898492</v>
      </c>
      <c r="I52" s="29" t="n">
        <v>0.1281566985617661</v>
      </c>
      <c r="J52" s="29" t="n">
        <v>48.04907093728871</v>
      </c>
      <c r="K52" s="29" t="n">
        <v>631.6784470803749</v>
      </c>
      <c r="L52" s="29" t="n">
        <v>5.953537985059699</v>
      </c>
      <c r="M52" s="29" t="n">
        <v>11.60875495301766</v>
      </c>
      <c r="N52" s="29" t="n">
        <v>13317.58701261507</v>
      </c>
      <c r="O52" s="29" t="n">
        <v>5150.815600042144</v>
      </c>
      <c r="P52" s="29" t="n">
        <v>2690.001516087708</v>
      </c>
      <c r="Q52" s="29" t="n">
        <v>40650.77760034324</v>
      </c>
      <c r="R52" s="29" t="n">
        <v>8229.707200645356</v>
      </c>
      <c r="S52" s="29" t="n">
        <v>6290.761782355652</v>
      </c>
      <c r="T52" s="29" t="n">
        <v>14928.22116355756</v>
      </c>
      <c r="U52" s="29" t="n">
        <v>18393.90558025013</v>
      </c>
      <c r="V52" s="29" t="n">
        <v>3678.838219417669</v>
      </c>
      <c r="W52" s="29" t="n">
        <v>14574.96111519702</v>
      </c>
      <c r="X52" s="29" t="n">
        <v>2188.344059247377</v>
      </c>
      <c r="Y52" s="29" t="n">
        <v>42351.92279966389</v>
      </c>
      <c r="Z52" s="29" t="n">
        <v>2663.604448515341</v>
      </c>
      <c r="AA52" s="29" t="n">
        <v>7129.889773168822</v>
      </c>
      <c r="AB52" s="29" t="n">
        <v>1125.581509744943</v>
      </c>
      <c r="AC52" s="29" t="n">
        <v>122344.7469829778</v>
      </c>
      <c r="AD52" s="29" t="n">
        <v>468.0240591848142</v>
      </c>
      <c r="AE52" s="29" t="n">
        <v>48806.79157076369</v>
      </c>
      <c r="AF52" s="29" t="n">
        <v>19276.21440857799</v>
      </c>
      <c r="AG52" s="29" t="n">
        <v>72507.73471947623</v>
      </c>
      <c r="AH52" s="29" t="n">
        <v>14105.29592867375</v>
      </c>
      <c r="AI52" s="29" t="n">
        <v>5296.857603408856</v>
      </c>
      <c r="AJ52" s="29" t="n">
        <v>14750.4029227718</v>
      </c>
      <c r="AK52" s="29" t="n">
        <v>4440.699719491165</v>
      </c>
      <c r="AL52" s="29" t="n">
        <v>19578.40504188394</v>
      </c>
      <c r="AM52" s="29" t="n">
        <v>61552.61095170194</v>
      </c>
      <c r="AN52" s="29" t="n">
        <v>338101.7433770819</v>
      </c>
      <c r="AO52" s="29" t="n">
        <v>1080602.576101909</v>
      </c>
      <c r="AP52" s="29" t="n">
        <v>179384.8991874236</v>
      </c>
      <c r="AQ52" s="29" t="n">
        <v>958476.5118509012</v>
      </c>
      <c r="AR52" s="29" t="n">
        <v>7253.387472264596</v>
      </c>
      <c r="AS52" s="29" t="n">
        <v>36564.05786509002</v>
      </c>
      <c r="AT52" s="29" t="n">
        <v>6626.338621841727</v>
      </c>
      <c r="AU52" s="29" t="n">
        <v>8207.29433588043</v>
      </c>
      <c r="AV52" s="29" t="n">
        <v>14305.79467073867</v>
      </c>
      <c r="AW52" s="29" t="n">
        <v>6376.042941112401</v>
      </c>
      <c r="AX52" s="29" t="n">
        <v>8920.862894425993</v>
      </c>
      <c r="AY52" s="29" t="n">
        <v>1831.84591580038</v>
      </c>
      <c r="AZ52" s="29" t="n">
        <v>20841.17618078578</v>
      </c>
      <c r="BA52" s="29" t="n">
        <v>2616.139370299838</v>
      </c>
      <c r="BB52" s="29" t="n">
        <v>9558.757282729299</v>
      </c>
      <c r="BC52" s="29" t="n">
        <v>1335.676142596325</v>
      </c>
      <c r="BD52" s="29" t="n">
        <v>157.6152086227253</v>
      </c>
      <c r="BE52" s="29" t="n">
        <v>1180.960441174051</v>
      </c>
      <c r="BF52" s="29" t="n">
        <v>1175.462373787988</v>
      </c>
      <c r="BG52" s="29" t="n">
        <v>582.68859709075</v>
      </c>
      <c r="BH52" s="29" t="n">
        <v>6529.189693558337</v>
      </c>
      <c r="BI52" s="29" t="n">
        <v>149.8158257250959</v>
      </c>
      <c r="BJ52" s="29" t="n">
        <v>1048.856470424617</v>
      </c>
      <c r="BK52" s="29" t="n">
        <v>24799.89477435626</v>
      </c>
      <c r="BL52" s="29" t="n">
        <v>1963.347283609995</v>
      </c>
      <c r="BM52" s="29" t="n">
        <v>878.0538641750823</v>
      </c>
      <c r="BN52" s="29" t="n">
        <v>3824.647897646035</v>
      </c>
      <c r="BO52" s="29" t="n">
        <v>6575.250584334515</v>
      </c>
      <c r="BP52" s="29" t="n">
        <v>5509.257840462013</v>
      </c>
      <c r="BQ52" s="29" t="n">
        <v>1634.601944744847</v>
      </c>
      <c r="BR52" s="29" t="n">
        <v>322.6178534245527</v>
      </c>
      <c r="BS52" s="29" t="n">
        <v>1200.507888846166</v>
      </c>
      <c r="BT52" s="29" t="n">
        <v>32709.46424831217</v>
      </c>
      <c r="BU52" s="29" t="n">
        <v>200172.7377595957</v>
      </c>
      <c r="BV52" s="29" t="n">
        <v>427463.7248994877</v>
      </c>
      <c r="BW52" s="29" t="n">
        <v>182.8492640515633</v>
      </c>
      <c r="BX52" s="29" t="n">
        <v>5662.076796211551</v>
      </c>
      <c r="BY52" s="29" t="n">
        <v>15331.20026319551</v>
      </c>
      <c r="BZ52" s="29" t="n">
        <v>45.27480161531732</v>
      </c>
      <c r="CA52" s="29" t="n">
        <v>1351.874096950719</v>
      </c>
      <c r="CB52" s="29" t="n">
        <v>465.6586931132191</v>
      </c>
      <c r="CC52" s="29" t="n">
        <v>27.71488025883163</v>
      </c>
      <c r="CD52" s="29" t="n">
        <v>416.7519253509202</v>
      </c>
      <c r="CE52" s="29" t="n">
        <v>457.8753626611665</v>
      </c>
      <c r="CF52" s="29" t="n">
        <v>1416.023971516253</v>
      </c>
      <c r="CG52" s="29" t="n">
        <v>10284.53609597351</v>
      </c>
      <c r="CH52" s="29" t="n">
        <v>245619.8172606537</v>
      </c>
      <c r="CI52" s="29" t="n">
        <v>884.5131415579992</v>
      </c>
      <c r="CJ52" s="29" t="n">
        <v>6562.615109445773</v>
      </c>
      <c r="CK52" s="29" t="n">
        <v>846.851009936605</v>
      </c>
      <c r="CL52" s="29" t="n">
        <v>3977.766321018342</v>
      </c>
      <c r="CM52" s="29" t="n">
        <v>1259.520284339733</v>
      </c>
      <c r="CN52" s="29" t="n">
        <v>11.15539958763317</v>
      </c>
      <c r="CO52" s="29" t="n">
        <v>6.971144337811673</v>
      </c>
      <c r="CP52" s="29" t="n">
        <v>13759.68977302307</v>
      </c>
      <c r="CQ52" s="29" t="n">
        <v>1063.944030988094</v>
      </c>
      <c r="CR52" s="29" t="n">
        <v>35178.42124301331</v>
      </c>
      <c r="CS52" s="29" t="n">
        <v>699.4507762079508</v>
      </c>
      <c r="CT52" s="29" t="n">
        <v>638.6754767410612</v>
      </c>
      <c r="CU52" s="29" t="n">
        <v>248737.1996505935</v>
      </c>
      <c r="CV52" s="29" t="n">
        <v>34075.60231842069</v>
      </c>
      <c r="CW52" s="29" t="n">
        <v>3824.573115993438</v>
      </c>
      <c r="CX52" s="29" t="n">
        <v>870.7274219065058</v>
      </c>
      <c r="CY52" s="29" t="n">
        <v>14256.80468606749</v>
      </c>
      <c r="CZ52" s="29" t="n">
        <v>30780.68617234822</v>
      </c>
      <c r="DA52" s="29" t="n">
        <v>1216.962756293927</v>
      </c>
      <c r="DB52" s="29" t="n">
        <v>294535.3261357067</v>
      </c>
      <c r="DC52" s="29" t="n">
        <v>54489.24788733044</v>
      </c>
      <c r="DD52" s="29" t="n">
        <v>50192.23296670878</v>
      </c>
      <c r="DE52" s="29" t="n">
        <v>0</v>
      </c>
      <c r="DF52" s="29">
        <f>SUM(C52:DE52)</f>
        <v/>
      </c>
      <c r="DG52" s="29" t="n">
        <v>0</v>
      </c>
      <c r="DH52" s="29" t="n">
        <v>0</v>
      </c>
      <c r="DI52" s="29" t="n">
        <v>4035457.934589647</v>
      </c>
      <c r="DJ52" s="29" t="n">
        <v>0</v>
      </c>
      <c r="DK52" s="29">
        <f>SUM(DG52:DJ52)</f>
        <v/>
      </c>
      <c r="DL52" s="29">
        <f>DF52+DK52</f>
        <v/>
      </c>
    </row>
    <row r="53">
      <c r="A53" s="30" t="inlineStr">
        <is>
          <t>24130</t>
        </is>
      </c>
      <c r="B53" s="30" t="inlineStr">
        <is>
          <t>24130 - Fabricación de plásticos en formas primarias y de caucho sintético</t>
        </is>
      </c>
      <c r="C53" s="31" t="n">
        <v>577063.9494550929</v>
      </c>
      <c r="D53" s="31" t="n">
        <v>58775.51853903454</v>
      </c>
      <c r="E53" s="31" t="n">
        <v>40.21474928840169</v>
      </c>
      <c r="F53" s="31" t="n">
        <v>7897.087977774233</v>
      </c>
      <c r="G53" s="31" t="n">
        <v>64.25056711503397</v>
      </c>
      <c r="H53" s="31" t="n">
        <v>45401.22793838834</v>
      </c>
      <c r="I53" s="31" t="n">
        <v>86.68433254361062</v>
      </c>
      <c r="J53" s="31" t="n">
        <v>34676.59228591576</v>
      </c>
      <c r="K53" s="31" t="n">
        <v>49743.14164604824</v>
      </c>
      <c r="L53" s="31" t="n">
        <v>14671.21924517984</v>
      </c>
      <c r="M53" s="31" t="n">
        <v>315080.1488236472</v>
      </c>
      <c r="N53" s="31" t="n">
        <v>153639.8987052719</v>
      </c>
      <c r="O53" s="31" t="n">
        <v>34484.3514300173</v>
      </c>
      <c r="P53" s="31" t="n">
        <v>136335.8008087635</v>
      </c>
      <c r="Q53" s="31" t="n">
        <v>289679.7131254246</v>
      </c>
      <c r="R53" s="31" t="n">
        <v>351169.6820412825</v>
      </c>
      <c r="S53" s="31" t="n">
        <v>42263.95585540518</v>
      </c>
      <c r="T53" s="31" t="n">
        <v>81514.24972394116</v>
      </c>
      <c r="U53" s="31" t="n">
        <v>82087.00403767992</v>
      </c>
      <c r="V53" s="31" t="n">
        <v>65610.71405956519</v>
      </c>
      <c r="W53" s="31" t="n">
        <v>85122.6029422572</v>
      </c>
      <c r="X53" s="31" t="n">
        <v>37100.15847282447</v>
      </c>
      <c r="Y53" s="31" t="n">
        <v>187364.2394821936</v>
      </c>
      <c r="Z53" s="31" t="n">
        <v>31929.70459749939</v>
      </c>
      <c r="AA53" s="31" t="n">
        <v>131003.0840935025</v>
      </c>
      <c r="AB53" s="31" t="n">
        <v>20381.78942535149</v>
      </c>
      <c r="AC53" s="31" t="n">
        <v>408226.5521125439</v>
      </c>
      <c r="AD53" s="31" t="n">
        <v>1252038.909853401</v>
      </c>
      <c r="AE53" s="31" t="n">
        <v>1544482.224952143</v>
      </c>
      <c r="AF53" s="31" t="n">
        <v>159982.8441434997</v>
      </c>
      <c r="AG53" s="31" t="n">
        <v>180575.4889485021</v>
      </c>
      <c r="AH53" s="31" t="n">
        <v>1047509.631544678</v>
      </c>
      <c r="AI53" s="31" t="n">
        <v>1165652.281579694</v>
      </c>
      <c r="AJ53" s="31" t="n">
        <v>2365733.814442816</v>
      </c>
      <c r="AK53" s="31" t="n">
        <v>116672.1113877607</v>
      </c>
      <c r="AL53" s="31" t="n">
        <v>967439.1343602584</v>
      </c>
      <c r="AM53" s="31" t="n">
        <v>1360940.024899404</v>
      </c>
      <c r="AN53" s="31" t="n">
        <v>3491775.19520044</v>
      </c>
      <c r="AO53" s="31" t="n">
        <v>1254782.609836649</v>
      </c>
      <c r="AP53" s="31" t="n">
        <v>14584855.20223117</v>
      </c>
      <c r="AQ53" s="31" t="n">
        <v>11605040.05821207</v>
      </c>
      <c r="AR53" s="31" t="n">
        <v>5382025.375991438</v>
      </c>
      <c r="AS53" s="31" t="n">
        <v>52431407.65280741</v>
      </c>
      <c r="AT53" s="31" t="n">
        <v>390439.8317098044</v>
      </c>
      <c r="AU53" s="31" t="n">
        <v>726136.6916854733</v>
      </c>
      <c r="AV53" s="31" t="n">
        <v>79245.89636247975</v>
      </c>
      <c r="AW53" s="31" t="n">
        <v>95749.56416048412</v>
      </c>
      <c r="AX53" s="31" t="n">
        <v>176325.5045593852</v>
      </c>
      <c r="AY53" s="31" t="n">
        <v>178960.9231109011</v>
      </c>
      <c r="AZ53" s="31" t="n">
        <v>1239374.137663387</v>
      </c>
      <c r="BA53" s="31" t="n">
        <v>266878.3561989705</v>
      </c>
      <c r="BB53" s="31" t="n">
        <v>268602.4736949654</v>
      </c>
      <c r="BC53" s="31" t="n">
        <v>1161343.546248969</v>
      </c>
      <c r="BD53" s="31" t="n">
        <v>1125133.578836817</v>
      </c>
      <c r="BE53" s="31" t="n">
        <v>275007.9324417221</v>
      </c>
      <c r="BF53" s="31" t="n">
        <v>1744205.192897538</v>
      </c>
      <c r="BG53" s="31" t="n">
        <v>474452.7426335688</v>
      </c>
      <c r="BH53" s="31" t="n">
        <v>352827.8451495983</v>
      </c>
      <c r="BI53" s="31" t="n">
        <v>294282.5226709927</v>
      </c>
      <c r="BJ53" s="31" t="n">
        <v>670084.0311697909</v>
      </c>
      <c r="BK53" s="31" t="n">
        <v>418103.0477732809</v>
      </c>
      <c r="BL53" s="31" t="n">
        <v>879922.8292181141</v>
      </c>
      <c r="BM53" s="31" t="n">
        <v>144860.2078296288</v>
      </c>
      <c r="BN53" s="31" t="n">
        <v>1727182.057417039</v>
      </c>
      <c r="BO53" s="31" t="n">
        <v>243279.979304967</v>
      </c>
      <c r="BP53" s="31" t="n">
        <v>59299.45619421068</v>
      </c>
      <c r="BQ53" s="31" t="n">
        <v>10161.73614176682</v>
      </c>
      <c r="BR53" s="31" t="n">
        <v>458206.1590646208</v>
      </c>
      <c r="BS53" s="31" t="n">
        <v>1543479.014395216</v>
      </c>
      <c r="BT53" s="31" t="n">
        <v>123857.8114318388</v>
      </c>
      <c r="BU53" s="31" t="n">
        <v>130341.8175314222</v>
      </c>
      <c r="BV53" s="31" t="n">
        <v>311551.5464415195</v>
      </c>
      <c r="BW53" s="31" t="n">
        <v>28.48608997454228</v>
      </c>
      <c r="BX53" s="31" t="n">
        <v>15704.98430063869</v>
      </c>
      <c r="BY53" s="31" t="n">
        <v>126555.807541522</v>
      </c>
      <c r="BZ53" s="31" t="n">
        <v>4942.598585554277</v>
      </c>
      <c r="CA53" s="31" t="n">
        <v>526201.4010293693</v>
      </c>
      <c r="CB53" s="31" t="n">
        <v>29140.84870654435</v>
      </c>
      <c r="CC53" s="31" t="n">
        <v>2270.816665411521</v>
      </c>
      <c r="CD53" s="31" t="n">
        <v>99083.75454342662</v>
      </c>
      <c r="CE53" s="31" t="n">
        <v>107837.8723580914</v>
      </c>
      <c r="CF53" s="31" t="n">
        <v>6434.183791528832</v>
      </c>
      <c r="CG53" s="31" t="n">
        <v>38931.36112037588</v>
      </c>
      <c r="CH53" s="31" t="n">
        <v>692517.0343974971</v>
      </c>
      <c r="CI53" s="31" t="n">
        <v>5200.473707171594</v>
      </c>
      <c r="CJ53" s="31" t="n">
        <v>45751.46910507065</v>
      </c>
      <c r="CK53" s="31" t="n">
        <v>21471.7476089291</v>
      </c>
      <c r="CL53" s="31" t="n">
        <v>33504.46240317004</v>
      </c>
      <c r="CM53" s="31" t="n">
        <v>37587.96438941055</v>
      </c>
      <c r="CN53" s="31" t="n">
        <v>333152.4957930677</v>
      </c>
      <c r="CO53" s="31" t="n">
        <v>154350.7081666563</v>
      </c>
      <c r="CP53" s="31" t="n">
        <v>7110.12293334329</v>
      </c>
      <c r="CQ53" s="31" t="n">
        <v>6565.989144209932</v>
      </c>
      <c r="CR53" s="31" t="n">
        <v>141509.3892028596</v>
      </c>
      <c r="CS53" s="31" t="n">
        <v>4169.478981181974</v>
      </c>
      <c r="CT53" s="31" t="n">
        <v>3807.192824211726</v>
      </c>
      <c r="CU53" s="31" t="n">
        <v>143502.6743873784</v>
      </c>
      <c r="CV53" s="31" t="n">
        <v>202972.857718025</v>
      </c>
      <c r="CW53" s="31" t="n">
        <v>20287.8226998155</v>
      </c>
      <c r="CX53" s="31" t="n">
        <v>16265.45834188562</v>
      </c>
      <c r="CY53" s="31" t="n">
        <v>1045096.55271825</v>
      </c>
      <c r="CZ53" s="31" t="n">
        <v>75542.12459039038</v>
      </c>
      <c r="DA53" s="31" t="n">
        <v>62664.91667593369</v>
      </c>
      <c r="DB53" s="31" t="n">
        <v>33949.94156766986</v>
      </c>
      <c r="DC53" s="31" t="n">
        <v>153348.0797416564</v>
      </c>
      <c r="DD53" s="31" t="n">
        <v>4653.807369628115</v>
      </c>
      <c r="DE53" s="31" t="n">
        <v>0</v>
      </c>
      <c r="DF53" s="31">
        <f>SUM(C53:DE53)</f>
        <v/>
      </c>
      <c r="DG53" s="31" t="n">
        <v>0</v>
      </c>
      <c r="DH53" s="31" t="n">
        <v>0</v>
      </c>
      <c r="DI53" s="31" t="n">
        <v>14112231.60148281</v>
      </c>
      <c r="DJ53" s="31" t="n">
        <v>0</v>
      </c>
      <c r="DK53" s="31">
        <f>SUM(DG53:DJ53)</f>
        <v/>
      </c>
      <c r="DL53" s="31">
        <f>DF53+DK53</f>
        <v/>
      </c>
    </row>
    <row r="54">
      <c r="A54" s="28" t="inlineStr">
        <is>
          <t>242</t>
        </is>
      </c>
      <c r="B54" s="28" t="inlineStr">
        <is>
          <t>Fabricación de otros productos químicos (excl 24210 - Fabricación de plaguicidas y productos químicos de uso agropecuario)</t>
        </is>
      </c>
      <c r="C54" s="29" t="n">
        <v>18277473.60401006</v>
      </c>
      <c r="D54" s="29" t="n">
        <v>1480561.213735324</v>
      </c>
      <c r="E54" s="29" t="n">
        <v>60.20690143843726</v>
      </c>
      <c r="F54" s="29" t="n">
        <v>186414.7707731772</v>
      </c>
      <c r="G54" s="29" t="n">
        <v>28553.48905288575</v>
      </c>
      <c r="H54" s="29" t="n">
        <v>488944.1804273358</v>
      </c>
      <c r="I54" s="29" t="n">
        <v>36.97836629749575</v>
      </c>
      <c r="J54" s="29" t="n">
        <v>72315.92560140371</v>
      </c>
      <c r="K54" s="29" t="n">
        <v>21677.75171268674</v>
      </c>
      <c r="L54" s="29" t="n">
        <v>1358471.351353582</v>
      </c>
      <c r="M54" s="29" t="n">
        <v>310556.958266878</v>
      </c>
      <c r="N54" s="29" t="n">
        <v>416046.0066918632</v>
      </c>
      <c r="O54" s="29" t="n">
        <v>182191.7831402367</v>
      </c>
      <c r="P54" s="29" t="n">
        <v>196708.4772931618</v>
      </c>
      <c r="Q54" s="29" t="n">
        <v>1314212.872067376</v>
      </c>
      <c r="R54" s="29" t="n">
        <v>1119348.647832683</v>
      </c>
      <c r="S54" s="29" t="n">
        <v>172984.9004986392</v>
      </c>
      <c r="T54" s="29" t="n">
        <v>2717022.186911377</v>
      </c>
      <c r="U54" s="29" t="n">
        <v>512809.4251630923</v>
      </c>
      <c r="V54" s="29" t="n">
        <v>407492.5540650596</v>
      </c>
      <c r="W54" s="29" t="n">
        <v>698838.8294066713</v>
      </c>
      <c r="X54" s="29" t="n">
        <v>36767.94372782542</v>
      </c>
      <c r="Y54" s="29" t="n">
        <v>1227327.061739013</v>
      </c>
      <c r="Z54" s="29" t="n">
        <v>132021.3314920833</v>
      </c>
      <c r="AA54" s="29" t="n">
        <v>430566.8189291298</v>
      </c>
      <c r="AB54" s="29" t="n">
        <v>25265.89693864896</v>
      </c>
      <c r="AC54" s="29" t="n">
        <v>1002768.558531598</v>
      </c>
      <c r="AD54" s="29" t="n">
        <v>250128.118247687</v>
      </c>
      <c r="AE54" s="29" t="n">
        <v>4022527.286835539</v>
      </c>
      <c r="AF54" s="29" t="n">
        <v>512492.5995017543</v>
      </c>
      <c r="AG54" s="29" t="n">
        <v>554370.9703204877</v>
      </c>
      <c r="AH54" s="29" t="n">
        <v>321446.2600006933</v>
      </c>
      <c r="AI54" s="29" t="n">
        <v>1032016.105864448</v>
      </c>
      <c r="AJ54" s="29" t="n">
        <v>2696468.877894611</v>
      </c>
      <c r="AK54" s="29" t="n">
        <v>914211.6555532678</v>
      </c>
      <c r="AL54" s="29" t="n">
        <v>2617978.400547497</v>
      </c>
      <c r="AM54" s="29" t="n">
        <v>4027880.223973522</v>
      </c>
      <c r="AN54" s="29" t="n">
        <v>3072757.214710137</v>
      </c>
      <c r="AO54" s="29" t="n">
        <v>1685169.05332731</v>
      </c>
      <c r="AP54" s="29" t="n">
        <v>3604649.581407022</v>
      </c>
      <c r="AQ54" s="29" t="n">
        <v>28560886.34744408</v>
      </c>
      <c r="AR54" s="29" t="n">
        <v>879768.5228997503</v>
      </c>
      <c r="AS54" s="29" t="n">
        <v>1597767.353767804</v>
      </c>
      <c r="AT54" s="29" t="n">
        <v>184460.8876555215</v>
      </c>
      <c r="AU54" s="29" t="n">
        <v>1757465.426126397</v>
      </c>
      <c r="AV54" s="29" t="n">
        <v>1176602.80258771</v>
      </c>
      <c r="AW54" s="29" t="n">
        <v>702720.8888272259</v>
      </c>
      <c r="AX54" s="29" t="n">
        <v>703214.3222061974</v>
      </c>
      <c r="AY54" s="29" t="n">
        <v>432935.6723003682</v>
      </c>
      <c r="AZ54" s="29" t="n">
        <v>1489060.187227788</v>
      </c>
      <c r="BA54" s="29" t="n">
        <v>292048.5261908779</v>
      </c>
      <c r="BB54" s="29" t="n">
        <v>877724.5212041668</v>
      </c>
      <c r="BC54" s="29" t="n">
        <v>536062.8203410202</v>
      </c>
      <c r="BD54" s="29" t="n">
        <v>19698.25963087022</v>
      </c>
      <c r="BE54" s="29" t="n">
        <v>241083.1339266657</v>
      </c>
      <c r="BF54" s="29" t="n">
        <v>140920.121621349</v>
      </c>
      <c r="BG54" s="29" t="n">
        <v>121235.7970402073</v>
      </c>
      <c r="BH54" s="29" t="n">
        <v>658568.0706570501</v>
      </c>
      <c r="BI54" s="29" t="n">
        <v>13669.87380212968</v>
      </c>
      <c r="BJ54" s="29" t="n">
        <v>114148.4677492722</v>
      </c>
      <c r="BK54" s="29" t="n">
        <v>1416269.009538262</v>
      </c>
      <c r="BL54" s="29" t="n">
        <v>798668.6164182726</v>
      </c>
      <c r="BM54" s="29" t="n">
        <v>165595.457822483</v>
      </c>
      <c r="BN54" s="29" t="n">
        <v>1227968.721734097</v>
      </c>
      <c r="BO54" s="29" t="n">
        <v>186506.8966597406</v>
      </c>
      <c r="BP54" s="29" t="n">
        <v>97416.47314677216</v>
      </c>
      <c r="BQ54" s="29" t="n">
        <v>28946.45690839205</v>
      </c>
      <c r="BR54" s="29" t="n">
        <v>82106.20239465348</v>
      </c>
      <c r="BS54" s="29" t="n">
        <v>9017404.33121793</v>
      </c>
      <c r="BT54" s="29" t="n">
        <v>848354.0385268818</v>
      </c>
      <c r="BU54" s="29" t="n">
        <v>517853.8281368369</v>
      </c>
      <c r="BV54" s="29" t="n">
        <v>1445458.837274148</v>
      </c>
      <c r="BW54" s="29" t="n">
        <v>35022.53429705427</v>
      </c>
      <c r="BX54" s="29" t="n">
        <v>397944.8834733175</v>
      </c>
      <c r="BY54" s="29" t="n">
        <v>1338265.193251818</v>
      </c>
      <c r="BZ54" s="29" t="n">
        <v>33406.8251092894</v>
      </c>
      <c r="CA54" s="29" t="n">
        <v>2310540.599855147</v>
      </c>
      <c r="CB54" s="29" t="n">
        <v>242251.1215491039</v>
      </c>
      <c r="CC54" s="29" t="n">
        <v>29804.94019531207</v>
      </c>
      <c r="CD54" s="29" t="n">
        <v>518697.2597622178</v>
      </c>
      <c r="CE54" s="29" t="n">
        <v>85635.22151571207</v>
      </c>
      <c r="CF54" s="29" t="n">
        <v>26389.39089629608</v>
      </c>
      <c r="CG54" s="29" t="n">
        <v>190699.9104012192</v>
      </c>
      <c r="CH54" s="29" t="n">
        <v>3720967.012846127</v>
      </c>
      <c r="CI54" s="29" t="n">
        <v>35349.66984989161</v>
      </c>
      <c r="CJ54" s="29" t="n">
        <v>147344.7571759174</v>
      </c>
      <c r="CK54" s="29" t="n">
        <v>177507.8392095459</v>
      </c>
      <c r="CL54" s="29" t="n">
        <v>348508.9007306006</v>
      </c>
      <c r="CM54" s="29" t="n">
        <v>291459.1500787269</v>
      </c>
      <c r="CN54" s="29" t="n">
        <v>3588941.639090843</v>
      </c>
      <c r="CO54" s="29" t="n">
        <v>1662193.607737574</v>
      </c>
      <c r="CP54" s="29" t="n">
        <v>425667.0451920131</v>
      </c>
      <c r="CQ54" s="29" t="n">
        <v>63203.79701695441</v>
      </c>
      <c r="CR54" s="29" t="n">
        <v>661964.1986848561</v>
      </c>
      <c r="CS54" s="29" t="n">
        <v>57236.02196040683</v>
      </c>
      <c r="CT54" s="29" t="n">
        <v>52262.78225110807</v>
      </c>
      <c r="CU54" s="29" t="n">
        <v>3621641.598859058</v>
      </c>
      <c r="CV54" s="29" t="n">
        <v>2781112.811189949</v>
      </c>
      <c r="CW54" s="29" t="n">
        <v>582288.4787130503</v>
      </c>
      <c r="CX54" s="29" t="n">
        <v>362187.858437231</v>
      </c>
      <c r="CY54" s="29" t="n">
        <v>24963610.1396355</v>
      </c>
      <c r="CZ54" s="29" t="n">
        <v>10235630.91077183</v>
      </c>
      <c r="DA54" s="29" t="n">
        <v>58395.47989007667</v>
      </c>
      <c r="DB54" s="29" t="n">
        <v>2857152.814522576</v>
      </c>
      <c r="DC54" s="29" t="n">
        <v>900752.8315746943</v>
      </c>
      <c r="DD54" s="29" t="n">
        <v>2216921.986585719</v>
      </c>
      <c r="DE54" s="29" t="n">
        <v>0</v>
      </c>
      <c r="DF54" s="29">
        <f>SUM(C54:DE54)</f>
        <v/>
      </c>
      <c r="DG54" s="29" t="n">
        <v>0</v>
      </c>
      <c r="DH54" s="29" t="n">
        <v>0</v>
      </c>
      <c r="DI54" s="29" t="n">
        <v>247705564.0352677</v>
      </c>
      <c r="DJ54" s="29" t="n">
        <v>0</v>
      </c>
      <c r="DK54" s="29">
        <f>SUM(DG54:DJ54)</f>
        <v/>
      </c>
      <c r="DL54" s="29">
        <f>DF54+DK54</f>
        <v/>
      </c>
    </row>
    <row r="55">
      <c r="A55" s="30" t="inlineStr">
        <is>
          <t>251</t>
        </is>
      </c>
      <c r="B55" s="30" t="inlineStr">
        <is>
          <t>Fabricación de productos de caucho</t>
        </is>
      </c>
      <c r="C55" s="31" t="n">
        <v>1356385.436935668</v>
      </c>
      <c r="D55" s="31" t="n">
        <v>97277.66508665243</v>
      </c>
      <c r="E55" s="31" t="n">
        <v>4.647153737770284</v>
      </c>
      <c r="F55" s="31" t="n">
        <v>1582.302200748802</v>
      </c>
      <c r="G55" s="31" t="n">
        <v>36.3737354443707</v>
      </c>
      <c r="H55" s="31" t="n">
        <v>1242.954202361084</v>
      </c>
      <c r="I55" s="31" t="n">
        <v>2.602593888668016</v>
      </c>
      <c r="J55" s="31" t="n">
        <v>1619039.469458282</v>
      </c>
      <c r="K55" s="31" t="n">
        <v>2285728.267066515</v>
      </c>
      <c r="L55" s="31" t="n">
        <v>4101.274548127833</v>
      </c>
      <c r="M55" s="31" t="n">
        <v>6982.636627824193</v>
      </c>
      <c r="N55" s="31" t="n">
        <v>124178.1127037249</v>
      </c>
      <c r="O55" s="31" t="n">
        <v>28077.13791608006</v>
      </c>
      <c r="P55" s="31" t="n">
        <v>10590.57559583087</v>
      </c>
      <c r="Q55" s="31" t="n">
        <v>210075.0185445123</v>
      </c>
      <c r="R55" s="31" t="n">
        <v>41171.12990618205</v>
      </c>
      <c r="S55" s="31" t="n">
        <v>32869.58996191871</v>
      </c>
      <c r="T55" s="31" t="n">
        <v>60475.45359243662</v>
      </c>
      <c r="U55" s="31" t="n">
        <v>39304.26299115</v>
      </c>
      <c r="V55" s="31" t="n">
        <v>21505.99576929566</v>
      </c>
      <c r="W55" s="31" t="n">
        <v>16166.69633178302</v>
      </c>
      <c r="X55" s="31" t="n">
        <v>9288.737185245578</v>
      </c>
      <c r="Y55" s="31" t="n">
        <v>93804.36843023592</v>
      </c>
      <c r="Z55" s="31" t="n">
        <v>11990.98237669976</v>
      </c>
      <c r="AA55" s="31" t="n">
        <v>57659.39857031415</v>
      </c>
      <c r="AB55" s="31" t="n">
        <v>9020.316326956543</v>
      </c>
      <c r="AC55" s="31" t="n">
        <v>43128.55231139935</v>
      </c>
      <c r="AD55" s="31" t="n">
        <v>1874.613917818971</v>
      </c>
      <c r="AE55" s="31" t="n">
        <v>27305.93968202129</v>
      </c>
      <c r="AF55" s="31" t="n">
        <v>69981.44991667617</v>
      </c>
      <c r="AG55" s="31" t="n">
        <v>9951.404914262514</v>
      </c>
      <c r="AH55" s="31" t="n">
        <v>42993.60695042872</v>
      </c>
      <c r="AI55" s="31" t="n">
        <v>39620.59975436436</v>
      </c>
      <c r="AJ55" s="31" t="n">
        <v>47790.17809012708</v>
      </c>
      <c r="AK55" s="31" t="n">
        <v>21383.32955672712</v>
      </c>
      <c r="AL55" s="31" t="n">
        <v>14717.99613420472</v>
      </c>
      <c r="AM55" s="31" t="n">
        <v>303524.8273484815</v>
      </c>
      <c r="AN55" s="31" t="n">
        <v>42748.04828039178</v>
      </c>
      <c r="AO55" s="31" t="n">
        <v>12244.41097646724</v>
      </c>
      <c r="AP55" s="31" t="n">
        <v>48683.13797719422</v>
      </c>
      <c r="AQ55" s="31" t="n">
        <v>191109.7980699053</v>
      </c>
      <c r="AR55" s="31" t="n">
        <v>768259.503445663</v>
      </c>
      <c r="AS55" s="31" t="n">
        <v>180870.1298144624</v>
      </c>
      <c r="AT55" s="31" t="n">
        <v>628.7657927476949</v>
      </c>
      <c r="AU55" s="31" t="n">
        <v>94742.5563666228</v>
      </c>
      <c r="AV55" s="31" t="n">
        <v>116792.2140184961</v>
      </c>
      <c r="AW55" s="31" t="n">
        <v>19265.51516667062</v>
      </c>
      <c r="AX55" s="31" t="n">
        <v>23862.34763699493</v>
      </c>
      <c r="AY55" s="31" t="n">
        <v>54495.31660762223</v>
      </c>
      <c r="AZ55" s="31" t="n">
        <v>449338.5719222725</v>
      </c>
      <c r="BA55" s="31" t="n">
        <v>271539.1548254872</v>
      </c>
      <c r="BB55" s="31" t="n">
        <v>2701329.60451798</v>
      </c>
      <c r="BC55" s="31" t="n">
        <v>197806.3854311575</v>
      </c>
      <c r="BD55" s="31" t="n">
        <v>5188.51556901908</v>
      </c>
      <c r="BE55" s="31" t="n">
        <v>29254.50128650629</v>
      </c>
      <c r="BF55" s="31" t="n">
        <v>47695.10519298698</v>
      </c>
      <c r="BG55" s="31" t="n">
        <v>42706.25201332987</v>
      </c>
      <c r="BH55" s="31" t="n">
        <v>20552.50499237433</v>
      </c>
      <c r="BI55" s="31" t="n">
        <v>922.3546955907123</v>
      </c>
      <c r="BJ55" s="31" t="n">
        <v>39296.90681044508</v>
      </c>
      <c r="BK55" s="31" t="n">
        <v>6774073.594459549</v>
      </c>
      <c r="BL55" s="31" t="n">
        <v>405331.6373391006</v>
      </c>
      <c r="BM55" s="31" t="n">
        <v>260665.4130107112</v>
      </c>
      <c r="BN55" s="31" t="n">
        <v>114117.0230832156</v>
      </c>
      <c r="BO55" s="31" t="n">
        <v>104979.7440964349</v>
      </c>
      <c r="BP55" s="31" t="n">
        <v>19074.90460805819</v>
      </c>
      <c r="BQ55" s="31" t="n">
        <v>511.3464239851053</v>
      </c>
      <c r="BR55" s="31" t="n">
        <v>284979.9636171438</v>
      </c>
      <c r="BS55" s="31" t="n">
        <v>2297238.464528733</v>
      </c>
      <c r="BT55" s="31" t="n">
        <v>3075497.081636017</v>
      </c>
      <c r="BU55" s="31" t="n">
        <v>726524.9145358331</v>
      </c>
      <c r="BV55" s="31" t="n">
        <v>855405.379805246</v>
      </c>
      <c r="BW55" s="31" t="n">
        <v>4613.374539685439</v>
      </c>
      <c r="BX55" s="31" t="n">
        <v>31684.04106431108</v>
      </c>
      <c r="BY55" s="31" t="n">
        <v>81366.95498674264</v>
      </c>
      <c r="BZ55" s="31" t="n">
        <v>82.67148481744564</v>
      </c>
      <c r="CA55" s="31" t="n">
        <v>8879896.877619116</v>
      </c>
      <c r="CB55" s="31" t="n">
        <v>90478.2578881058</v>
      </c>
      <c r="CC55" s="31" t="n">
        <v>16.08737497523071</v>
      </c>
      <c r="CD55" s="31" t="n">
        <v>1454090.216970515</v>
      </c>
      <c r="CE55" s="31" t="n">
        <v>3630283.13065055</v>
      </c>
      <c r="CF55" s="31" t="n">
        <v>15208.87143724946</v>
      </c>
      <c r="CG55" s="31" t="n">
        <v>48903.65396200709</v>
      </c>
      <c r="CH55" s="31" t="n">
        <v>1165261.632471954</v>
      </c>
      <c r="CI55" s="31" t="n">
        <v>3201.156850860993</v>
      </c>
      <c r="CJ55" s="31" t="n">
        <v>8004.017039168745</v>
      </c>
      <c r="CK55" s="31" t="n">
        <v>1597.640122385982</v>
      </c>
      <c r="CL55" s="31" t="n">
        <v>48488.57921408042</v>
      </c>
      <c r="CM55" s="31" t="n">
        <v>30311.57346423489</v>
      </c>
      <c r="CN55" s="31" t="n">
        <v>354.5366015881143</v>
      </c>
      <c r="CO55" s="31" t="n">
        <v>211.7325568608616</v>
      </c>
      <c r="CP55" s="31" t="n">
        <v>44907.3586697093</v>
      </c>
      <c r="CQ55" s="31" t="n">
        <v>48130.59824635772</v>
      </c>
      <c r="CR55" s="31" t="n">
        <v>172750.296217955</v>
      </c>
      <c r="CS55" s="31" t="n">
        <v>15734.50205127177</v>
      </c>
      <c r="CT55" s="31" t="n">
        <v>14367.33068388436</v>
      </c>
      <c r="CU55" s="31" t="n">
        <v>252336.3672316193</v>
      </c>
      <c r="CV55" s="31" t="n">
        <v>766504.9304139116</v>
      </c>
      <c r="CW55" s="31" t="n">
        <v>18448.08388316473</v>
      </c>
      <c r="CX55" s="31" t="n">
        <v>7937.203954720624</v>
      </c>
      <c r="CY55" s="31" t="n">
        <v>968835.7616631887</v>
      </c>
      <c r="CZ55" s="31" t="n">
        <v>182900.0374717719</v>
      </c>
      <c r="DA55" s="31" t="n">
        <v>487462.3059326432</v>
      </c>
      <c r="DB55" s="31" t="n">
        <v>39912.71682518863</v>
      </c>
      <c r="DC55" s="31" t="n">
        <v>238394.9535768339</v>
      </c>
      <c r="DD55" s="31" t="n">
        <v>10901.72552560385</v>
      </c>
      <c r="DE55" s="31" t="n">
        <v>0</v>
      </c>
      <c r="DF55" s="31">
        <f>SUM(C55:DE55)</f>
        <v/>
      </c>
      <c r="DG55" s="31" t="n">
        <v>0</v>
      </c>
      <c r="DH55" s="31" t="n">
        <v>0</v>
      </c>
      <c r="DI55" s="31" t="n">
        <v>8809852.196057476</v>
      </c>
      <c r="DJ55" s="31" t="n">
        <v>0</v>
      </c>
      <c r="DK55" s="31">
        <f>SUM(DG55:DJ55)</f>
        <v/>
      </c>
      <c r="DL55" s="31">
        <f>DF55+DK55</f>
        <v/>
      </c>
    </row>
    <row r="56">
      <c r="A56" s="28" t="inlineStr">
        <is>
          <t>252</t>
        </is>
      </c>
      <c r="B56" s="28" t="inlineStr">
        <is>
          <t>25201 - Fabricación de envases plásticos. 25209 - Fabricación de productos plásticos en formas básicas y artículos de plástico n.c.p., excepto muebles</t>
        </is>
      </c>
      <c r="C56" s="29" t="n">
        <v>1925790.635045158</v>
      </c>
      <c r="D56" s="29" t="n">
        <v>53109.88250117844</v>
      </c>
      <c r="E56" s="29" t="n">
        <v>6.882779408790561</v>
      </c>
      <c r="F56" s="29" t="n">
        <v>1056535.256963534</v>
      </c>
      <c r="G56" s="29" t="n">
        <v>53.87220037558512</v>
      </c>
      <c r="H56" s="29" t="n">
        <v>602692.7113138881</v>
      </c>
      <c r="I56" s="29" t="n">
        <v>23.06952839663829</v>
      </c>
      <c r="J56" s="29" t="n">
        <v>133116.6684177932</v>
      </c>
      <c r="K56" s="29" t="n">
        <v>45715.02049265671</v>
      </c>
      <c r="L56" s="29" t="n">
        <v>99792.01622778387</v>
      </c>
      <c r="M56" s="29" t="n">
        <v>20524.64569807219</v>
      </c>
      <c r="N56" s="29" t="n">
        <v>2000085.191475529</v>
      </c>
      <c r="O56" s="29" t="n">
        <v>55472.97741876798</v>
      </c>
      <c r="P56" s="29" t="n">
        <v>789248.4572140775</v>
      </c>
      <c r="Q56" s="29" t="n">
        <v>1765701.516439616</v>
      </c>
      <c r="R56" s="29" t="n">
        <v>5583026.467382711</v>
      </c>
      <c r="S56" s="29" t="n">
        <v>831529.6813153923</v>
      </c>
      <c r="T56" s="29" t="n">
        <v>1398938.896284158</v>
      </c>
      <c r="U56" s="29" t="n">
        <v>4291833.747446617</v>
      </c>
      <c r="V56" s="29" t="n">
        <v>424317.1148325705</v>
      </c>
      <c r="W56" s="29" t="n">
        <v>2788583.645419179</v>
      </c>
      <c r="X56" s="29" t="n">
        <v>965335.5515984516</v>
      </c>
      <c r="Y56" s="29" t="n">
        <v>2966467.789042865</v>
      </c>
      <c r="Z56" s="29" t="n">
        <v>329419.8305484024</v>
      </c>
      <c r="AA56" s="29" t="n">
        <v>1209976.352161006</v>
      </c>
      <c r="AB56" s="29" t="n">
        <v>3670142.471317408</v>
      </c>
      <c r="AC56" s="29" t="n">
        <v>12671439.43579676</v>
      </c>
      <c r="AD56" s="29" t="n">
        <v>138048.6033851813</v>
      </c>
      <c r="AE56" s="29" t="n">
        <v>635067.7772467892</v>
      </c>
      <c r="AF56" s="29" t="n">
        <v>686164.2136123382</v>
      </c>
      <c r="AG56" s="29" t="n">
        <v>45762.93290027003</v>
      </c>
      <c r="AH56" s="29" t="n">
        <v>251059.1014728935</v>
      </c>
      <c r="AI56" s="29" t="n">
        <v>316669.485347216</v>
      </c>
      <c r="AJ56" s="29" t="n">
        <v>3297487.000359982</v>
      </c>
      <c r="AK56" s="29" t="n">
        <v>298094.7725299057</v>
      </c>
      <c r="AL56" s="29" t="n">
        <v>2141931.62265276</v>
      </c>
      <c r="AM56" s="29" t="n">
        <v>658720.0645768909</v>
      </c>
      <c r="AN56" s="29" t="n">
        <v>395002.2875234992</v>
      </c>
      <c r="AO56" s="29" t="n">
        <v>1004937.788813038</v>
      </c>
      <c r="AP56" s="29" t="n">
        <v>2047419.407218966</v>
      </c>
      <c r="AQ56" s="29" t="n">
        <v>20118674.15932083</v>
      </c>
      <c r="AR56" s="29" t="n">
        <v>261008.9453811793</v>
      </c>
      <c r="AS56" s="29" t="n">
        <v>7950384.75120605</v>
      </c>
      <c r="AT56" s="29" t="n">
        <v>112307.9296458816</v>
      </c>
      <c r="AU56" s="29" t="n">
        <v>1122404.683952348</v>
      </c>
      <c r="AV56" s="29" t="n">
        <v>292693.7819071878</v>
      </c>
      <c r="AW56" s="29" t="n">
        <v>101252.1323296982</v>
      </c>
      <c r="AX56" s="29" t="n">
        <v>323855.584030429</v>
      </c>
      <c r="AY56" s="29" t="n">
        <v>165202.7291002932</v>
      </c>
      <c r="AZ56" s="29" t="n">
        <v>570982.2764072955</v>
      </c>
      <c r="BA56" s="29" t="n">
        <v>278086.8558047565</v>
      </c>
      <c r="BB56" s="29" t="n">
        <v>601253.2841633947</v>
      </c>
      <c r="BC56" s="29" t="n">
        <v>904371.8950491381</v>
      </c>
      <c r="BD56" s="29" t="n">
        <v>76203.89358635336</v>
      </c>
      <c r="BE56" s="29" t="n">
        <v>426263.5215040385</v>
      </c>
      <c r="BF56" s="29" t="n">
        <v>248917.5132802162</v>
      </c>
      <c r="BG56" s="29" t="n">
        <v>855303.7200339055</v>
      </c>
      <c r="BH56" s="29" t="n">
        <v>299811.7080967526</v>
      </c>
      <c r="BI56" s="29" t="n">
        <v>393247.5817842408</v>
      </c>
      <c r="BJ56" s="29" t="n">
        <v>505656.2175437148</v>
      </c>
      <c r="BK56" s="29" t="n">
        <v>1599963.187926019</v>
      </c>
      <c r="BL56" s="29" t="n">
        <v>1996433.784918783</v>
      </c>
      <c r="BM56" s="29" t="n">
        <v>212517.1129920828</v>
      </c>
      <c r="BN56" s="29" t="n">
        <v>3052893.467775259</v>
      </c>
      <c r="BO56" s="29" t="n">
        <v>128599.3294288872</v>
      </c>
      <c r="BP56" s="29" t="n">
        <v>16174.09291751221</v>
      </c>
      <c r="BQ56" s="29" t="n">
        <v>5732.044022797445</v>
      </c>
      <c r="BR56" s="29" t="n">
        <v>8185.279106986551</v>
      </c>
      <c r="BS56" s="29" t="n">
        <v>4960055.981807888</v>
      </c>
      <c r="BT56" s="29" t="n">
        <v>1390502.477069714</v>
      </c>
      <c r="BU56" s="29" t="n">
        <v>9792975.641551299</v>
      </c>
      <c r="BV56" s="29" t="n">
        <v>7233920.948214304</v>
      </c>
      <c r="BW56" s="29" t="n">
        <v>27530.76694694837</v>
      </c>
      <c r="BX56" s="29" t="n">
        <v>41825.9216768414</v>
      </c>
      <c r="BY56" s="29" t="n">
        <v>11421018.33334191</v>
      </c>
      <c r="BZ56" s="29" t="n">
        <v>424.8617863061324</v>
      </c>
      <c r="CA56" s="29" t="n">
        <v>135197.8547024026</v>
      </c>
      <c r="CB56" s="29" t="n">
        <v>88255.70174895992</v>
      </c>
      <c r="CC56" s="29" t="n">
        <v>316.0734209854138</v>
      </c>
      <c r="CD56" s="29" t="n">
        <v>34476.66575949655</v>
      </c>
      <c r="CE56" s="29" t="n">
        <v>62094.68877613587</v>
      </c>
      <c r="CF56" s="29" t="n">
        <v>7004.939777579908</v>
      </c>
      <c r="CG56" s="29" t="n">
        <v>30359.55573086772</v>
      </c>
      <c r="CH56" s="29" t="n">
        <v>665129.2640608543</v>
      </c>
      <c r="CI56" s="29" t="n">
        <v>3863.735410431806</v>
      </c>
      <c r="CJ56" s="29" t="n">
        <v>719969.1078573253</v>
      </c>
      <c r="CK56" s="29" t="n">
        <v>19737.87198047861</v>
      </c>
      <c r="CL56" s="29" t="n">
        <v>87390.57002917424</v>
      </c>
      <c r="CM56" s="29" t="n">
        <v>29981.13684017587</v>
      </c>
      <c r="CN56" s="29" t="n">
        <v>241230.0296458447</v>
      </c>
      <c r="CO56" s="29" t="n">
        <v>169724.651874352</v>
      </c>
      <c r="CP56" s="29" t="n">
        <v>2862.552669728825</v>
      </c>
      <c r="CQ56" s="29" t="n">
        <v>4429.498471517769</v>
      </c>
      <c r="CR56" s="29" t="n">
        <v>151113.4041998629</v>
      </c>
      <c r="CS56" s="29" t="n">
        <v>71065.15268042014</v>
      </c>
      <c r="CT56" s="29" t="n">
        <v>64890.29937733557</v>
      </c>
      <c r="CU56" s="29" t="n">
        <v>2009093.136132877</v>
      </c>
      <c r="CV56" s="29" t="n">
        <v>3419003.061588305</v>
      </c>
      <c r="CW56" s="29" t="n">
        <v>37084.42003864863</v>
      </c>
      <c r="CX56" s="29" t="n">
        <v>392181.9028439152</v>
      </c>
      <c r="CY56" s="29" t="n">
        <v>319982.3599925209</v>
      </c>
      <c r="CZ56" s="29" t="n">
        <v>457550.4940243356</v>
      </c>
      <c r="DA56" s="29" t="n">
        <v>404904.9717440414</v>
      </c>
      <c r="DB56" s="29" t="n">
        <v>32533.38028810991</v>
      </c>
      <c r="DC56" s="29" t="n">
        <v>395175.416048274</v>
      </c>
      <c r="DD56" s="29" t="n">
        <v>472947.3454486807</v>
      </c>
      <c r="DE56" s="29" t="n">
        <v>0</v>
      </c>
      <c r="DF56" s="29">
        <f>SUM(C56:DE56)</f>
        <v/>
      </c>
      <c r="DG56" s="29" t="n">
        <v>0</v>
      </c>
      <c r="DH56" s="29" t="n">
        <v>0</v>
      </c>
      <c r="DI56" s="29" t="n">
        <v>48376057.52969857</v>
      </c>
      <c r="DJ56" s="29" t="n">
        <v>0</v>
      </c>
      <c r="DK56" s="29">
        <f>SUM(DG56:DJ56)</f>
        <v/>
      </c>
      <c r="DL56" s="29">
        <f>DF56+DK56</f>
        <v/>
      </c>
    </row>
    <row r="57">
      <c r="A57" s="30" t="inlineStr">
        <is>
          <t>261</t>
        </is>
      </c>
      <c r="B57" s="30" t="inlineStr">
        <is>
          <t>26101 - Fabricación de envases de vidrio. 26102 - Fabricación y elaboración de vidrio plano. 26109 - Fabricación de productos de vidrio n.c.p.</t>
        </is>
      </c>
      <c r="C57" s="31" t="n">
        <v>56162.15587357807</v>
      </c>
      <c r="D57" s="31" t="n">
        <v>5926.87483116495</v>
      </c>
      <c r="E57" s="31" t="n">
        <v>0</v>
      </c>
      <c r="F57" s="31" t="n">
        <v>814.4769152794778</v>
      </c>
      <c r="G57" s="31" t="n">
        <v>0</v>
      </c>
      <c r="H57" s="31" t="n">
        <v>1504.553004211864</v>
      </c>
      <c r="I57" s="31" t="n">
        <v>0.7124128152595973</v>
      </c>
      <c r="J57" s="31" t="n">
        <v>150.8198002589888</v>
      </c>
      <c r="K57" s="31" t="n">
        <v>502.7123299053426</v>
      </c>
      <c r="L57" s="31" t="n">
        <v>1037.440724390825</v>
      </c>
      <c r="M57" s="31" t="n">
        <v>2605.13723463897</v>
      </c>
      <c r="N57" s="31" t="n">
        <v>6586.761292923501</v>
      </c>
      <c r="O57" s="31" t="n">
        <v>1227.709826785768</v>
      </c>
      <c r="P57" s="31" t="n">
        <v>203977.3035402068</v>
      </c>
      <c r="Q57" s="31" t="n">
        <v>38366.26272341653</v>
      </c>
      <c r="R57" s="31" t="n">
        <v>22811.54586992057</v>
      </c>
      <c r="S57" s="31" t="n">
        <v>5296.367393602823</v>
      </c>
      <c r="T57" s="31" t="n">
        <v>5947.894072620616</v>
      </c>
      <c r="U57" s="31" t="n">
        <v>5013.934238740403</v>
      </c>
      <c r="V57" s="31" t="n">
        <v>5410.379547781976</v>
      </c>
      <c r="W57" s="31" t="n">
        <v>373576.7450027814</v>
      </c>
      <c r="X57" s="31" t="n">
        <v>1768.168134202442</v>
      </c>
      <c r="Y57" s="31" t="n">
        <v>233621.0862667547</v>
      </c>
      <c r="Z57" s="31" t="n">
        <v>1240073.618723439</v>
      </c>
      <c r="AA57" s="31" t="n">
        <v>3211761.339406841</v>
      </c>
      <c r="AB57" s="31" t="n">
        <v>313308.477359433</v>
      </c>
      <c r="AC57" s="31" t="n">
        <v>1979099.47308278</v>
      </c>
      <c r="AD57" s="31" t="n">
        <v>182.4820214295572</v>
      </c>
      <c r="AE57" s="31" t="n">
        <v>1074.460831950505</v>
      </c>
      <c r="AF57" s="31" t="n">
        <v>6935.970982609846</v>
      </c>
      <c r="AG57" s="31" t="n">
        <v>457.8597422242964</v>
      </c>
      <c r="AH57" s="31" t="n">
        <v>264.2936978637376</v>
      </c>
      <c r="AI57" s="31" t="n">
        <v>102748.7127468723</v>
      </c>
      <c r="AJ57" s="31" t="n">
        <v>7039.582188759569</v>
      </c>
      <c r="AK57" s="31" t="n">
        <v>57280.88672946559</v>
      </c>
      <c r="AL57" s="31" t="n">
        <v>7996.777857445766</v>
      </c>
      <c r="AM57" s="31" t="n">
        <v>22720.00639419183</v>
      </c>
      <c r="AN57" s="31" t="n">
        <v>6954.943252464115</v>
      </c>
      <c r="AO57" s="31" t="n">
        <v>22508.10584015218</v>
      </c>
      <c r="AP57" s="31" t="n">
        <v>305956.0833892868</v>
      </c>
      <c r="AQ57" s="31" t="n">
        <v>1180101.190958682</v>
      </c>
      <c r="AR57" s="31" t="n">
        <v>4473.61979723964</v>
      </c>
      <c r="AS57" s="31" t="n">
        <v>266770.3666124856</v>
      </c>
      <c r="AT57" s="31" t="n">
        <v>1907634.672479216</v>
      </c>
      <c r="AU57" s="31" t="n">
        <v>36108.28594581588</v>
      </c>
      <c r="AV57" s="31" t="n">
        <v>4506.926055520325</v>
      </c>
      <c r="AW57" s="31" t="n">
        <v>2362.859971056905</v>
      </c>
      <c r="AX57" s="31" t="n">
        <v>2935.976302871547</v>
      </c>
      <c r="AY57" s="31" t="n">
        <v>173623.9296513002</v>
      </c>
      <c r="AZ57" s="31" t="n">
        <v>22387.68961085962</v>
      </c>
      <c r="BA57" s="31" t="n">
        <v>43764.91905485387</v>
      </c>
      <c r="BB57" s="31" t="n">
        <v>358814.0868452482</v>
      </c>
      <c r="BC57" s="31" t="n">
        <v>228537.6409367757</v>
      </c>
      <c r="BD57" s="31" t="n">
        <v>2541.076390544489</v>
      </c>
      <c r="BE57" s="31" t="n">
        <v>3094.843446350719</v>
      </c>
      <c r="BF57" s="31" t="n">
        <v>31570.71552983813</v>
      </c>
      <c r="BG57" s="31" t="n">
        <v>200210.3844125149</v>
      </c>
      <c r="BH57" s="31" t="n">
        <v>1176.045666404252</v>
      </c>
      <c r="BI57" s="31" t="n">
        <v>327.313529680278</v>
      </c>
      <c r="BJ57" s="31" t="n">
        <v>275857.8806210841</v>
      </c>
      <c r="BK57" s="31" t="n">
        <v>1738781.218763105</v>
      </c>
      <c r="BL57" s="31" t="n">
        <v>51442.32585749582</v>
      </c>
      <c r="BM57" s="31" t="n">
        <v>17215.47236658078</v>
      </c>
      <c r="BN57" s="31" t="n">
        <v>109281.7283861043</v>
      </c>
      <c r="BO57" s="31" t="n">
        <v>2986.352888984974</v>
      </c>
      <c r="BP57" s="31" t="n">
        <v>720.4191104005329</v>
      </c>
      <c r="BQ57" s="31" t="n">
        <v>220.8907523062157</v>
      </c>
      <c r="BR57" s="31" t="n">
        <v>52.40399450083924</v>
      </c>
      <c r="BS57" s="31" t="n">
        <v>1508143.732773825</v>
      </c>
      <c r="BT57" s="31" t="n">
        <v>568296.8814132712</v>
      </c>
      <c r="BU57" s="31" t="n">
        <v>617751.5613531143</v>
      </c>
      <c r="BV57" s="31" t="n">
        <v>952879.9593869318</v>
      </c>
      <c r="BW57" s="31" t="n">
        <v>1751.775673600562</v>
      </c>
      <c r="BX57" s="31" t="n">
        <v>1661.655828743404</v>
      </c>
      <c r="BY57" s="31" t="n">
        <v>41171.16726409543</v>
      </c>
      <c r="BZ57" s="31" t="n">
        <v>12.75904414472323</v>
      </c>
      <c r="CA57" s="31" t="n">
        <v>260.6543810464667</v>
      </c>
      <c r="CB57" s="31" t="n">
        <v>109.2031002283911</v>
      </c>
      <c r="CC57" s="31" t="n">
        <v>5.273044532300374</v>
      </c>
      <c r="CD57" s="31" t="n">
        <v>471.7187717062986</v>
      </c>
      <c r="CE57" s="31" t="n">
        <v>275.3461154075781</v>
      </c>
      <c r="CF57" s="31" t="n">
        <v>392.5713669749829</v>
      </c>
      <c r="CG57" s="31" t="n">
        <v>2534.234747032654</v>
      </c>
      <c r="CH57" s="31" t="n">
        <v>72603.01895652986</v>
      </c>
      <c r="CI57" s="31" t="n">
        <v>269.6252086680877</v>
      </c>
      <c r="CJ57" s="31" t="n">
        <v>1338.589366804609</v>
      </c>
      <c r="CK57" s="31" t="n">
        <v>279.1278669309322</v>
      </c>
      <c r="CL57" s="31" t="n">
        <v>1545.797520663414</v>
      </c>
      <c r="CM57" s="31" t="n">
        <v>220.4682537040182</v>
      </c>
      <c r="CN57" s="31" t="n">
        <v>301.3406551587495</v>
      </c>
      <c r="CO57" s="31" t="n">
        <v>179.9409403535643</v>
      </c>
      <c r="CP57" s="31" t="n">
        <v>101.4504933287943</v>
      </c>
      <c r="CQ57" s="31" t="n">
        <v>303.6643410730017</v>
      </c>
      <c r="CR57" s="31" t="n">
        <v>7895.673776911375</v>
      </c>
      <c r="CS57" s="31" t="n">
        <v>3250.319274860549</v>
      </c>
      <c r="CT57" s="31" t="n">
        <v>2967.898933055222</v>
      </c>
      <c r="CU57" s="31" t="n">
        <v>104710.9396544819</v>
      </c>
      <c r="CV57" s="31" t="n">
        <v>158105.6532441143</v>
      </c>
      <c r="CW57" s="31" t="n">
        <v>993.8566844381897</v>
      </c>
      <c r="CX57" s="31" t="n">
        <v>11560.34818947116</v>
      </c>
      <c r="CY57" s="31" t="n">
        <v>793346.6941945017</v>
      </c>
      <c r="CZ57" s="31" t="n">
        <v>104452.8537692164</v>
      </c>
      <c r="DA57" s="31" t="n">
        <v>102994.9772135635</v>
      </c>
      <c r="DB57" s="31" t="n">
        <v>601.544957839413</v>
      </c>
      <c r="DC57" s="31" t="n">
        <v>18785.9598024329</v>
      </c>
      <c r="DD57" s="31" t="n">
        <v>365.8197471732088</v>
      </c>
      <c r="DE57" s="31" t="n">
        <v>0</v>
      </c>
      <c r="DF57" s="31">
        <f>SUM(C57:DE57)</f>
        <v/>
      </c>
      <c r="DG57" s="31" t="n">
        <v>0</v>
      </c>
      <c r="DH57" s="31" t="n">
        <v>0</v>
      </c>
      <c r="DI57" s="31" t="n">
        <v>2228386.942136386</v>
      </c>
      <c r="DJ57" s="31" t="n">
        <v>0</v>
      </c>
      <c r="DK57" s="31">
        <f>SUM(DG57:DJ57)</f>
        <v/>
      </c>
      <c r="DL57" s="31">
        <f>DF57+DK57</f>
        <v/>
      </c>
    </row>
    <row r="58">
      <c r="A58" s="28" t="inlineStr">
        <is>
          <t>269</t>
        </is>
      </c>
      <c r="B58" s="28" t="inlineStr">
        <is>
          <t>Fabricación de productos minerales no metálicos n.c.p.</t>
        </is>
      </c>
      <c r="C58" s="29" t="n">
        <v>678470.4462750095</v>
      </c>
      <c r="D58" s="29" t="n">
        <v>59762.39632711348</v>
      </c>
      <c r="E58" s="29" t="n">
        <v>0</v>
      </c>
      <c r="F58" s="29" t="n">
        <v>331705.7414009391</v>
      </c>
      <c r="G58" s="29" t="n">
        <v>0</v>
      </c>
      <c r="H58" s="29" t="n">
        <v>12793.00076482276</v>
      </c>
      <c r="I58" s="29" t="n">
        <v>56.36751203006725</v>
      </c>
      <c r="J58" s="29" t="n">
        <v>2355532.603380284</v>
      </c>
      <c r="K58" s="29" t="n">
        <v>18694.26181301999</v>
      </c>
      <c r="L58" s="29" t="n">
        <v>31101.85775203414</v>
      </c>
      <c r="M58" s="29" t="n">
        <v>23660.48713365172</v>
      </c>
      <c r="N58" s="29" t="n">
        <v>79736.27465553778</v>
      </c>
      <c r="O58" s="29" t="n">
        <v>31235.75837040739</v>
      </c>
      <c r="P58" s="29" t="n">
        <v>16238.81784266565</v>
      </c>
      <c r="Q58" s="29" t="n">
        <v>529415.233608484</v>
      </c>
      <c r="R58" s="29" t="n">
        <v>85138.52500724673</v>
      </c>
      <c r="S58" s="29" t="n">
        <v>36150.97347125567</v>
      </c>
      <c r="T58" s="29" t="n">
        <v>80994.01898547215</v>
      </c>
      <c r="U58" s="29" t="n">
        <v>60025.94602976688</v>
      </c>
      <c r="V58" s="29" t="n">
        <v>159339.1975188859</v>
      </c>
      <c r="W58" s="29" t="n">
        <v>40517.27578384333</v>
      </c>
      <c r="X58" s="29" t="n">
        <v>11269.89815415517</v>
      </c>
      <c r="Y58" s="29" t="n">
        <v>103890.3766373951</v>
      </c>
      <c r="Z58" s="29" t="n">
        <v>14126.54348481826</v>
      </c>
      <c r="AA58" s="29" t="n">
        <v>45462.76807372725</v>
      </c>
      <c r="AB58" s="29" t="n">
        <v>27358.85015575667</v>
      </c>
      <c r="AC58" s="29" t="n">
        <v>242582.188977638</v>
      </c>
      <c r="AD58" s="29" t="n">
        <v>12248.51095795815</v>
      </c>
      <c r="AE58" s="29" t="n">
        <v>45016.75455303938</v>
      </c>
      <c r="AF58" s="29" t="n">
        <v>46399.55519077434</v>
      </c>
      <c r="AG58" s="29" t="n">
        <v>17947.09779192756</v>
      </c>
      <c r="AH58" s="29" t="n">
        <v>11222.47521241116</v>
      </c>
      <c r="AI58" s="29" t="n">
        <v>53100.16480440325</v>
      </c>
      <c r="AJ58" s="29" t="n">
        <v>117241.2965465657</v>
      </c>
      <c r="AK58" s="29" t="n">
        <v>45884.25516131456</v>
      </c>
      <c r="AL58" s="29" t="n">
        <v>47778.07337973276</v>
      </c>
      <c r="AM58" s="29" t="n">
        <v>229851.5007685689</v>
      </c>
      <c r="AN58" s="29" t="n">
        <v>508671.5077969335</v>
      </c>
      <c r="AO58" s="29" t="n">
        <v>17232.66881815048</v>
      </c>
      <c r="AP58" s="29" t="n">
        <v>57538.94146166003</v>
      </c>
      <c r="AQ58" s="29" t="n">
        <v>534121.0433930637</v>
      </c>
      <c r="AR58" s="29" t="n">
        <v>56395.04966896879</v>
      </c>
      <c r="AS58" s="29" t="n">
        <v>57745.579072811</v>
      </c>
      <c r="AT58" s="29" t="n">
        <v>24260.83039510294</v>
      </c>
      <c r="AU58" s="29" t="n">
        <v>13265990.85290744</v>
      </c>
      <c r="AV58" s="29" t="n">
        <v>1384230.560051291</v>
      </c>
      <c r="AW58" s="29" t="n">
        <v>154846.5857754428</v>
      </c>
      <c r="AX58" s="29" t="n">
        <v>362662.105912035</v>
      </c>
      <c r="AY58" s="29" t="n">
        <v>152682.4383535983</v>
      </c>
      <c r="AZ58" s="29" t="n">
        <v>183856.2675245474</v>
      </c>
      <c r="BA58" s="29" t="n">
        <v>50116.92156041191</v>
      </c>
      <c r="BB58" s="29" t="n">
        <v>100996.4350423219</v>
      </c>
      <c r="BC58" s="29" t="n">
        <v>23280.08935270464</v>
      </c>
      <c r="BD58" s="29" t="n">
        <v>1105.530440601012</v>
      </c>
      <c r="BE58" s="29" t="n">
        <v>81536.66150745473</v>
      </c>
      <c r="BF58" s="29" t="n">
        <v>5402.29904590447</v>
      </c>
      <c r="BG58" s="29" t="n">
        <v>51931.68859085123</v>
      </c>
      <c r="BH58" s="29" t="n">
        <v>106421.6318964171</v>
      </c>
      <c r="BI58" s="29" t="n">
        <v>4052.343238721211</v>
      </c>
      <c r="BJ58" s="29" t="n">
        <v>14061.12970804898</v>
      </c>
      <c r="BK58" s="29" t="n">
        <v>150528.4515861225</v>
      </c>
      <c r="BL58" s="29" t="n">
        <v>213637.8776972573</v>
      </c>
      <c r="BM58" s="29" t="n">
        <v>10239.24744083468</v>
      </c>
      <c r="BN58" s="29" t="n">
        <v>93392.86947615455</v>
      </c>
      <c r="BO58" s="29" t="n">
        <v>23872.93867558171</v>
      </c>
      <c r="BP58" s="29" t="n">
        <v>1998058.652537065</v>
      </c>
      <c r="BQ58" s="29" t="n">
        <v>23184.90949011557</v>
      </c>
      <c r="BR58" s="29" t="n">
        <v>1562117.359217672</v>
      </c>
      <c r="BS58" s="29" t="n">
        <v>117747035.0199298</v>
      </c>
      <c r="BT58" s="29" t="n">
        <v>114558.7001880172</v>
      </c>
      <c r="BU58" s="29" t="n">
        <v>659843.4432468293</v>
      </c>
      <c r="BV58" s="29" t="n">
        <v>517988.2710772115</v>
      </c>
      <c r="BW58" s="29" t="n">
        <v>513.1936384463519</v>
      </c>
      <c r="BX58" s="29" t="n">
        <v>23019.62825209445</v>
      </c>
      <c r="BY58" s="29" t="n">
        <v>220839.5092454412</v>
      </c>
      <c r="BZ58" s="29" t="n">
        <v>2176.058919783838</v>
      </c>
      <c r="CA58" s="29" t="n">
        <v>40518.00945918509</v>
      </c>
      <c r="CB58" s="29" t="n">
        <v>12660.06303312905</v>
      </c>
      <c r="CC58" s="29" t="n">
        <v>10101.02888824821</v>
      </c>
      <c r="CD58" s="29" t="n">
        <v>18725.77865790951</v>
      </c>
      <c r="CE58" s="29" t="n">
        <v>24696.78777489505</v>
      </c>
      <c r="CF58" s="29" t="n">
        <v>7266.409404224775</v>
      </c>
      <c r="CG58" s="29" t="n">
        <v>72569.97253587168</v>
      </c>
      <c r="CH58" s="29" t="n">
        <v>847608.2983713818</v>
      </c>
      <c r="CI58" s="29" t="n">
        <v>9765.118280357112</v>
      </c>
      <c r="CJ58" s="29" t="n">
        <v>78600.53634083652</v>
      </c>
      <c r="CK58" s="29" t="n">
        <v>15878.38075426513</v>
      </c>
      <c r="CL58" s="29" t="n">
        <v>49852.35319910087</v>
      </c>
      <c r="CM58" s="29" t="n">
        <v>15163.18535734881</v>
      </c>
      <c r="CN58" s="29" t="n">
        <v>6832668.416760432</v>
      </c>
      <c r="CO58" s="29" t="n">
        <v>6113701.884635687</v>
      </c>
      <c r="CP58" s="29" t="n">
        <v>10082.72574137168</v>
      </c>
      <c r="CQ58" s="29" t="n">
        <v>6890.417097129201</v>
      </c>
      <c r="CR58" s="29" t="n">
        <v>246213.3968050586</v>
      </c>
      <c r="CS58" s="29" t="n">
        <v>12925.34088478409</v>
      </c>
      <c r="CT58" s="29" t="n">
        <v>11802.25761759099</v>
      </c>
      <c r="CU58" s="29" t="n">
        <v>246960.8014583066</v>
      </c>
      <c r="CV58" s="29" t="n">
        <v>630196.311595927</v>
      </c>
      <c r="CW58" s="29" t="n">
        <v>133302.3617059272</v>
      </c>
      <c r="CX58" s="29" t="n">
        <v>94052.0099493154</v>
      </c>
      <c r="CY58" s="29" t="n">
        <v>554880.7512243906</v>
      </c>
      <c r="CZ58" s="29" t="n">
        <v>180862.7179010161</v>
      </c>
      <c r="DA58" s="29" t="n">
        <v>63154.48893896226</v>
      </c>
      <c r="DB58" s="29" t="n">
        <v>321329.6020154168</v>
      </c>
      <c r="DC58" s="29" t="n">
        <v>190503.9680939413</v>
      </c>
      <c r="DD58" s="29" t="n">
        <v>4687.556603951644</v>
      </c>
      <c r="DE58" s="29" t="n">
        <v>0</v>
      </c>
      <c r="DF58" s="29">
        <f>SUM(C58:DE58)</f>
        <v/>
      </c>
      <c r="DG58" s="29" t="n">
        <v>0</v>
      </c>
      <c r="DH58" s="29" t="n">
        <v>0</v>
      </c>
      <c r="DI58" s="29" t="n">
        <v>15671406.44569515</v>
      </c>
      <c r="DJ58" s="29" t="n">
        <v>0</v>
      </c>
      <c r="DK58" s="29">
        <f>SUM(DG58:DJ58)</f>
        <v/>
      </c>
      <c r="DL58" s="29">
        <f>DF58+DK58</f>
        <v/>
      </c>
    </row>
    <row r="59">
      <c r="A59" s="30" t="inlineStr">
        <is>
          <t>27100</t>
        </is>
      </c>
      <c r="B59" s="30" t="inlineStr">
        <is>
          <t>27100 - Industrias básicas de hierro y acero</t>
        </is>
      </c>
      <c r="C59" s="31" t="n">
        <v>756087.4589460345</v>
      </c>
      <c r="D59" s="31" t="n">
        <v>50714.96003239061</v>
      </c>
      <c r="E59" s="31" t="n">
        <v>2.301498503781365</v>
      </c>
      <c r="F59" s="31" t="n">
        <v>444585.569355135</v>
      </c>
      <c r="G59" s="31" t="n">
        <v>18.01405815817159</v>
      </c>
      <c r="H59" s="31" t="n">
        <v>5789.866872721641</v>
      </c>
      <c r="I59" s="31" t="n">
        <v>1.470076294365905</v>
      </c>
      <c r="J59" s="31" t="n">
        <v>12270039.05696782</v>
      </c>
      <c r="K59" s="31" t="n">
        <v>2800.02349568995</v>
      </c>
      <c r="L59" s="31" t="n">
        <v>725407.306438357</v>
      </c>
      <c r="M59" s="31" t="n">
        <v>254938.1776437682</v>
      </c>
      <c r="N59" s="31" t="n">
        <v>178721.4281440281</v>
      </c>
      <c r="O59" s="31" t="n">
        <v>74170.12928315179</v>
      </c>
      <c r="P59" s="31" t="n">
        <v>21671.59032416032</v>
      </c>
      <c r="Q59" s="31" t="n">
        <v>563443.2644043724</v>
      </c>
      <c r="R59" s="31" t="n">
        <v>81019.44138997918</v>
      </c>
      <c r="S59" s="31" t="n">
        <v>28083.54640969973</v>
      </c>
      <c r="T59" s="31" t="n">
        <v>163605.1285197972</v>
      </c>
      <c r="U59" s="31" t="n">
        <v>49507.06963579419</v>
      </c>
      <c r="V59" s="31" t="n">
        <v>193269.3610672257</v>
      </c>
      <c r="W59" s="31" t="n">
        <v>18073.64833482741</v>
      </c>
      <c r="X59" s="31" t="n">
        <v>3607.431033569376</v>
      </c>
      <c r="Y59" s="31" t="n">
        <v>68473.61451228462</v>
      </c>
      <c r="Z59" s="31" t="n">
        <v>10443.62442922373</v>
      </c>
      <c r="AA59" s="31" t="n">
        <v>42227.60300682628</v>
      </c>
      <c r="AB59" s="31" t="n">
        <v>8177.440298587868</v>
      </c>
      <c r="AC59" s="31" t="n">
        <v>63659.41431550643</v>
      </c>
      <c r="AD59" s="31" t="n">
        <v>7047.94974370787</v>
      </c>
      <c r="AE59" s="31" t="n">
        <v>159412.3861801363</v>
      </c>
      <c r="AF59" s="31" t="n">
        <v>149465.5319098768</v>
      </c>
      <c r="AG59" s="31" t="n">
        <v>18744.16992815704</v>
      </c>
      <c r="AH59" s="31" t="n">
        <v>24527.1396639462</v>
      </c>
      <c r="AI59" s="31" t="n">
        <v>122177.6770483583</v>
      </c>
      <c r="AJ59" s="31" t="n">
        <v>199121.6691776553</v>
      </c>
      <c r="AK59" s="31" t="n">
        <v>134207.767630105</v>
      </c>
      <c r="AL59" s="31" t="n">
        <v>103361.9551010956</v>
      </c>
      <c r="AM59" s="31" t="n">
        <v>161739.0142661807</v>
      </c>
      <c r="AN59" s="31" t="n">
        <v>205736.8110244262</v>
      </c>
      <c r="AO59" s="31" t="n">
        <v>11046.14488343846</v>
      </c>
      <c r="AP59" s="31" t="n">
        <v>23107.05423278631</v>
      </c>
      <c r="AQ59" s="31" t="n">
        <v>426808.7176748638</v>
      </c>
      <c r="AR59" s="31" t="n">
        <v>594277.1271299517</v>
      </c>
      <c r="AS59" s="31" t="n">
        <v>767216.3468087544</v>
      </c>
      <c r="AT59" s="31" t="n">
        <v>2975.676783548188</v>
      </c>
      <c r="AU59" s="31" t="n">
        <v>1781788.855579336</v>
      </c>
      <c r="AV59" s="31" t="n">
        <v>34316803.97036885</v>
      </c>
      <c r="AW59" s="31" t="n">
        <v>179825.0615484598</v>
      </c>
      <c r="AX59" s="31" t="n">
        <v>1565709.753771813</v>
      </c>
      <c r="AY59" s="31" t="n">
        <v>13157933.75977101</v>
      </c>
      <c r="AZ59" s="31" t="n">
        <v>28798022.98306878</v>
      </c>
      <c r="BA59" s="31" t="n">
        <v>5545941.735295589</v>
      </c>
      <c r="BB59" s="31" t="n">
        <v>9477612.459516743</v>
      </c>
      <c r="BC59" s="31" t="n">
        <v>4011853.185128569</v>
      </c>
      <c r="BD59" s="31" t="n">
        <v>3404.096519093901</v>
      </c>
      <c r="BE59" s="31" t="n">
        <v>1764537.284520688</v>
      </c>
      <c r="BF59" s="31" t="n">
        <v>248107.1613987532</v>
      </c>
      <c r="BG59" s="31" t="n">
        <v>451430.6049181051</v>
      </c>
      <c r="BH59" s="31" t="n">
        <v>407372.680064087</v>
      </c>
      <c r="BI59" s="31" t="n">
        <v>7421.690260114196</v>
      </c>
      <c r="BJ59" s="31" t="n">
        <v>699527.7727164649</v>
      </c>
      <c r="BK59" s="31" t="n">
        <v>8046763.82851462</v>
      </c>
      <c r="BL59" s="31" t="n">
        <v>5975500.528597008</v>
      </c>
      <c r="BM59" s="31" t="n">
        <v>2335113.344591074</v>
      </c>
      <c r="BN59" s="31" t="n">
        <v>3792931.009408333</v>
      </c>
      <c r="BO59" s="31" t="n">
        <v>1468627.400958473</v>
      </c>
      <c r="BP59" s="31" t="n">
        <v>27692.14297101184</v>
      </c>
      <c r="BQ59" s="31" t="n">
        <v>496355.378906519</v>
      </c>
      <c r="BR59" s="31" t="n">
        <v>282372.4705305329</v>
      </c>
      <c r="BS59" s="31" t="n">
        <v>53722353.18005767</v>
      </c>
      <c r="BT59" s="31" t="n">
        <v>433403.3508979018</v>
      </c>
      <c r="BU59" s="31" t="n">
        <v>64055.717322653</v>
      </c>
      <c r="BV59" s="31" t="n">
        <v>176495.9631552341</v>
      </c>
      <c r="BW59" s="31" t="n">
        <v>2458.70990487257</v>
      </c>
      <c r="BX59" s="31" t="n">
        <v>12782.58970266265</v>
      </c>
      <c r="BY59" s="31" t="n">
        <v>37032.11547806882</v>
      </c>
      <c r="BZ59" s="31" t="n">
        <v>1544.249634874405</v>
      </c>
      <c r="CA59" s="31" t="n">
        <v>3517.76622399118</v>
      </c>
      <c r="CB59" s="31" t="n">
        <v>32848.66748261638</v>
      </c>
      <c r="CC59" s="31" t="n">
        <v>74.57256446360522</v>
      </c>
      <c r="CD59" s="31" t="n">
        <v>4954.598702613961</v>
      </c>
      <c r="CE59" s="31" t="n">
        <v>15305.78903003638</v>
      </c>
      <c r="CF59" s="31" t="n">
        <v>8373.681712742704</v>
      </c>
      <c r="CG59" s="31" t="n">
        <v>33388.23879134581</v>
      </c>
      <c r="CH59" s="31" t="n">
        <v>633005.7645233558</v>
      </c>
      <c r="CI59" s="31" t="n">
        <v>5499.409520350451</v>
      </c>
      <c r="CJ59" s="31" t="n">
        <v>29744.82849943953</v>
      </c>
      <c r="CK59" s="31" t="n">
        <v>2492.223461664459</v>
      </c>
      <c r="CL59" s="31" t="n">
        <v>11390.18910922448</v>
      </c>
      <c r="CM59" s="31" t="n">
        <v>3651.300807089552</v>
      </c>
      <c r="CN59" s="31" t="n">
        <v>1082204.340855649</v>
      </c>
      <c r="CO59" s="31" t="n">
        <v>676490.8782753869</v>
      </c>
      <c r="CP59" s="31" t="n">
        <v>2346.125949626791</v>
      </c>
      <c r="CQ59" s="31" t="n">
        <v>8469.77168458595</v>
      </c>
      <c r="CR59" s="31" t="n">
        <v>101691.8886640222</v>
      </c>
      <c r="CS59" s="31" t="n">
        <v>6010.813174834617</v>
      </c>
      <c r="CT59" s="31" t="n">
        <v>5488.533433119826</v>
      </c>
      <c r="CU59" s="31" t="n">
        <v>95458.90705748294</v>
      </c>
      <c r="CV59" s="31" t="n">
        <v>293140.0162466252</v>
      </c>
      <c r="CW59" s="31" t="n">
        <v>7483.578744580462</v>
      </c>
      <c r="CX59" s="31" t="n">
        <v>16252.5501136163</v>
      </c>
      <c r="CY59" s="31" t="n">
        <v>36912.6237587413</v>
      </c>
      <c r="CZ59" s="31" t="n">
        <v>52839.68042873826</v>
      </c>
      <c r="DA59" s="31" t="n">
        <v>3292.859040477236</v>
      </c>
      <c r="DB59" s="31" t="n">
        <v>9766.538424107042</v>
      </c>
      <c r="DC59" s="31" t="n">
        <v>139992.1586653639</v>
      </c>
      <c r="DD59" s="31" t="n">
        <v>177.0360962583723</v>
      </c>
      <c r="DE59" s="31" t="n">
        <v>0</v>
      </c>
      <c r="DF59" s="31">
        <f>SUM(C59:DE59)</f>
        <v/>
      </c>
      <c r="DG59" s="31" t="n">
        <v>0</v>
      </c>
      <c r="DH59" s="31" t="n">
        <v>0</v>
      </c>
      <c r="DI59" s="31" t="n">
        <v>20592831.7818285</v>
      </c>
      <c r="DJ59" s="31" t="n">
        <v>0</v>
      </c>
      <c r="DK59" s="31">
        <f>SUM(DG59:DJ59)</f>
        <v/>
      </c>
      <c r="DL59" s="31">
        <f>DF59+DK59</f>
        <v/>
      </c>
    </row>
    <row r="60">
      <c r="A60" s="28" t="inlineStr">
        <is>
          <t>272</t>
        </is>
      </c>
      <c r="B60" s="28" t="inlineStr">
        <is>
          <t>27201 - Elaboración de aluminio primario y semielaborados de aluminio. 27209 - Producción de metales no ferrosos n.c.p. y sus semielaborados</t>
        </is>
      </c>
      <c r="C60" s="29" t="n">
        <v>107398.1950197056</v>
      </c>
      <c r="D60" s="29" t="n">
        <v>13218.49082240847</v>
      </c>
      <c r="E60" s="29" t="n">
        <v>0</v>
      </c>
      <c r="F60" s="29" t="n">
        <v>0</v>
      </c>
      <c r="G60" s="29" t="n">
        <v>0</v>
      </c>
      <c r="H60" s="29" t="n">
        <v>6804.633499398578</v>
      </c>
      <c r="I60" s="29" t="n">
        <v>0.04532112220008979</v>
      </c>
      <c r="J60" s="29" t="n">
        <v>100018.0024971746</v>
      </c>
      <c r="K60" s="29" t="n">
        <v>192.1566712761467</v>
      </c>
      <c r="L60" s="29" t="n">
        <v>2957.087706102574</v>
      </c>
      <c r="M60" s="29" t="n">
        <v>5645.745825837817</v>
      </c>
      <c r="N60" s="29" t="n">
        <v>26776.03171292102</v>
      </c>
      <c r="O60" s="29" t="n">
        <v>11398.12626009775</v>
      </c>
      <c r="P60" s="29" t="n">
        <v>10538.47569119624</v>
      </c>
      <c r="Q60" s="29" t="n">
        <v>86410.43574870942</v>
      </c>
      <c r="R60" s="29" t="n">
        <v>47402.26341587177</v>
      </c>
      <c r="S60" s="29" t="n">
        <v>11422.31841580693</v>
      </c>
      <c r="T60" s="29" t="n">
        <v>42571.17776112187</v>
      </c>
      <c r="U60" s="29" t="n">
        <v>504055.0643740698</v>
      </c>
      <c r="V60" s="29" t="n">
        <v>35285.46152738427</v>
      </c>
      <c r="W60" s="29" t="n">
        <v>216959.2847784367</v>
      </c>
      <c r="X60" s="29" t="n">
        <v>25304.31798368891</v>
      </c>
      <c r="Y60" s="29" t="n">
        <v>293598.4502909881</v>
      </c>
      <c r="Z60" s="29" t="n">
        <v>7073.556917580788</v>
      </c>
      <c r="AA60" s="29" t="n">
        <v>15737.89743164606</v>
      </c>
      <c r="AB60" s="29" t="n">
        <v>4901.283009579794</v>
      </c>
      <c r="AC60" s="29" t="n">
        <v>86674.05538277006</v>
      </c>
      <c r="AD60" s="29" t="n">
        <v>226651.7120043706</v>
      </c>
      <c r="AE60" s="29" t="n">
        <v>30544.35965251504</v>
      </c>
      <c r="AF60" s="29" t="n">
        <v>23713.18963962299</v>
      </c>
      <c r="AG60" s="29" t="n">
        <v>41170.02000376755</v>
      </c>
      <c r="AH60" s="29" t="n">
        <v>4846.780458008552</v>
      </c>
      <c r="AI60" s="29" t="n">
        <v>98763.66444537199</v>
      </c>
      <c r="AJ60" s="29" t="n">
        <v>449054.8217550738</v>
      </c>
      <c r="AK60" s="29" t="n">
        <v>70094.89230682357</v>
      </c>
      <c r="AL60" s="29" t="n">
        <v>110353.939103254</v>
      </c>
      <c r="AM60" s="29" t="n">
        <v>151193.4322878002</v>
      </c>
      <c r="AN60" s="29" t="n">
        <v>496946.7122418385</v>
      </c>
      <c r="AO60" s="29" t="n">
        <v>48986.6196814771</v>
      </c>
      <c r="AP60" s="29" t="n">
        <v>87863.10924249445</v>
      </c>
      <c r="AQ60" s="29" t="n">
        <v>857647.1057668444</v>
      </c>
      <c r="AR60" s="29" t="n">
        <v>144353.2309281606</v>
      </c>
      <c r="AS60" s="29" t="n">
        <v>397467.7845258199</v>
      </c>
      <c r="AT60" s="29" t="n">
        <v>73256.16308971267</v>
      </c>
      <c r="AU60" s="29" t="n">
        <v>700655.520503575</v>
      </c>
      <c r="AV60" s="29" t="n">
        <v>990343.143435269</v>
      </c>
      <c r="AW60" s="29" t="n">
        <v>17546950.32462677</v>
      </c>
      <c r="AX60" s="29" t="n">
        <v>7730148.722298224</v>
      </c>
      <c r="AY60" s="29" t="n">
        <v>1085233.421006597</v>
      </c>
      <c r="AZ60" s="29" t="n">
        <v>5009801.440820755</v>
      </c>
      <c r="BA60" s="29" t="n">
        <v>1525700.160257439</v>
      </c>
      <c r="BB60" s="29" t="n">
        <v>496829.5671770279</v>
      </c>
      <c r="BC60" s="29" t="n">
        <v>775114.3045985767</v>
      </c>
      <c r="BD60" s="29" t="n">
        <v>5043.49827125651</v>
      </c>
      <c r="BE60" s="29" t="n">
        <v>874935.1292508034</v>
      </c>
      <c r="BF60" s="29" t="n">
        <v>6736315.771626344</v>
      </c>
      <c r="BG60" s="29" t="n">
        <v>2409691.911581747</v>
      </c>
      <c r="BH60" s="29" t="n">
        <v>184920.0930823402</v>
      </c>
      <c r="BI60" s="29" t="n">
        <v>91222.29271426825</v>
      </c>
      <c r="BJ60" s="29" t="n">
        <v>281321.6477616518</v>
      </c>
      <c r="BK60" s="29" t="n">
        <v>327619.9674102841</v>
      </c>
      <c r="BL60" s="29" t="n">
        <v>3855953.489771879</v>
      </c>
      <c r="BM60" s="29" t="n">
        <v>88543.83517092252</v>
      </c>
      <c r="BN60" s="29" t="n">
        <v>596338.6095895589</v>
      </c>
      <c r="BO60" s="29" t="n">
        <v>90154.80580311596</v>
      </c>
      <c r="BP60" s="29" t="n">
        <v>217.4851419651759</v>
      </c>
      <c r="BQ60" s="29" t="n">
        <v>1442.142974384593</v>
      </c>
      <c r="BR60" s="29" t="n">
        <v>1656.924961467809</v>
      </c>
      <c r="BS60" s="29" t="n">
        <v>2086828.663582158</v>
      </c>
      <c r="BT60" s="29" t="n">
        <v>10007.60798901961</v>
      </c>
      <c r="BU60" s="29" t="n">
        <v>7024.950215264844</v>
      </c>
      <c r="BV60" s="29" t="n">
        <v>25802.35973064398</v>
      </c>
      <c r="BW60" s="29" t="n">
        <v>16475.44847458975</v>
      </c>
      <c r="BX60" s="29" t="n">
        <v>2516.532549703488</v>
      </c>
      <c r="BY60" s="29" t="n">
        <v>1724.159478660646</v>
      </c>
      <c r="BZ60" s="29" t="n">
        <v>1339.318211358646</v>
      </c>
      <c r="CA60" s="29" t="n">
        <v>17611.26999203</v>
      </c>
      <c r="CB60" s="29" t="n">
        <v>6820.729234307372</v>
      </c>
      <c r="CC60" s="29" t="n">
        <v>192.6876906803367</v>
      </c>
      <c r="CD60" s="29" t="n">
        <v>7396.199022117366</v>
      </c>
      <c r="CE60" s="29" t="n">
        <v>14384.87834934597</v>
      </c>
      <c r="CF60" s="29" t="n">
        <v>5272.463549377019</v>
      </c>
      <c r="CG60" s="29" t="n">
        <v>5306.96103840807</v>
      </c>
      <c r="CH60" s="29" t="n">
        <v>137489.7014904596</v>
      </c>
      <c r="CI60" s="29" t="n">
        <v>1969.73192260115</v>
      </c>
      <c r="CJ60" s="29" t="n">
        <v>454.1394422883272</v>
      </c>
      <c r="CK60" s="29" t="n">
        <v>1493.430072874986</v>
      </c>
      <c r="CL60" s="29" t="n">
        <v>1275.460214840531</v>
      </c>
      <c r="CM60" s="29" t="n">
        <v>2530.073327536969</v>
      </c>
      <c r="CN60" s="29" t="n">
        <v>371539.2597118035</v>
      </c>
      <c r="CO60" s="29" t="n">
        <v>227879.5865097343</v>
      </c>
      <c r="CP60" s="29" t="n">
        <v>181.5852959946274</v>
      </c>
      <c r="CQ60" s="29" t="n">
        <v>5954.193336955795</v>
      </c>
      <c r="CR60" s="29" t="n">
        <v>13053.39419136568</v>
      </c>
      <c r="CS60" s="29" t="n">
        <v>1883.640057663005</v>
      </c>
      <c r="CT60" s="29" t="n">
        <v>1719.970515092846</v>
      </c>
      <c r="CU60" s="29" t="n">
        <v>38572.57262934314</v>
      </c>
      <c r="CV60" s="29" t="n">
        <v>91751.21959293561</v>
      </c>
      <c r="CW60" s="29" t="n">
        <v>2679.950942354966</v>
      </c>
      <c r="CX60" s="29" t="n">
        <v>8385.516225063231</v>
      </c>
      <c r="CY60" s="29" t="n">
        <v>170930.6387513104</v>
      </c>
      <c r="CZ60" s="29" t="n">
        <v>155191.4683825633</v>
      </c>
      <c r="DA60" s="29" t="n">
        <v>579.7943436997944</v>
      </c>
      <c r="DB60" s="29" t="n">
        <v>2317.786646754628</v>
      </c>
      <c r="DC60" s="29" t="n">
        <v>31454.90561864272</v>
      </c>
      <c r="DD60" s="29" t="n">
        <v>686.9484073516929</v>
      </c>
      <c r="DE60" s="29" t="n">
        <v>0</v>
      </c>
      <c r="DF60" s="29">
        <f>SUM(C60:DE60)</f>
        <v/>
      </c>
      <c r="DG60" s="29" t="n">
        <v>0</v>
      </c>
      <c r="DH60" s="29" t="n">
        <v>0</v>
      </c>
      <c r="DI60" s="29" t="n">
        <v>18234999.09598795</v>
      </c>
      <c r="DJ60" s="29" t="n">
        <v>0</v>
      </c>
      <c r="DK60" s="29">
        <f>SUM(DG60:DJ60)</f>
        <v/>
      </c>
      <c r="DL60" s="29">
        <f>DF60+DK60</f>
        <v/>
      </c>
    </row>
    <row r="61">
      <c r="A61" s="30" t="inlineStr">
        <is>
          <t>273</t>
        </is>
      </c>
      <c r="B61" s="30" t="inlineStr">
        <is>
          <t>27310 - Fundición de hierro y acero. 27320 - Fundición de metales no ferrosos</t>
        </is>
      </c>
      <c r="C61" s="31" t="n">
        <v>458910.1010102067</v>
      </c>
      <c r="D61" s="31" t="n">
        <v>15853.59905880424</v>
      </c>
      <c r="E61" s="31" t="n">
        <v>18.93231655179887</v>
      </c>
      <c r="F61" s="31" t="n">
        <v>7857.261092771536</v>
      </c>
      <c r="G61" s="31" t="n">
        <v>148.185128459861</v>
      </c>
      <c r="H61" s="31" t="n">
        <v>304362.1983352675</v>
      </c>
      <c r="I61" s="31" t="n">
        <v>9.700530687510133</v>
      </c>
      <c r="J61" s="31" t="n">
        <v>8402619.176789355</v>
      </c>
      <c r="K61" s="31" t="n">
        <v>1635.76244821195</v>
      </c>
      <c r="L61" s="31" t="n">
        <v>16396.34925366148</v>
      </c>
      <c r="M61" s="31" t="n">
        <v>66349.46075218241</v>
      </c>
      <c r="N61" s="31" t="n">
        <v>136501.9280652878</v>
      </c>
      <c r="O61" s="31" t="n">
        <v>121535.5962271906</v>
      </c>
      <c r="P61" s="31" t="n">
        <v>616558.5307027606</v>
      </c>
      <c r="Q61" s="31" t="n">
        <v>553507.3812351766</v>
      </c>
      <c r="R61" s="31" t="n">
        <v>703543.6543439034</v>
      </c>
      <c r="S61" s="31" t="n">
        <v>3184.393623757479</v>
      </c>
      <c r="T61" s="31" t="n">
        <v>5822.130727565036</v>
      </c>
      <c r="U61" s="31" t="n">
        <v>63767.07469922357</v>
      </c>
      <c r="V61" s="31" t="n">
        <v>9673.534277220437</v>
      </c>
      <c r="W61" s="31" t="n">
        <v>642994.6624787024</v>
      </c>
      <c r="X61" s="31" t="n">
        <v>7191.705585524115</v>
      </c>
      <c r="Y61" s="31" t="n">
        <v>280385.4437872845</v>
      </c>
      <c r="Z61" s="31" t="n">
        <v>281409.8443711243</v>
      </c>
      <c r="AA61" s="31" t="n">
        <v>259222.6907773024</v>
      </c>
      <c r="AB61" s="31" t="n">
        <v>330468.5249517534</v>
      </c>
      <c r="AC61" s="31" t="n">
        <v>519951.2965777014</v>
      </c>
      <c r="AD61" s="31" t="n">
        <v>59425.1994582579</v>
      </c>
      <c r="AE61" s="31" t="n">
        <v>21168.69766599771</v>
      </c>
      <c r="AF61" s="31" t="n">
        <v>93577.08671794728</v>
      </c>
      <c r="AG61" s="31" t="n">
        <v>11097.71451586901</v>
      </c>
      <c r="AH61" s="31" t="n">
        <v>51334.07871089229</v>
      </c>
      <c r="AI61" s="31" t="n">
        <v>391494.7838427718</v>
      </c>
      <c r="AJ61" s="31" t="n">
        <v>39020.48440467851</v>
      </c>
      <c r="AK61" s="31" t="n">
        <v>8861.79205706394</v>
      </c>
      <c r="AL61" s="31" t="n">
        <v>19357.86602017297</v>
      </c>
      <c r="AM61" s="31" t="n">
        <v>126285.449522114</v>
      </c>
      <c r="AN61" s="31" t="n">
        <v>142711.1214263379</v>
      </c>
      <c r="AO61" s="31" t="n">
        <v>69283.04603928261</v>
      </c>
      <c r="AP61" s="31" t="n">
        <v>28858.96606680185</v>
      </c>
      <c r="AQ61" s="31" t="n">
        <v>2530577.434167572</v>
      </c>
      <c r="AR61" s="31" t="n">
        <v>371813.4227940891</v>
      </c>
      <c r="AS61" s="31" t="n">
        <v>83613.04764724536</v>
      </c>
      <c r="AT61" s="31" t="n">
        <v>37465.40264873228</v>
      </c>
      <c r="AU61" s="31" t="n">
        <v>124169.2492593104</v>
      </c>
      <c r="AV61" s="31" t="n">
        <v>2104352.810616225</v>
      </c>
      <c r="AW61" s="31" t="n">
        <v>289225.2362409475</v>
      </c>
      <c r="AX61" s="31" t="n">
        <v>698021.603183164</v>
      </c>
      <c r="AY61" s="31" t="n">
        <v>595925.9498938653</v>
      </c>
      <c r="AZ61" s="31" t="n">
        <v>1706928.94820122</v>
      </c>
      <c r="BA61" s="31" t="n">
        <v>1643834.900391751</v>
      </c>
      <c r="BB61" s="31" t="n">
        <v>2698619.298984958</v>
      </c>
      <c r="BC61" s="31" t="n">
        <v>756190.3017678669</v>
      </c>
      <c r="BD61" s="31" t="n">
        <v>1663.961964423169</v>
      </c>
      <c r="BE61" s="31" t="n">
        <v>360792.654002944</v>
      </c>
      <c r="BF61" s="31" t="n">
        <v>172943.8918748716</v>
      </c>
      <c r="BG61" s="31" t="n">
        <v>263565.6649243381</v>
      </c>
      <c r="BH61" s="31" t="n">
        <v>142240.5801531886</v>
      </c>
      <c r="BI61" s="31" t="n">
        <v>14180.55209879173</v>
      </c>
      <c r="BJ61" s="31" t="n">
        <v>87374.32452875662</v>
      </c>
      <c r="BK61" s="31" t="n">
        <v>6510269.100414549</v>
      </c>
      <c r="BL61" s="31" t="n">
        <v>4723038.973097118</v>
      </c>
      <c r="BM61" s="31" t="n">
        <v>419610.3485735605</v>
      </c>
      <c r="BN61" s="31" t="n">
        <v>766654.1942321872</v>
      </c>
      <c r="BO61" s="31" t="n">
        <v>378928.4673875677</v>
      </c>
      <c r="BP61" s="31" t="n">
        <v>1610.121842875804</v>
      </c>
      <c r="BQ61" s="31" t="n">
        <v>122449.4652748592</v>
      </c>
      <c r="BR61" s="31" t="n">
        <v>73150.40299140682</v>
      </c>
      <c r="BS61" s="31" t="n">
        <v>2492700.940318467</v>
      </c>
      <c r="BT61" s="31" t="n">
        <v>566899.8802623674</v>
      </c>
      <c r="BU61" s="31" t="n">
        <v>5763.6505642342</v>
      </c>
      <c r="BV61" s="31" t="n">
        <v>532362.1215483808</v>
      </c>
      <c r="BW61" s="31" t="n">
        <v>190511.7331908394</v>
      </c>
      <c r="BX61" s="31" t="n">
        <v>2743.060311042188</v>
      </c>
      <c r="BY61" s="31" t="n">
        <v>79253.46640141147</v>
      </c>
      <c r="BZ61" s="31" t="n">
        <v>87828.40688078807</v>
      </c>
      <c r="CA61" s="31" t="n">
        <v>82973.16331064355</v>
      </c>
      <c r="CB61" s="31" t="n">
        <v>114424.1287233318</v>
      </c>
      <c r="CC61" s="31" t="n">
        <v>1679.721623862994</v>
      </c>
      <c r="CD61" s="31" t="n">
        <v>366767.3050843886</v>
      </c>
      <c r="CE61" s="31" t="n">
        <v>1119873.809134941</v>
      </c>
      <c r="CF61" s="31" t="n">
        <v>379588.7480695855</v>
      </c>
      <c r="CG61" s="31" t="n">
        <v>136417.5437279784</v>
      </c>
      <c r="CH61" s="31" t="n">
        <v>1051873.598896117</v>
      </c>
      <c r="CI61" s="31" t="n">
        <v>134283.2042763562</v>
      </c>
      <c r="CJ61" s="31" t="n">
        <v>14438.86257262863</v>
      </c>
      <c r="CK61" s="31" t="n">
        <v>5721.89225798482</v>
      </c>
      <c r="CL61" s="31" t="n">
        <v>18333.88801112332</v>
      </c>
      <c r="CM61" s="31" t="n">
        <v>11804.99631873626</v>
      </c>
      <c r="CN61" s="31" t="n">
        <v>174333.2531662057</v>
      </c>
      <c r="CO61" s="31" t="n">
        <v>166359.9886385718</v>
      </c>
      <c r="CP61" s="31" t="n">
        <v>118.4117818587742</v>
      </c>
      <c r="CQ61" s="31" t="n">
        <v>458131.8015123063</v>
      </c>
      <c r="CR61" s="31" t="n">
        <v>147410.2057497337</v>
      </c>
      <c r="CS61" s="31" t="n">
        <v>4849.205587185209</v>
      </c>
      <c r="CT61" s="31" t="n">
        <v>4427.857964504086</v>
      </c>
      <c r="CU61" s="31" t="n">
        <v>355503.9543440233</v>
      </c>
      <c r="CV61" s="31" t="n">
        <v>236228.6381263472</v>
      </c>
      <c r="CW61" s="31" t="n">
        <v>17187.74942547961</v>
      </c>
      <c r="CX61" s="31" t="n">
        <v>17723.82483514193</v>
      </c>
      <c r="CY61" s="31" t="n">
        <v>26302.97432317831</v>
      </c>
      <c r="CZ61" s="31" t="n">
        <v>81039.25492372904</v>
      </c>
      <c r="DA61" s="31" t="n">
        <v>9456.125853686148</v>
      </c>
      <c r="DB61" s="31" t="n">
        <v>13112.23774061875</v>
      </c>
      <c r="DC61" s="31" t="n">
        <v>429994.3817188577</v>
      </c>
      <c r="DD61" s="31" t="n">
        <v>286.2868073118848</v>
      </c>
      <c r="DE61" s="31" t="n">
        <v>0</v>
      </c>
      <c r="DF61" s="31">
        <f>SUM(C61:DE61)</f>
        <v/>
      </c>
      <c r="DG61" s="31" t="n">
        <v>0</v>
      </c>
      <c r="DH61" s="31" t="n">
        <v>0</v>
      </c>
      <c r="DI61" s="31" t="n">
        <v>10986243.52631355</v>
      </c>
      <c r="DJ61" s="31" t="n">
        <v>0</v>
      </c>
      <c r="DK61" s="31">
        <f>SUM(DG61:DJ61)</f>
        <v/>
      </c>
      <c r="DL61" s="31">
        <f>DF61+DK61</f>
        <v/>
      </c>
    </row>
    <row r="62">
      <c r="A62" s="28" t="inlineStr">
        <is>
          <t>281</t>
        </is>
      </c>
      <c r="B62" s="28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9" t="n">
        <v>2268104.182696653</v>
      </c>
      <c r="D62" s="29" t="n">
        <v>92588.50072802335</v>
      </c>
      <c r="E62" s="29" t="n">
        <v>2544.951739135559</v>
      </c>
      <c r="F62" s="29" t="n">
        <v>15682.16253858511</v>
      </c>
      <c r="G62" s="29" t="n">
        <v>19919.59089402172</v>
      </c>
      <c r="H62" s="29" t="n">
        <v>58200.07390035726</v>
      </c>
      <c r="I62" s="29" t="n">
        <v>1161.640536398408</v>
      </c>
      <c r="J62" s="29" t="n">
        <v>2852452.826074157</v>
      </c>
      <c r="K62" s="29" t="n">
        <v>74032.51116015506</v>
      </c>
      <c r="L62" s="29" t="n">
        <v>51899.80039368574</v>
      </c>
      <c r="M62" s="29" t="n">
        <v>27051.07682552536</v>
      </c>
      <c r="N62" s="29" t="n">
        <v>73162.07911752404</v>
      </c>
      <c r="O62" s="29" t="n">
        <v>41909.54327786385</v>
      </c>
      <c r="P62" s="29" t="n">
        <v>28377.85256919036</v>
      </c>
      <c r="Q62" s="29" t="n">
        <v>1742087.306556316</v>
      </c>
      <c r="R62" s="29" t="n">
        <v>50802.6133676806</v>
      </c>
      <c r="S62" s="29" t="n">
        <v>29224.09044188379</v>
      </c>
      <c r="T62" s="29" t="n">
        <v>46371.78666351946</v>
      </c>
      <c r="U62" s="29" t="n">
        <v>39797.3318072273</v>
      </c>
      <c r="V62" s="29" t="n">
        <v>69321.41219919939</v>
      </c>
      <c r="W62" s="29" t="n">
        <v>27396.64836359129</v>
      </c>
      <c r="X62" s="29" t="n">
        <v>5500.368396267058</v>
      </c>
      <c r="Y62" s="29" t="n">
        <v>62957.84763476122</v>
      </c>
      <c r="Z62" s="29" t="n">
        <v>22239.24825557971</v>
      </c>
      <c r="AA62" s="29" t="n">
        <v>55322.62604758277</v>
      </c>
      <c r="AB62" s="29" t="n">
        <v>22755.6561781076</v>
      </c>
      <c r="AC62" s="29" t="n">
        <v>73922.69866518148</v>
      </c>
      <c r="AD62" s="29" t="n">
        <v>6775.62264958109</v>
      </c>
      <c r="AE62" s="29" t="n">
        <v>57261.84104736505</v>
      </c>
      <c r="AF62" s="29" t="n">
        <v>52281.33740809225</v>
      </c>
      <c r="AG62" s="29" t="n">
        <v>9413.411671323489</v>
      </c>
      <c r="AH62" s="29" t="n">
        <v>303794.5888269615</v>
      </c>
      <c r="AI62" s="29" t="n">
        <v>31094.51454123757</v>
      </c>
      <c r="AJ62" s="29" t="n">
        <v>54788.39222644044</v>
      </c>
      <c r="AK62" s="29" t="n">
        <v>44592.48232456083</v>
      </c>
      <c r="AL62" s="29" t="n">
        <v>37256.96966961694</v>
      </c>
      <c r="AM62" s="29" t="n">
        <v>171231.4002572542</v>
      </c>
      <c r="AN62" s="29" t="n">
        <v>44546.72469242952</v>
      </c>
      <c r="AO62" s="29" t="n">
        <v>31262.76518438803</v>
      </c>
      <c r="AP62" s="29" t="n">
        <v>27517.19046519494</v>
      </c>
      <c r="AQ62" s="29" t="n">
        <v>240060.9733840076</v>
      </c>
      <c r="AR62" s="29" t="n">
        <v>45282.04088014748</v>
      </c>
      <c r="AS62" s="29" t="n">
        <v>70576.08165617907</v>
      </c>
      <c r="AT62" s="29" t="n">
        <v>40414.37541164269</v>
      </c>
      <c r="AU62" s="29" t="n">
        <v>116431.9576707648</v>
      </c>
      <c r="AV62" s="29" t="n">
        <v>1341244.774104036</v>
      </c>
      <c r="AW62" s="29" t="n">
        <v>44468.4731491777</v>
      </c>
      <c r="AX62" s="29" t="n">
        <v>85625.11566376701</v>
      </c>
      <c r="AY62" s="29" t="n">
        <v>663001.6571041143</v>
      </c>
      <c r="AZ62" s="29" t="n">
        <v>1129520.243851877</v>
      </c>
      <c r="BA62" s="29" t="n">
        <v>301007.00372355</v>
      </c>
      <c r="BB62" s="29" t="n">
        <v>727690.9639184028</v>
      </c>
      <c r="BC62" s="29" t="n">
        <v>224630.3636596036</v>
      </c>
      <c r="BD62" s="29" t="n">
        <v>10760.17808399445</v>
      </c>
      <c r="BE62" s="29" t="n">
        <v>86205.23441491184</v>
      </c>
      <c r="BF62" s="29" t="n">
        <v>32708.76839464571</v>
      </c>
      <c r="BG62" s="29" t="n">
        <v>30692.89335634488</v>
      </c>
      <c r="BH62" s="29" t="n">
        <v>119848.5529632345</v>
      </c>
      <c r="BI62" s="29" t="n">
        <v>6996.50825532055</v>
      </c>
      <c r="BJ62" s="29" t="n">
        <v>37477.03299826738</v>
      </c>
      <c r="BK62" s="29" t="n">
        <v>522330.9404633947</v>
      </c>
      <c r="BL62" s="29" t="n">
        <v>329761.9988812456</v>
      </c>
      <c r="BM62" s="29" t="n">
        <v>110273.0524233857</v>
      </c>
      <c r="BN62" s="29" t="n">
        <v>219787.9966443071</v>
      </c>
      <c r="BO62" s="29" t="n">
        <v>75965.91153841745</v>
      </c>
      <c r="BP62" s="29" t="n">
        <v>709127.6388144109</v>
      </c>
      <c r="BQ62" s="29" t="n">
        <v>49067.61826892388</v>
      </c>
      <c r="BR62" s="29" t="n">
        <v>49917.16912436626</v>
      </c>
      <c r="BS62" s="29" t="n">
        <v>18936390.1363082</v>
      </c>
      <c r="BT62" s="29" t="n">
        <v>71085.21715249185</v>
      </c>
      <c r="BU62" s="29" t="n">
        <v>163008.374088864</v>
      </c>
      <c r="BV62" s="29" t="n">
        <v>415951.8465133975</v>
      </c>
      <c r="BW62" s="29" t="n">
        <v>21335.43083838282</v>
      </c>
      <c r="BX62" s="29" t="n">
        <v>50964.37067638712</v>
      </c>
      <c r="BY62" s="29" t="n">
        <v>685069.3497649583</v>
      </c>
      <c r="BZ62" s="29" t="n">
        <v>14269.83410728951</v>
      </c>
      <c r="CA62" s="29" t="n">
        <v>527905.4322109198</v>
      </c>
      <c r="CB62" s="29" t="n">
        <v>24464.30647294359</v>
      </c>
      <c r="CC62" s="29" t="n">
        <v>859.5424322756706</v>
      </c>
      <c r="CD62" s="29" t="n">
        <v>77769.15528130029</v>
      </c>
      <c r="CE62" s="29" t="n">
        <v>108576.0259918626</v>
      </c>
      <c r="CF62" s="29" t="n">
        <v>18329.46284633776</v>
      </c>
      <c r="CG62" s="29" t="n">
        <v>43145.36712525372</v>
      </c>
      <c r="CH62" s="29" t="n">
        <v>497231.5603940235</v>
      </c>
      <c r="CI62" s="29" t="n">
        <v>34469.25714644036</v>
      </c>
      <c r="CJ62" s="29" t="n">
        <v>185302.6927317993</v>
      </c>
      <c r="CK62" s="29" t="n">
        <v>17643.87197353831</v>
      </c>
      <c r="CL62" s="29" t="n">
        <v>38925.3559665571</v>
      </c>
      <c r="CM62" s="29" t="n">
        <v>13566.37995520202</v>
      </c>
      <c r="CN62" s="29" t="n">
        <v>3271510.650120541</v>
      </c>
      <c r="CO62" s="29" t="n">
        <v>1984803.284007231</v>
      </c>
      <c r="CP62" s="29" t="n">
        <v>6489.274639164451</v>
      </c>
      <c r="CQ62" s="29" t="n">
        <v>40324.67159410106</v>
      </c>
      <c r="CR62" s="29" t="n">
        <v>100421.0160932355</v>
      </c>
      <c r="CS62" s="29" t="n">
        <v>9794.629895142638</v>
      </c>
      <c r="CT62" s="29" t="n">
        <v>8943.574202171809</v>
      </c>
      <c r="CU62" s="29" t="n">
        <v>227050.6295014525</v>
      </c>
      <c r="CV62" s="29" t="n">
        <v>477144.563059083</v>
      </c>
      <c r="CW62" s="29" t="n">
        <v>63525.51766584455</v>
      </c>
      <c r="CX62" s="29" t="n">
        <v>14724.28682805247</v>
      </c>
      <c r="CY62" s="29" t="n">
        <v>254821.9549839788</v>
      </c>
      <c r="CZ62" s="29" t="n">
        <v>26020.75675986136</v>
      </c>
      <c r="DA62" s="29" t="n">
        <v>34938.67562272597</v>
      </c>
      <c r="DB62" s="29" t="n">
        <v>200008.5108715862</v>
      </c>
      <c r="DC62" s="29" t="n">
        <v>109662.791470025</v>
      </c>
      <c r="DD62" s="29" t="n">
        <v>9137.62505608378</v>
      </c>
      <c r="DE62" s="29" t="n">
        <v>0</v>
      </c>
      <c r="DF62" s="29">
        <f>SUM(C62:DE62)</f>
        <v/>
      </c>
      <c r="DG62" s="29" t="n">
        <v>0</v>
      </c>
      <c r="DH62" s="29" t="n">
        <v>0</v>
      </c>
      <c r="DI62" s="29" t="n">
        <v>17732603.68397468</v>
      </c>
      <c r="DJ62" s="29" t="n">
        <v>0</v>
      </c>
      <c r="DK62" s="29">
        <f>SUM(DG62:DJ62)</f>
        <v/>
      </c>
      <c r="DL62" s="29">
        <f>DF62+DK62</f>
        <v/>
      </c>
    </row>
    <row r="63">
      <c r="A63" s="30" t="inlineStr">
        <is>
          <t>289</t>
        </is>
      </c>
      <c r="B63" s="30" t="inlineStr">
        <is>
          <t>Fabricación de otros productos elaborados de metal; actividades de servicios de trabajo de metales</t>
        </is>
      </c>
      <c r="C63" s="31" t="n">
        <v>1105511.439056051</v>
      </c>
      <c r="D63" s="31" t="n">
        <v>51900.05737650224</v>
      </c>
      <c r="E63" s="31" t="n">
        <v>925.9592357054956</v>
      </c>
      <c r="F63" s="31" t="n">
        <v>11677.21884653179</v>
      </c>
      <c r="G63" s="31" t="n">
        <v>5598.001763650025</v>
      </c>
      <c r="H63" s="31" t="n">
        <v>543731.5874003917</v>
      </c>
      <c r="I63" s="31" t="n">
        <v>338.617789921397</v>
      </c>
      <c r="J63" s="31" t="n">
        <v>11700394.96600316</v>
      </c>
      <c r="K63" s="31" t="n">
        <v>355291.1215538781</v>
      </c>
      <c r="L63" s="31" t="n">
        <v>26675.8032997591</v>
      </c>
      <c r="M63" s="31" t="n">
        <v>18402.65257058283</v>
      </c>
      <c r="N63" s="31" t="n">
        <v>740602.2040169535</v>
      </c>
      <c r="O63" s="31" t="n">
        <v>465663.6386845083</v>
      </c>
      <c r="P63" s="31" t="n">
        <v>996726.6678206576</v>
      </c>
      <c r="Q63" s="31" t="n">
        <v>3122555.743579057</v>
      </c>
      <c r="R63" s="31" t="n">
        <v>1317190.80158117</v>
      </c>
      <c r="S63" s="31" t="n">
        <v>132994.2101158116</v>
      </c>
      <c r="T63" s="31" t="n">
        <v>98659.69924444685</v>
      </c>
      <c r="U63" s="31" t="n">
        <v>294772.5528855</v>
      </c>
      <c r="V63" s="31" t="n">
        <v>813527.7244905764</v>
      </c>
      <c r="W63" s="31" t="n">
        <v>928301.352156846</v>
      </c>
      <c r="X63" s="31" t="n">
        <v>25922.48340717908</v>
      </c>
      <c r="Y63" s="31" t="n">
        <v>1275197.643765088</v>
      </c>
      <c r="Z63" s="31" t="n">
        <v>391295.6793454337</v>
      </c>
      <c r="AA63" s="31" t="n">
        <v>480430.7892854377</v>
      </c>
      <c r="AB63" s="31" t="n">
        <v>503731.3354827568</v>
      </c>
      <c r="AC63" s="31" t="n">
        <v>1287344.662072525</v>
      </c>
      <c r="AD63" s="31" t="n">
        <v>117753.0628231058</v>
      </c>
      <c r="AE63" s="31" t="n">
        <v>586670.1605319403</v>
      </c>
      <c r="AF63" s="31" t="n">
        <v>695069.6084177971</v>
      </c>
      <c r="AG63" s="31" t="n">
        <v>97777.08079249151</v>
      </c>
      <c r="AH63" s="31" t="n">
        <v>151572.2451545503</v>
      </c>
      <c r="AI63" s="31" t="n">
        <v>632943.5441334619</v>
      </c>
      <c r="AJ63" s="31" t="n">
        <v>363694.7755741038</v>
      </c>
      <c r="AK63" s="31" t="n">
        <v>481120.8911906969</v>
      </c>
      <c r="AL63" s="31" t="n">
        <v>452223.8335120335</v>
      </c>
      <c r="AM63" s="31" t="n">
        <v>818888.8845022266</v>
      </c>
      <c r="AN63" s="31" t="n">
        <v>155017.325521355</v>
      </c>
      <c r="AO63" s="31" t="n">
        <v>128555.2508680613</v>
      </c>
      <c r="AP63" s="31" t="n">
        <v>116294.872053876</v>
      </c>
      <c r="AQ63" s="31" t="n">
        <v>5536308.089395445</v>
      </c>
      <c r="AR63" s="31" t="n">
        <v>610565.6263911583</v>
      </c>
      <c r="AS63" s="31" t="n">
        <v>354496.923180764</v>
      </c>
      <c r="AT63" s="31" t="n">
        <v>77834.82869564623</v>
      </c>
      <c r="AU63" s="31" t="n">
        <v>434458.5812938064</v>
      </c>
      <c r="AV63" s="31" t="n">
        <v>1619502.795533712</v>
      </c>
      <c r="AW63" s="31" t="n">
        <v>283528.9400171649</v>
      </c>
      <c r="AX63" s="31" t="n">
        <v>1292182.712659416</v>
      </c>
      <c r="AY63" s="31" t="n">
        <v>1037492.999801813</v>
      </c>
      <c r="AZ63" s="31" t="n">
        <v>3209862.314362271</v>
      </c>
      <c r="BA63" s="31" t="n">
        <v>3385725.362650026</v>
      </c>
      <c r="BB63" s="31" t="n">
        <v>4703915.193010241</v>
      </c>
      <c r="BC63" s="31" t="n">
        <v>1517277.235640578</v>
      </c>
      <c r="BD63" s="31" t="n">
        <v>228025.9662667987</v>
      </c>
      <c r="BE63" s="31" t="n">
        <v>766520.2881724528</v>
      </c>
      <c r="BF63" s="31" t="n">
        <v>359726.5108745683</v>
      </c>
      <c r="BG63" s="31" t="n">
        <v>463583.4978688741</v>
      </c>
      <c r="BH63" s="31" t="n">
        <v>1791218.025661641</v>
      </c>
      <c r="BI63" s="31" t="n">
        <v>38618.35662250117</v>
      </c>
      <c r="BJ63" s="31" t="n">
        <v>201677.7887846949</v>
      </c>
      <c r="BK63" s="31" t="n">
        <v>10525947.58432567</v>
      </c>
      <c r="BL63" s="31" t="n">
        <v>6853748.787686239</v>
      </c>
      <c r="BM63" s="31" t="n">
        <v>675505.3447146949</v>
      </c>
      <c r="BN63" s="31" t="n">
        <v>1157052.427160311</v>
      </c>
      <c r="BO63" s="31" t="n">
        <v>1255606.69480542</v>
      </c>
      <c r="BP63" s="31" t="n">
        <v>174105.9976851422</v>
      </c>
      <c r="BQ63" s="31" t="n">
        <v>183524.2736264342</v>
      </c>
      <c r="BR63" s="31" t="n">
        <v>333965.9116822924</v>
      </c>
      <c r="BS63" s="31" t="n">
        <v>16149084.52889753</v>
      </c>
      <c r="BT63" s="31" t="n">
        <v>1107630.618786192</v>
      </c>
      <c r="BU63" s="31" t="n">
        <v>1122005.232188184</v>
      </c>
      <c r="BV63" s="31" t="n">
        <v>1641235.888614795</v>
      </c>
      <c r="BW63" s="31" t="n">
        <v>274520.4797470612</v>
      </c>
      <c r="BX63" s="31" t="n">
        <v>187319.8804326872</v>
      </c>
      <c r="BY63" s="31" t="n">
        <v>234451.6088667392</v>
      </c>
      <c r="BZ63" s="31" t="n">
        <v>226338.1794057068</v>
      </c>
      <c r="CA63" s="31" t="n">
        <v>443912.0351414282</v>
      </c>
      <c r="CB63" s="31" t="n">
        <v>369787.2411732597</v>
      </c>
      <c r="CC63" s="31" t="n">
        <v>13214.61738841524</v>
      </c>
      <c r="CD63" s="31" t="n">
        <v>530017.5247498655</v>
      </c>
      <c r="CE63" s="31" t="n">
        <v>1710870.71186348</v>
      </c>
      <c r="CF63" s="31" t="n">
        <v>527533.4794908079</v>
      </c>
      <c r="CG63" s="31" t="n">
        <v>255606.6269667412</v>
      </c>
      <c r="CH63" s="31" t="n">
        <v>1717219.131967665</v>
      </c>
      <c r="CI63" s="31" t="n">
        <v>198257.2115076171</v>
      </c>
      <c r="CJ63" s="31" t="n">
        <v>84756.45378843458</v>
      </c>
      <c r="CK63" s="31" t="n">
        <v>17069.16310979171</v>
      </c>
      <c r="CL63" s="31" t="n">
        <v>58244.10679653872</v>
      </c>
      <c r="CM63" s="31" t="n">
        <v>42621.52225912007</v>
      </c>
      <c r="CN63" s="31" t="n">
        <v>1449829.401584618</v>
      </c>
      <c r="CO63" s="31" t="n">
        <v>1023668.890208552</v>
      </c>
      <c r="CP63" s="31" t="n">
        <v>27657.77253817688</v>
      </c>
      <c r="CQ63" s="31" t="n">
        <v>855276.5375678529</v>
      </c>
      <c r="CR63" s="31" t="n">
        <v>375621.4946798413</v>
      </c>
      <c r="CS63" s="31" t="n">
        <v>10645.23305486913</v>
      </c>
      <c r="CT63" s="31" t="n">
        <v>9720.268427176523</v>
      </c>
      <c r="CU63" s="31" t="n">
        <v>930517.4511536983</v>
      </c>
      <c r="CV63" s="31" t="n">
        <v>521494.1477732866</v>
      </c>
      <c r="CW63" s="31" t="n">
        <v>102852.0095300458</v>
      </c>
      <c r="CX63" s="31" t="n">
        <v>46247.00200344276</v>
      </c>
      <c r="CY63" s="31" t="n">
        <v>241478.915914975</v>
      </c>
      <c r="CZ63" s="31" t="n">
        <v>136934.7158626358</v>
      </c>
      <c r="DA63" s="31" t="n">
        <v>228207.1628075519</v>
      </c>
      <c r="DB63" s="31" t="n">
        <v>106054.1277433415</v>
      </c>
      <c r="DC63" s="31" t="n">
        <v>699928.4474146325</v>
      </c>
      <c r="DD63" s="31" t="n">
        <v>17468.85813625552</v>
      </c>
      <c r="DE63" s="31" t="n">
        <v>0</v>
      </c>
      <c r="DF63" s="31">
        <f>SUM(C63:DE63)</f>
        <v/>
      </c>
      <c r="DG63" s="31" t="n">
        <v>0</v>
      </c>
      <c r="DH63" s="31" t="n">
        <v>0</v>
      </c>
      <c r="DI63" s="31" t="n">
        <v>41739984.79920406</v>
      </c>
      <c r="DJ63" s="31" t="n">
        <v>0</v>
      </c>
      <c r="DK63" s="31">
        <f>SUM(DG63:DJ63)</f>
        <v/>
      </c>
      <c r="DL63" s="31">
        <f>DF63+DK63</f>
        <v/>
      </c>
    </row>
    <row r="64">
      <c r="A64" s="28" t="inlineStr">
        <is>
          <t>291</t>
        </is>
      </c>
      <c r="B64" s="28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9" t="n">
        <v>2451717.320766091</v>
      </c>
      <c r="D64" s="29" t="n">
        <v>83197.74946545085</v>
      </c>
      <c r="E64" s="29" t="n">
        <v>920.8463415528154</v>
      </c>
      <c r="F64" s="29" t="n">
        <v>726.3417763686206</v>
      </c>
      <c r="G64" s="29" t="n">
        <v>7207.556087574056</v>
      </c>
      <c r="H64" s="29" t="n">
        <v>295771.6956564236</v>
      </c>
      <c r="I64" s="29" t="n">
        <v>429.2705466723383</v>
      </c>
      <c r="J64" s="29" t="n">
        <v>2126980.002212501</v>
      </c>
      <c r="K64" s="29" t="n">
        <v>279314.3186984877</v>
      </c>
      <c r="L64" s="29" t="n">
        <v>22268.59657034909</v>
      </c>
      <c r="M64" s="29" t="n">
        <v>49715.64865587396</v>
      </c>
      <c r="N64" s="29" t="n">
        <v>189860.3311276951</v>
      </c>
      <c r="O64" s="29" t="n">
        <v>96925.77963170399</v>
      </c>
      <c r="P64" s="29" t="n">
        <v>66181.85751578171</v>
      </c>
      <c r="Q64" s="29" t="n">
        <v>901398.3863546096</v>
      </c>
      <c r="R64" s="29" t="n">
        <v>112656.4422147246</v>
      </c>
      <c r="S64" s="29" t="n">
        <v>126551.4832009581</v>
      </c>
      <c r="T64" s="29" t="n">
        <v>85171.1606339237</v>
      </c>
      <c r="U64" s="29" t="n">
        <v>90559.74759894154</v>
      </c>
      <c r="V64" s="29" t="n">
        <v>105568.875726949</v>
      </c>
      <c r="W64" s="29" t="n">
        <v>86266.13601618854</v>
      </c>
      <c r="X64" s="29" t="n">
        <v>21126.10947726844</v>
      </c>
      <c r="Y64" s="29" t="n">
        <v>247948.93467302</v>
      </c>
      <c r="Z64" s="29" t="n">
        <v>45377.04599035341</v>
      </c>
      <c r="AA64" s="29" t="n">
        <v>58687.99035590625</v>
      </c>
      <c r="AB64" s="29" t="n">
        <v>74441.71977735519</v>
      </c>
      <c r="AC64" s="29" t="n">
        <v>188362.5543096656</v>
      </c>
      <c r="AD64" s="29" t="n">
        <v>27765.08714524566</v>
      </c>
      <c r="AE64" s="29" t="n">
        <v>161462.8284140452</v>
      </c>
      <c r="AF64" s="29" t="n">
        <v>48748.59723105837</v>
      </c>
      <c r="AG64" s="29" t="n">
        <v>39782.85409108979</v>
      </c>
      <c r="AH64" s="29" t="n">
        <v>22378.97416215587</v>
      </c>
      <c r="AI64" s="29" t="n">
        <v>107343.0201660356</v>
      </c>
      <c r="AJ64" s="29" t="n">
        <v>271707.9914836404</v>
      </c>
      <c r="AK64" s="29" t="n">
        <v>40833.78878335607</v>
      </c>
      <c r="AL64" s="29" t="n">
        <v>80972.49691735835</v>
      </c>
      <c r="AM64" s="29" t="n">
        <v>234210.3139878991</v>
      </c>
      <c r="AN64" s="29" t="n">
        <v>97313.91117597527</v>
      </c>
      <c r="AO64" s="29" t="n">
        <v>23681.4375644914</v>
      </c>
      <c r="AP64" s="29" t="n">
        <v>62643.03723593391</v>
      </c>
      <c r="AQ64" s="29" t="n">
        <v>316115.5829595703</v>
      </c>
      <c r="AR64" s="29" t="n">
        <v>30869.06125575598</v>
      </c>
      <c r="AS64" s="29" t="n">
        <v>94357.69676861932</v>
      </c>
      <c r="AT64" s="29" t="n">
        <v>34269.41350654082</v>
      </c>
      <c r="AU64" s="29" t="n">
        <v>413433.3235250395</v>
      </c>
      <c r="AV64" s="29" t="n">
        <v>640549.5742128126</v>
      </c>
      <c r="AW64" s="29" t="n">
        <v>70851.25909209324</v>
      </c>
      <c r="AX64" s="29" t="n">
        <v>165908.6621041735</v>
      </c>
      <c r="AY64" s="29" t="n">
        <v>145832.1248003508</v>
      </c>
      <c r="AZ64" s="29" t="n">
        <v>693153.6268452075</v>
      </c>
      <c r="BA64" s="29" t="n">
        <v>2226601.715167996</v>
      </c>
      <c r="BB64" s="29" t="n">
        <v>2185652.327595676</v>
      </c>
      <c r="BC64" s="29" t="n">
        <v>1403051.469573102</v>
      </c>
      <c r="BD64" s="29" t="n">
        <v>6200.197906974126</v>
      </c>
      <c r="BE64" s="29" t="n">
        <v>166712.1920364112</v>
      </c>
      <c r="BF64" s="29" t="n">
        <v>19499.9985293665</v>
      </c>
      <c r="BG64" s="29" t="n">
        <v>83025.5496481528</v>
      </c>
      <c r="BH64" s="29" t="n">
        <v>118614.1149554671</v>
      </c>
      <c r="BI64" s="29" t="n">
        <v>10787.60451650511</v>
      </c>
      <c r="BJ64" s="29" t="n">
        <v>44648.87010137331</v>
      </c>
      <c r="BK64" s="29" t="n">
        <v>4362172.408641618</v>
      </c>
      <c r="BL64" s="29" t="n">
        <v>748254.8435552217</v>
      </c>
      <c r="BM64" s="29" t="n">
        <v>58733.81437860438</v>
      </c>
      <c r="BN64" s="29" t="n">
        <v>59749.74299271813</v>
      </c>
      <c r="BO64" s="29" t="n">
        <v>323282.610681758</v>
      </c>
      <c r="BP64" s="29" t="n">
        <v>1218478.772400764</v>
      </c>
      <c r="BQ64" s="29" t="n">
        <v>58616.02154282561</v>
      </c>
      <c r="BR64" s="29" t="n">
        <v>319877.9362361307</v>
      </c>
      <c r="BS64" s="29" t="n">
        <v>8553585.367090572</v>
      </c>
      <c r="BT64" s="29" t="n">
        <v>31503.42133416261</v>
      </c>
      <c r="BU64" s="29" t="n">
        <v>100818.9767352132</v>
      </c>
      <c r="BV64" s="29" t="n">
        <v>168246.757302363</v>
      </c>
      <c r="BW64" s="29" t="n">
        <v>21349.16769131505</v>
      </c>
      <c r="BX64" s="29" t="n">
        <v>33580.9955652627</v>
      </c>
      <c r="BY64" s="29" t="n">
        <v>185061.7173478337</v>
      </c>
      <c r="BZ64" s="29" t="n">
        <v>143623.4169793939</v>
      </c>
      <c r="CA64" s="29" t="n">
        <v>310961.0264869331</v>
      </c>
      <c r="CB64" s="29" t="n">
        <v>82549.93719369636</v>
      </c>
      <c r="CC64" s="29" t="n">
        <v>15447.91788126659</v>
      </c>
      <c r="CD64" s="29" t="n">
        <v>35976.06409835676</v>
      </c>
      <c r="CE64" s="29" t="n">
        <v>243770.1051673214</v>
      </c>
      <c r="CF64" s="29" t="n">
        <v>11789.2493131238</v>
      </c>
      <c r="CG64" s="29" t="n">
        <v>103631.5258151892</v>
      </c>
      <c r="CH64" s="29" t="n">
        <v>1050320.18570403</v>
      </c>
      <c r="CI64" s="29" t="n">
        <v>14984.45910819546</v>
      </c>
      <c r="CJ64" s="29" t="n">
        <v>93577.93230590379</v>
      </c>
      <c r="CK64" s="29" t="n">
        <v>11477.44696899054</v>
      </c>
      <c r="CL64" s="29" t="n">
        <v>44192.21374165139</v>
      </c>
      <c r="CM64" s="29" t="n">
        <v>11410.2215926739</v>
      </c>
      <c r="CN64" s="29" t="n">
        <v>416254.9205722337</v>
      </c>
      <c r="CO64" s="29" t="n">
        <v>261100.1792644066</v>
      </c>
      <c r="CP64" s="29" t="n">
        <v>6840.635487075338</v>
      </c>
      <c r="CQ64" s="29" t="n">
        <v>128971.0000051258</v>
      </c>
      <c r="CR64" s="29" t="n">
        <v>177018.9947108391</v>
      </c>
      <c r="CS64" s="29" t="n">
        <v>7871.266279606329</v>
      </c>
      <c r="CT64" s="29" t="n">
        <v>7187.331710371568</v>
      </c>
      <c r="CU64" s="29" t="n">
        <v>222775.1188170458</v>
      </c>
      <c r="CV64" s="29" t="n">
        <v>383209.9812419314</v>
      </c>
      <c r="CW64" s="29" t="n">
        <v>34480.26087448616</v>
      </c>
      <c r="CX64" s="29" t="n">
        <v>25316.93245414827</v>
      </c>
      <c r="CY64" s="29" t="n">
        <v>255713.9223714965</v>
      </c>
      <c r="CZ64" s="29" t="n">
        <v>99946.6006435754</v>
      </c>
      <c r="DA64" s="29" t="n">
        <v>22871.00456706512</v>
      </c>
      <c r="DB64" s="29" t="n">
        <v>92070.77709009148</v>
      </c>
      <c r="DC64" s="29" t="n">
        <v>232684.5659976786</v>
      </c>
      <c r="DD64" s="29" t="n">
        <v>3637.33700744243</v>
      </c>
      <c r="DE64" s="29" t="n">
        <v>0</v>
      </c>
      <c r="DF64" s="29">
        <f>SUM(C64:DE64)</f>
        <v/>
      </c>
      <c r="DG64" s="29" t="n">
        <v>0</v>
      </c>
      <c r="DH64" s="29" t="n">
        <v>0</v>
      </c>
      <c r="DI64" s="29" t="n">
        <v>30307180.49467657</v>
      </c>
      <c r="DJ64" s="29" t="n">
        <v>0</v>
      </c>
      <c r="DK64" s="29">
        <f>SUM(DG64:DJ64)</f>
        <v/>
      </c>
      <c r="DL64" s="29">
        <f>DF64+DK64</f>
        <v/>
      </c>
    </row>
    <row r="65">
      <c r="A65" s="30" t="inlineStr">
        <is>
          <t>292</t>
        </is>
      </c>
      <c r="B65" s="30" t="inlineStr">
        <is>
          <t>Fabricación de maquinaria de uso especial</t>
        </is>
      </c>
      <c r="C65" s="31" t="n">
        <v>557142.9454653367</v>
      </c>
      <c r="D65" s="31" t="n">
        <v>49166.45611822668</v>
      </c>
      <c r="E65" s="31" t="n">
        <v>5185.55040670525</v>
      </c>
      <c r="F65" s="31" t="n">
        <v>3305.10743023245</v>
      </c>
      <c r="G65" s="31" t="n">
        <v>3387.875053064342</v>
      </c>
      <c r="H65" s="31" t="n">
        <v>30210.64107824134</v>
      </c>
      <c r="I65" s="31" t="n">
        <v>221.0077993864275</v>
      </c>
      <c r="J65" s="31" t="n">
        <v>182498.8006300723</v>
      </c>
      <c r="K65" s="31" t="n">
        <v>140146.2568570627</v>
      </c>
      <c r="L65" s="31" t="n">
        <v>18495.19829211194</v>
      </c>
      <c r="M65" s="31" t="n">
        <v>16075.94151074664</v>
      </c>
      <c r="N65" s="31" t="n">
        <v>54457.87441557279</v>
      </c>
      <c r="O65" s="31" t="n">
        <v>22625.09357092958</v>
      </c>
      <c r="P65" s="31" t="n">
        <v>117298.389205288</v>
      </c>
      <c r="Q65" s="31" t="n">
        <v>749562.4968450496</v>
      </c>
      <c r="R65" s="31" t="n">
        <v>111659.303823319</v>
      </c>
      <c r="S65" s="31" t="n">
        <v>22753.29115260167</v>
      </c>
      <c r="T65" s="31" t="n">
        <v>33968.77399258664</v>
      </c>
      <c r="U65" s="31" t="n">
        <v>160700.0143751637</v>
      </c>
      <c r="V65" s="31" t="n">
        <v>27948.14118178084</v>
      </c>
      <c r="W65" s="31" t="n">
        <v>22199.73338871304</v>
      </c>
      <c r="X65" s="31" t="n">
        <v>6154.641132617769</v>
      </c>
      <c r="Y65" s="31" t="n">
        <v>62933.93151822704</v>
      </c>
      <c r="Z65" s="31" t="n">
        <v>10119.16493069717</v>
      </c>
      <c r="AA65" s="31" t="n">
        <v>21681.85571659679</v>
      </c>
      <c r="AB65" s="31" t="n">
        <v>20387.94524939271</v>
      </c>
      <c r="AC65" s="31" t="n">
        <v>271087.0457594372</v>
      </c>
      <c r="AD65" s="31" t="n">
        <v>3493.201531840575</v>
      </c>
      <c r="AE65" s="31" t="n">
        <v>26598.74921892632</v>
      </c>
      <c r="AF65" s="31" t="n">
        <v>76895.43935706145</v>
      </c>
      <c r="AG65" s="31" t="n">
        <v>7529.008753003636</v>
      </c>
      <c r="AH65" s="31" t="n">
        <v>14781.81287389247</v>
      </c>
      <c r="AI65" s="31" t="n">
        <v>15121.30637502545</v>
      </c>
      <c r="AJ65" s="31" t="n">
        <v>40469.88095889147</v>
      </c>
      <c r="AK65" s="31" t="n">
        <v>28685.59339746726</v>
      </c>
      <c r="AL65" s="31" t="n">
        <v>25037.56065456918</v>
      </c>
      <c r="AM65" s="31" t="n">
        <v>533674.9113318149</v>
      </c>
      <c r="AN65" s="31" t="n">
        <v>23012.16797578384</v>
      </c>
      <c r="AO65" s="31" t="n">
        <v>11947.20998295765</v>
      </c>
      <c r="AP65" s="31" t="n">
        <v>18506.69056929815</v>
      </c>
      <c r="AQ65" s="31" t="n">
        <v>615117.2107656666</v>
      </c>
      <c r="AR65" s="31" t="n">
        <v>19499.02206764284</v>
      </c>
      <c r="AS65" s="31" t="n">
        <v>29215.90436198014</v>
      </c>
      <c r="AT65" s="31" t="n">
        <v>4441.160971869078</v>
      </c>
      <c r="AU65" s="31" t="n">
        <v>38944.8628044294</v>
      </c>
      <c r="AV65" s="31" t="n">
        <v>120243.812183812</v>
      </c>
      <c r="AW65" s="31" t="n">
        <v>14116.73293832886</v>
      </c>
      <c r="AX65" s="31" t="n">
        <v>50741.25437827917</v>
      </c>
      <c r="AY65" s="31" t="n">
        <v>37723.70506804055</v>
      </c>
      <c r="AZ65" s="31" t="n">
        <v>106802.1143427756</v>
      </c>
      <c r="BA65" s="31" t="n">
        <v>229680.6906071002</v>
      </c>
      <c r="BB65" s="31" t="n">
        <v>1593085.60006362</v>
      </c>
      <c r="BC65" s="31" t="n">
        <v>77162.07489522328</v>
      </c>
      <c r="BD65" s="31" t="n">
        <v>154077.6326487312</v>
      </c>
      <c r="BE65" s="31" t="n">
        <v>17871.28222384681</v>
      </c>
      <c r="BF65" s="31" t="n">
        <v>3655.484565471153</v>
      </c>
      <c r="BG65" s="31" t="n">
        <v>10063.33901202733</v>
      </c>
      <c r="BH65" s="31" t="n">
        <v>47277.26673772535</v>
      </c>
      <c r="BI65" s="31" t="n">
        <v>3514.573893428398</v>
      </c>
      <c r="BJ65" s="31" t="n">
        <v>8067.420540913133</v>
      </c>
      <c r="BK65" s="31" t="n">
        <v>426101.3290852982</v>
      </c>
      <c r="BL65" s="31" t="n">
        <v>138509.3202075665</v>
      </c>
      <c r="BM65" s="31" t="n">
        <v>16523.61917725968</v>
      </c>
      <c r="BN65" s="31" t="n">
        <v>30383.38346790978</v>
      </c>
      <c r="BO65" s="31" t="n">
        <v>98799.8144480078</v>
      </c>
      <c r="BP65" s="31" t="n">
        <v>55482.42639847002</v>
      </c>
      <c r="BQ65" s="31" t="n">
        <v>11008.37982357172</v>
      </c>
      <c r="BR65" s="31" t="n">
        <v>102666.4917130345</v>
      </c>
      <c r="BS65" s="31" t="n">
        <v>1803711.778503119</v>
      </c>
      <c r="BT65" s="31" t="n">
        <v>179453.4272819574</v>
      </c>
      <c r="BU65" s="31" t="n">
        <v>456114.32598164</v>
      </c>
      <c r="BV65" s="31" t="n">
        <v>217344.8253290326</v>
      </c>
      <c r="BW65" s="31" t="n">
        <v>8700.412744217745</v>
      </c>
      <c r="BX65" s="31" t="n">
        <v>91299.62903038249</v>
      </c>
      <c r="BY65" s="31" t="n">
        <v>150067.9116326411</v>
      </c>
      <c r="BZ65" s="31" t="n">
        <v>10149.67515760856</v>
      </c>
      <c r="CA65" s="31" t="n">
        <v>99542.87275145421</v>
      </c>
      <c r="CB65" s="31" t="n">
        <v>35594.31206167392</v>
      </c>
      <c r="CC65" s="31" t="n">
        <v>1070.913521407019</v>
      </c>
      <c r="CD65" s="31" t="n">
        <v>32939.5036299208</v>
      </c>
      <c r="CE65" s="31" t="n">
        <v>39490.33131747514</v>
      </c>
      <c r="CF65" s="31" t="n">
        <v>9773.727105707992</v>
      </c>
      <c r="CG65" s="31" t="n">
        <v>33459.36163411458</v>
      </c>
      <c r="CH65" s="31" t="n">
        <v>548131.3075698033</v>
      </c>
      <c r="CI65" s="31" t="n">
        <v>10254.77733567427</v>
      </c>
      <c r="CJ65" s="31" t="n">
        <v>42326.30277534041</v>
      </c>
      <c r="CK65" s="31" t="n">
        <v>9512.74694728465</v>
      </c>
      <c r="CL65" s="31" t="n">
        <v>14645.5941348005</v>
      </c>
      <c r="CM65" s="31" t="n">
        <v>13208.79646018348</v>
      </c>
      <c r="CN65" s="31" t="n">
        <v>53793.92096781805</v>
      </c>
      <c r="CO65" s="31" t="n">
        <v>34184.55820154166</v>
      </c>
      <c r="CP65" s="31" t="n">
        <v>13389.68212652001</v>
      </c>
      <c r="CQ65" s="31" t="n">
        <v>73755.97671305086</v>
      </c>
      <c r="CR65" s="31" t="n">
        <v>120707.8655058324</v>
      </c>
      <c r="CS65" s="31" t="n">
        <v>7986.981867436155</v>
      </c>
      <c r="CT65" s="31" t="n">
        <v>7292.992767214279</v>
      </c>
      <c r="CU65" s="31" t="n">
        <v>392630.6733891984</v>
      </c>
      <c r="CV65" s="31" t="n">
        <v>387236.8027923694</v>
      </c>
      <c r="CW65" s="31" t="n">
        <v>40667.27734680004</v>
      </c>
      <c r="CX65" s="31" t="n">
        <v>5292.153921411778</v>
      </c>
      <c r="CY65" s="31" t="n">
        <v>103004.6254055358</v>
      </c>
      <c r="CZ65" s="31" t="n">
        <v>14642.58914388452</v>
      </c>
      <c r="DA65" s="31" t="n">
        <v>98280.65499426886</v>
      </c>
      <c r="DB65" s="31" t="n">
        <v>56850.54879021805</v>
      </c>
      <c r="DC65" s="31" t="n">
        <v>134611.2477463872</v>
      </c>
      <c r="DD65" s="31" t="n">
        <v>11924.08822655851</v>
      </c>
      <c r="DE65" s="31" t="n">
        <v>0</v>
      </c>
      <c r="DF65" s="31">
        <f>SUM(C65:DE65)</f>
        <v/>
      </c>
      <c r="DG65" s="31" t="n">
        <v>0</v>
      </c>
      <c r="DH65" s="31" t="n">
        <v>0</v>
      </c>
      <c r="DI65" s="31" t="n">
        <v>113920459.7814352</v>
      </c>
      <c r="DJ65" s="31" t="n">
        <v>0</v>
      </c>
      <c r="DK65" s="31">
        <f>SUM(DG65:DJ65)</f>
        <v/>
      </c>
      <c r="DL65" s="31">
        <f>DF65+DK65</f>
        <v/>
      </c>
    </row>
    <row r="66">
      <c r="A66" s="28" t="inlineStr">
        <is>
          <t>29300</t>
        </is>
      </c>
      <c r="B66" s="28" t="inlineStr">
        <is>
          <t>29300 - Fabricación de aparatos de uso doméstico n.c.p.</t>
        </is>
      </c>
      <c r="C66" s="29" t="n">
        <v>539330.6840474163</v>
      </c>
      <c r="D66" s="29" t="n">
        <v>57153.20079252037</v>
      </c>
      <c r="E66" s="29" t="n">
        <v>30.18779801023939</v>
      </c>
      <c r="F66" s="29" t="n">
        <v>31.99315070558776</v>
      </c>
      <c r="G66" s="29" t="n">
        <v>236.282903564837</v>
      </c>
      <c r="H66" s="29" t="n">
        <v>16529.14319756292</v>
      </c>
      <c r="I66" s="29" t="n">
        <v>14.16863627726474</v>
      </c>
      <c r="J66" s="29" t="n">
        <v>192231.1961031352</v>
      </c>
      <c r="K66" s="29" t="n">
        <v>57916.28927636372</v>
      </c>
      <c r="L66" s="29" t="n">
        <v>588.6677226894549</v>
      </c>
      <c r="M66" s="29" t="n">
        <v>2193.441386165791</v>
      </c>
      <c r="N66" s="29" t="n">
        <v>47569.92922600584</v>
      </c>
      <c r="O66" s="29" t="n">
        <v>25811.87486893564</v>
      </c>
      <c r="P66" s="29" t="n">
        <v>24800.08795848713</v>
      </c>
      <c r="Q66" s="29" t="n">
        <v>160342.0986707877</v>
      </c>
      <c r="R66" s="29" t="n">
        <v>40610.37103958376</v>
      </c>
      <c r="S66" s="29" t="n">
        <v>28676.48722183868</v>
      </c>
      <c r="T66" s="29" t="n">
        <v>36884.34269513408</v>
      </c>
      <c r="U66" s="29" t="n">
        <v>20843.74218159216</v>
      </c>
      <c r="V66" s="29" t="n">
        <v>20298.31506842486</v>
      </c>
      <c r="W66" s="29" t="n">
        <v>25098.63062174532</v>
      </c>
      <c r="X66" s="29" t="n">
        <v>5357.601163807284</v>
      </c>
      <c r="Y66" s="29" t="n">
        <v>59818.32994205678</v>
      </c>
      <c r="Z66" s="29" t="n">
        <v>13502.67688093092</v>
      </c>
      <c r="AA66" s="29" t="n">
        <v>25554.16792480445</v>
      </c>
      <c r="AB66" s="29" t="n">
        <v>16933.37744076716</v>
      </c>
      <c r="AC66" s="29" t="n">
        <v>38251.5965704027</v>
      </c>
      <c r="AD66" s="29" t="n">
        <v>4823.246870622008</v>
      </c>
      <c r="AE66" s="29" t="n">
        <v>26300.03445566142</v>
      </c>
      <c r="AF66" s="29" t="n">
        <v>20724.01269530094</v>
      </c>
      <c r="AG66" s="29" t="n">
        <v>9136.468369982058</v>
      </c>
      <c r="AH66" s="29" t="n">
        <v>3921.059150007912</v>
      </c>
      <c r="AI66" s="29" t="n">
        <v>22895.11942207368</v>
      </c>
      <c r="AJ66" s="29" t="n">
        <v>43902.95340767775</v>
      </c>
      <c r="AK66" s="29" t="n">
        <v>14776.91709620027</v>
      </c>
      <c r="AL66" s="29" t="n">
        <v>13821.12538104823</v>
      </c>
      <c r="AM66" s="29" t="n">
        <v>267380.5610030557</v>
      </c>
      <c r="AN66" s="29" t="n">
        <v>28793.52228724635</v>
      </c>
      <c r="AO66" s="29" t="n">
        <v>8027.969663891004</v>
      </c>
      <c r="AP66" s="29" t="n">
        <v>17045.00517805321</v>
      </c>
      <c r="AQ66" s="29" t="n">
        <v>230754.797278298</v>
      </c>
      <c r="AR66" s="29" t="n">
        <v>15319.15009449524</v>
      </c>
      <c r="AS66" s="29" t="n">
        <v>10772.739770633</v>
      </c>
      <c r="AT66" s="29" t="n">
        <v>5182.477132383729</v>
      </c>
      <c r="AU66" s="29" t="n">
        <v>45774.77849942971</v>
      </c>
      <c r="AV66" s="29" t="n">
        <v>99831.72056960079</v>
      </c>
      <c r="AW66" s="29" t="n">
        <v>15884.55006622907</v>
      </c>
      <c r="AX66" s="29" t="n">
        <v>34843.37966073037</v>
      </c>
      <c r="AY66" s="29" t="n">
        <v>15203.9690180515</v>
      </c>
      <c r="AZ66" s="29" t="n">
        <v>46029.14056347911</v>
      </c>
      <c r="BA66" s="29" t="n">
        <v>247998.8800731546</v>
      </c>
      <c r="BB66" s="29" t="n">
        <v>130033.5490585849</v>
      </c>
      <c r="BC66" s="29" t="n">
        <v>1075537.872272785</v>
      </c>
      <c r="BD66" s="29" t="n">
        <v>35968.46201871616</v>
      </c>
      <c r="BE66" s="29" t="n">
        <v>11274.75762068542</v>
      </c>
      <c r="BF66" s="29" t="n">
        <v>3287.075281726051</v>
      </c>
      <c r="BG66" s="29" t="n">
        <v>8690.366186113954</v>
      </c>
      <c r="BH66" s="29" t="n">
        <v>25733.85382452432</v>
      </c>
      <c r="BI66" s="29" t="n">
        <v>101898.4968205253</v>
      </c>
      <c r="BJ66" s="29" t="n">
        <v>35615.7387273248</v>
      </c>
      <c r="BK66" s="29" t="n">
        <v>409434.640115431</v>
      </c>
      <c r="BL66" s="29" t="n">
        <v>151417.0086044059</v>
      </c>
      <c r="BM66" s="29" t="n">
        <v>12829.97196012279</v>
      </c>
      <c r="BN66" s="29" t="n">
        <v>24776.21759732231</v>
      </c>
      <c r="BO66" s="29" t="n">
        <v>27741.56029307228</v>
      </c>
      <c r="BP66" s="29" t="n">
        <v>10986.44450948938</v>
      </c>
      <c r="BQ66" s="29" t="n">
        <v>5405.908627797869</v>
      </c>
      <c r="BR66" s="29" t="n">
        <v>38717.31459799036</v>
      </c>
      <c r="BS66" s="29" t="n">
        <v>258453.5007068383</v>
      </c>
      <c r="BT66" s="29" t="n">
        <v>26105.37812612941</v>
      </c>
      <c r="BU66" s="29" t="n">
        <v>29433.01065001099</v>
      </c>
      <c r="BV66" s="29" t="n">
        <v>52647.16876971166</v>
      </c>
      <c r="BW66" s="29" t="n">
        <v>22911.95155593816</v>
      </c>
      <c r="BX66" s="29" t="n">
        <v>18823.73120324242</v>
      </c>
      <c r="BY66" s="29" t="n">
        <v>32875.73782392287</v>
      </c>
      <c r="BZ66" s="29" t="n">
        <v>20004.39931045838</v>
      </c>
      <c r="CA66" s="29" t="n">
        <v>8695.670050937993</v>
      </c>
      <c r="CB66" s="29" t="n">
        <v>18859.72293541457</v>
      </c>
      <c r="CC66" s="29" t="n">
        <v>1992.893817781272</v>
      </c>
      <c r="CD66" s="29" t="n">
        <v>9189.025093683975</v>
      </c>
      <c r="CE66" s="29" t="n">
        <v>49963.19289771037</v>
      </c>
      <c r="CF66" s="29" t="n">
        <v>12336.99455709603</v>
      </c>
      <c r="CG66" s="29" t="n">
        <v>34476.9489508527</v>
      </c>
      <c r="CH66" s="29" t="n">
        <v>709488.9007503663</v>
      </c>
      <c r="CI66" s="29" t="n">
        <v>5393.237816452735</v>
      </c>
      <c r="CJ66" s="29" t="n">
        <v>12840.94398065681</v>
      </c>
      <c r="CK66" s="29" t="n">
        <v>1751.252714421411</v>
      </c>
      <c r="CL66" s="29" t="n">
        <v>8907.985815804139</v>
      </c>
      <c r="CM66" s="29" t="n">
        <v>3066.541777465558</v>
      </c>
      <c r="CN66" s="29" t="n">
        <v>172350.2225511786</v>
      </c>
      <c r="CO66" s="29" t="n">
        <v>107705.9215548929</v>
      </c>
      <c r="CP66" s="29" t="n">
        <v>1860.537291738864</v>
      </c>
      <c r="CQ66" s="29" t="n">
        <v>21613.79160186886</v>
      </c>
      <c r="CR66" s="29" t="n">
        <v>87438.62497328638</v>
      </c>
      <c r="CS66" s="29" t="n">
        <v>607.0169697898601</v>
      </c>
      <c r="CT66" s="29" t="n">
        <v>554.2732466068377</v>
      </c>
      <c r="CU66" s="29" t="n">
        <v>108069.5837414283</v>
      </c>
      <c r="CV66" s="29" t="n">
        <v>30265.42659804618</v>
      </c>
      <c r="CW66" s="29" t="n">
        <v>149341.656497709</v>
      </c>
      <c r="CX66" s="29" t="n">
        <v>2080.248485197033</v>
      </c>
      <c r="CY66" s="29" t="n">
        <v>43114.28584146974</v>
      </c>
      <c r="CZ66" s="29" t="n">
        <v>8615.207030802161</v>
      </c>
      <c r="DA66" s="29" t="n">
        <v>6975.81189050711</v>
      </c>
      <c r="DB66" s="29" t="n">
        <v>8135.691131918924</v>
      </c>
      <c r="DC66" s="29" t="n">
        <v>158394.8227195312</v>
      </c>
      <c r="DD66" s="29" t="n">
        <v>569.4890758662484</v>
      </c>
      <c r="DE66" s="29" t="n">
        <v>0</v>
      </c>
      <c r="DF66" s="29">
        <f>SUM(C66:DE66)</f>
        <v/>
      </c>
      <c r="DG66" s="29" t="n">
        <v>0</v>
      </c>
      <c r="DH66" s="29" t="n">
        <v>0</v>
      </c>
      <c r="DI66" s="29" t="n">
        <v>41043862.73569367</v>
      </c>
      <c r="DJ66" s="29" t="n">
        <v>0</v>
      </c>
      <c r="DK66" s="29">
        <f>SUM(DG66:DJ66)</f>
        <v/>
      </c>
      <c r="DL66" s="29">
        <f>DF66+DK66</f>
        <v/>
      </c>
    </row>
    <row r="67">
      <c r="A67" s="30" t="inlineStr">
        <is>
          <t>30000</t>
        </is>
      </c>
      <c r="B67" s="30" t="inlineStr">
        <is>
          <t>30000 - Fabricación de maquinaria de oficina, contabilidad e informática</t>
        </is>
      </c>
      <c r="C67" s="31" t="n">
        <v>1073.650793965557</v>
      </c>
      <c r="D67" s="31" t="n">
        <v>103.4132495049779</v>
      </c>
      <c r="E67" s="31" t="n">
        <v>3.799792335375357</v>
      </c>
      <c r="F67" s="31" t="n">
        <v>3.069850453842333</v>
      </c>
      <c r="G67" s="31" t="n">
        <v>29.74135329914984</v>
      </c>
      <c r="H67" s="31" t="n">
        <v>746.8810703255716</v>
      </c>
      <c r="I67" s="31" t="n">
        <v>1.826250431170319</v>
      </c>
      <c r="J67" s="31" t="n">
        <v>27048.42024640273</v>
      </c>
      <c r="K67" s="31" t="n">
        <v>17976.42267659984</v>
      </c>
      <c r="L67" s="31" t="n">
        <v>249.7017889857601</v>
      </c>
      <c r="M67" s="31" t="n">
        <v>1179.165553857487</v>
      </c>
      <c r="N67" s="31" t="n">
        <v>2863.346705970891</v>
      </c>
      <c r="O67" s="31" t="n">
        <v>1413.64062105616</v>
      </c>
      <c r="P67" s="31" t="n">
        <v>3066.431025559892</v>
      </c>
      <c r="Q67" s="31" t="n">
        <v>2521.263200598894</v>
      </c>
      <c r="R67" s="31" t="n">
        <v>7897.858559115153</v>
      </c>
      <c r="S67" s="31" t="n">
        <v>1523.216902238829</v>
      </c>
      <c r="T67" s="31" t="n">
        <v>1125.482279649246</v>
      </c>
      <c r="U67" s="31" t="n">
        <v>2980.870526457954</v>
      </c>
      <c r="V67" s="31" t="n">
        <v>626.0742615440196</v>
      </c>
      <c r="W67" s="31" t="n">
        <v>2892.425858519859</v>
      </c>
      <c r="X67" s="31" t="n">
        <v>517.1410647878993</v>
      </c>
      <c r="Y67" s="31" t="n">
        <v>4027.147797185186</v>
      </c>
      <c r="Z67" s="31" t="n">
        <v>25.38397984245472</v>
      </c>
      <c r="AA67" s="31" t="n">
        <v>1585.537173639789</v>
      </c>
      <c r="AB67" s="31" t="n">
        <v>157.7446363137204</v>
      </c>
      <c r="AC67" s="31" t="n">
        <v>2766.866933550608</v>
      </c>
      <c r="AD67" s="31" t="n">
        <v>3243.479810921967</v>
      </c>
      <c r="AE67" s="31" t="n">
        <v>3600.603144223036</v>
      </c>
      <c r="AF67" s="31" t="n">
        <v>3465.301868020069</v>
      </c>
      <c r="AG67" s="31" t="n">
        <v>1422.97502933215</v>
      </c>
      <c r="AH67" s="31" t="n">
        <v>974.5939496293298</v>
      </c>
      <c r="AI67" s="31" t="n">
        <v>1865.282950862428</v>
      </c>
      <c r="AJ67" s="31" t="n">
        <v>4681.488963598127</v>
      </c>
      <c r="AK67" s="31" t="n">
        <v>4908.528330567326</v>
      </c>
      <c r="AL67" s="31" t="n">
        <v>6939.247457884388</v>
      </c>
      <c r="AM67" s="31" t="n">
        <v>38211.51633997763</v>
      </c>
      <c r="AN67" s="31" t="n">
        <v>33159.66902064147</v>
      </c>
      <c r="AO67" s="31" t="n">
        <v>442.302648330597</v>
      </c>
      <c r="AP67" s="31" t="n">
        <v>5176.900421682973</v>
      </c>
      <c r="AQ67" s="31" t="n">
        <v>25757.90639014593</v>
      </c>
      <c r="AR67" s="31" t="n">
        <v>2352.671134008598</v>
      </c>
      <c r="AS67" s="31" t="n">
        <v>9754.041191995682</v>
      </c>
      <c r="AT67" s="31" t="n">
        <v>524.9348957226174</v>
      </c>
      <c r="AU67" s="31" t="n">
        <v>8961.938285025961</v>
      </c>
      <c r="AV67" s="31" t="n">
        <v>21326.3297065483</v>
      </c>
      <c r="AW67" s="31" t="n">
        <v>147.388341487744</v>
      </c>
      <c r="AX67" s="31" t="n">
        <v>19299.0781917205</v>
      </c>
      <c r="AY67" s="31" t="n">
        <v>3600.549387745729</v>
      </c>
      <c r="AZ67" s="31" t="n">
        <v>11500.54656187298</v>
      </c>
      <c r="BA67" s="31" t="n">
        <v>8091.550525768618</v>
      </c>
      <c r="BB67" s="31" t="n">
        <v>3362.672651244366</v>
      </c>
      <c r="BC67" s="31" t="n">
        <v>1578.596535781891</v>
      </c>
      <c r="BD67" s="31" t="n">
        <v>56177.52209256881</v>
      </c>
      <c r="BE67" s="31" t="n">
        <v>2624.935772730563</v>
      </c>
      <c r="BF67" s="31" t="n">
        <v>296.9091391127548</v>
      </c>
      <c r="BG67" s="31" t="n">
        <v>1594.821624945596</v>
      </c>
      <c r="BH67" s="31" t="n">
        <v>5480.822601444188</v>
      </c>
      <c r="BI67" s="31" t="n">
        <v>80.61175149482325</v>
      </c>
      <c r="BJ67" s="31" t="n">
        <v>9523.538103011759</v>
      </c>
      <c r="BK67" s="31" t="n">
        <v>3019.464019965421</v>
      </c>
      <c r="BL67" s="31" t="n">
        <v>6367.106985861115</v>
      </c>
      <c r="BM67" s="31" t="n">
        <v>1676.846152822348</v>
      </c>
      <c r="BN67" s="31" t="n">
        <v>5215.608853711658</v>
      </c>
      <c r="BO67" s="31" t="n">
        <v>55189.38547941339</v>
      </c>
      <c r="BP67" s="31" t="n">
        <v>5000.602710039205</v>
      </c>
      <c r="BQ67" s="31" t="n">
        <v>103.8785203459292</v>
      </c>
      <c r="BR67" s="31" t="n">
        <v>1083.468210636358</v>
      </c>
      <c r="BS67" s="31" t="n">
        <v>86489.91732422744</v>
      </c>
      <c r="BT67" s="31" t="n">
        <v>63747.63489104076</v>
      </c>
      <c r="BU67" s="31" t="n">
        <v>86147.33209085792</v>
      </c>
      <c r="BV67" s="31" t="n">
        <v>126069.5297307705</v>
      </c>
      <c r="BW67" s="31" t="n">
        <v>25.67060862447522</v>
      </c>
      <c r="BX67" s="31" t="n">
        <v>6803.455102354967</v>
      </c>
      <c r="BY67" s="31" t="n">
        <v>15444.28589699879</v>
      </c>
      <c r="BZ67" s="31" t="n">
        <v>17.73336481074436</v>
      </c>
      <c r="CA67" s="31" t="n">
        <v>809.8041612033071</v>
      </c>
      <c r="CB67" s="31" t="n">
        <v>6570.947521630137</v>
      </c>
      <c r="CC67" s="31" t="n">
        <v>1.711142594718983</v>
      </c>
      <c r="CD67" s="31" t="n">
        <v>169.0193830102993</v>
      </c>
      <c r="CE67" s="31" t="n">
        <v>135.1108627102803</v>
      </c>
      <c r="CF67" s="31" t="n">
        <v>2521.889154491468</v>
      </c>
      <c r="CG67" s="31" t="n">
        <v>40296.46837317108</v>
      </c>
      <c r="CH67" s="31" t="n">
        <v>13195.65708097789</v>
      </c>
      <c r="CI67" s="31" t="n">
        <v>11954.85497717759</v>
      </c>
      <c r="CJ67" s="31" t="n">
        <v>36217.37323273128</v>
      </c>
      <c r="CK67" s="31" t="n">
        <v>8495.729311723802</v>
      </c>
      <c r="CL67" s="31" t="n">
        <v>47698.81283133356</v>
      </c>
      <c r="CM67" s="31" t="n">
        <v>18370.63792275696</v>
      </c>
      <c r="CN67" s="31" t="n">
        <v>36.12437222593645</v>
      </c>
      <c r="CO67" s="31" t="n">
        <v>21.4792473990907</v>
      </c>
      <c r="CP67" s="31" t="n">
        <v>42.75188262350487</v>
      </c>
      <c r="CQ67" s="31" t="n">
        <v>75289.56644158665</v>
      </c>
      <c r="CR67" s="31" t="n">
        <v>186678.6030167472</v>
      </c>
      <c r="CS67" s="31" t="n">
        <v>14027.12136144389</v>
      </c>
      <c r="CT67" s="31" t="n">
        <v>12808.30435473189</v>
      </c>
      <c r="CU67" s="31" t="n">
        <v>134709.2618069372</v>
      </c>
      <c r="CV67" s="31" t="n">
        <v>405188.8187078083</v>
      </c>
      <c r="CW67" s="31" t="n">
        <v>99463.34301034251</v>
      </c>
      <c r="CX67" s="31" t="n">
        <v>13355.03037657894</v>
      </c>
      <c r="CY67" s="31" t="n">
        <v>149691.4917123896</v>
      </c>
      <c r="CZ67" s="31" t="n">
        <v>26277.57659620978</v>
      </c>
      <c r="DA67" s="31" t="n">
        <v>6976.957861453004</v>
      </c>
      <c r="DB67" s="31" t="n">
        <v>14793.54698223243</v>
      </c>
      <c r="DC67" s="31" t="n">
        <v>8951.651829284294</v>
      </c>
      <c r="DD67" s="31" t="n">
        <v>649.988075806638</v>
      </c>
      <c r="DE67" s="31" t="n">
        <v>0</v>
      </c>
      <c r="DF67" s="31">
        <f>SUM(C67:DE67)</f>
        <v/>
      </c>
      <c r="DG67" s="31" t="n">
        <v>0</v>
      </c>
      <c r="DH67" s="31" t="n">
        <v>0</v>
      </c>
      <c r="DI67" s="31" t="n">
        <v>5161236.119268299</v>
      </c>
      <c r="DJ67" s="31" t="n">
        <v>0</v>
      </c>
      <c r="DK67" s="31">
        <f>SUM(DG67:DJ67)</f>
        <v/>
      </c>
      <c r="DL67" s="31">
        <f>DF67+DK67</f>
        <v/>
      </c>
    </row>
    <row r="68">
      <c r="A68" s="28" t="inlineStr">
        <is>
          <t>311/12</t>
        </is>
      </c>
      <c r="B68" s="28" t="inlineStr">
        <is>
          <t>31100 - Fabricación de motores, generadores y transformadores eléctricos. 31200 - Fabricación de aparatos de distribución y control de la energía eléctrica</t>
        </is>
      </c>
      <c r="C68" s="29" t="n">
        <v>1107740.140546005</v>
      </c>
      <c r="D68" s="29" t="n">
        <v>73576.09441064604</v>
      </c>
      <c r="E68" s="29" t="n">
        <v>961.5573658360735</v>
      </c>
      <c r="F68" s="29" t="n">
        <v>974.0991187990184</v>
      </c>
      <c r="G68" s="29" t="n">
        <v>7526.205331930469</v>
      </c>
      <c r="H68" s="29" t="n">
        <v>85354.69649402292</v>
      </c>
      <c r="I68" s="29" t="n">
        <v>443.1711589114125</v>
      </c>
      <c r="J68" s="29" t="n">
        <v>135695.7541412539</v>
      </c>
      <c r="K68" s="29" t="n">
        <v>29498.99658720283</v>
      </c>
      <c r="L68" s="29" t="n">
        <v>12527.32442143692</v>
      </c>
      <c r="M68" s="29" t="n">
        <v>17092.97857351122</v>
      </c>
      <c r="N68" s="29" t="n">
        <v>274397.2719186033</v>
      </c>
      <c r="O68" s="29" t="n">
        <v>19313.13566356302</v>
      </c>
      <c r="P68" s="29" t="n">
        <v>97726.6784076233</v>
      </c>
      <c r="Q68" s="29" t="n">
        <v>531964.0001093444</v>
      </c>
      <c r="R68" s="29" t="n">
        <v>527135.6803365896</v>
      </c>
      <c r="S68" s="29" t="n">
        <v>275262.8691562433</v>
      </c>
      <c r="T68" s="29" t="n">
        <v>117332.6425306588</v>
      </c>
      <c r="U68" s="29" t="n">
        <v>280648.4896667452</v>
      </c>
      <c r="V68" s="29" t="n">
        <v>124814.9561058905</v>
      </c>
      <c r="W68" s="29" t="n">
        <v>73666.90156643765</v>
      </c>
      <c r="X68" s="29" t="n">
        <v>21566.10192533813</v>
      </c>
      <c r="Y68" s="29" t="n">
        <v>267477.4808949663</v>
      </c>
      <c r="Z68" s="29" t="n">
        <v>30824.56716347933</v>
      </c>
      <c r="AA68" s="29" t="n">
        <v>135566.0210274275</v>
      </c>
      <c r="AB68" s="29" t="n">
        <v>210429.6840854982</v>
      </c>
      <c r="AC68" s="29" t="n">
        <v>336479.2202942145</v>
      </c>
      <c r="AD68" s="29" t="n">
        <v>35674.85845235561</v>
      </c>
      <c r="AE68" s="29" t="n">
        <v>93214.44366614996</v>
      </c>
      <c r="AF68" s="29" t="n">
        <v>19089.73417957689</v>
      </c>
      <c r="AG68" s="29" t="n">
        <v>8357.132801678066</v>
      </c>
      <c r="AH68" s="29" t="n">
        <v>56163.2465228468</v>
      </c>
      <c r="AI68" s="29" t="n">
        <v>107859.3386516792</v>
      </c>
      <c r="AJ68" s="29" t="n">
        <v>157473.0240718759</v>
      </c>
      <c r="AK68" s="29" t="n">
        <v>56455.76654556685</v>
      </c>
      <c r="AL68" s="29" t="n">
        <v>42095.07159905722</v>
      </c>
      <c r="AM68" s="29" t="n">
        <v>685386.6629579993</v>
      </c>
      <c r="AN68" s="29" t="n">
        <v>203609.6363526709</v>
      </c>
      <c r="AO68" s="29" t="n">
        <v>38600.88414564038</v>
      </c>
      <c r="AP68" s="29" t="n">
        <v>42330.17593939568</v>
      </c>
      <c r="AQ68" s="29" t="n">
        <v>397608.6220881534</v>
      </c>
      <c r="AR68" s="29" t="n">
        <v>15406.1159670091</v>
      </c>
      <c r="AS68" s="29" t="n">
        <v>84733.54887474369</v>
      </c>
      <c r="AT68" s="29" t="n">
        <v>22219.06059065744</v>
      </c>
      <c r="AU68" s="29" t="n">
        <v>353141.5648455636</v>
      </c>
      <c r="AV68" s="29" t="n">
        <v>458510.7581018925</v>
      </c>
      <c r="AW68" s="29" t="n">
        <v>33489.33273417977</v>
      </c>
      <c r="AX68" s="29" t="n">
        <v>39080.16377486164</v>
      </c>
      <c r="AY68" s="29" t="n">
        <v>108638.932452768</v>
      </c>
      <c r="AZ68" s="29" t="n">
        <v>167822.0325632378</v>
      </c>
      <c r="BA68" s="29" t="n">
        <v>594456.2824994287</v>
      </c>
      <c r="BB68" s="29" t="n">
        <v>350762.2450443388</v>
      </c>
      <c r="BC68" s="29" t="n">
        <v>677165.3660905358</v>
      </c>
      <c r="BD68" s="29" t="n">
        <v>4962.17133782536</v>
      </c>
      <c r="BE68" s="29" t="n">
        <v>1116920.959615048</v>
      </c>
      <c r="BF68" s="29" t="n">
        <v>65130.15193944974</v>
      </c>
      <c r="BG68" s="29" t="n">
        <v>247838.4634986298</v>
      </c>
      <c r="BH68" s="29" t="n">
        <v>1370611.849884509</v>
      </c>
      <c r="BI68" s="29" t="n">
        <v>827522.6637893064</v>
      </c>
      <c r="BJ68" s="29" t="n">
        <v>237148.5026045343</v>
      </c>
      <c r="BK68" s="29" t="n">
        <v>397588.2663209448</v>
      </c>
      <c r="BL68" s="29" t="n">
        <v>165028.5977408997</v>
      </c>
      <c r="BM68" s="29" t="n">
        <v>22661.09159381743</v>
      </c>
      <c r="BN68" s="29" t="n">
        <v>77103.65294085437</v>
      </c>
      <c r="BO68" s="29" t="n">
        <v>101508.6536866553</v>
      </c>
      <c r="BP68" s="29" t="n">
        <v>287921.520961942</v>
      </c>
      <c r="BQ68" s="29" t="n">
        <v>10533.26049002166</v>
      </c>
      <c r="BR68" s="29" t="n">
        <v>41862.00897299456</v>
      </c>
      <c r="BS68" s="29" t="n">
        <v>1327700.185418959</v>
      </c>
      <c r="BT68" s="29" t="n">
        <v>25532.0094308169</v>
      </c>
      <c r="BU68" s="29" t="n">
        <v>102813.8167678031</v>
      </c>
      <c r="BV68" s="29" t="n">
        <v>152642.0550271529</v>
      </c>
      <c r="BW68" s="29" t="n">
        <v>208677.7345800646</v>
      </c>
      <c r="BX68" s="29" t="n">
        <v>31394.81663287046</v>
      </c>
      <c r="BY68" s="29" t="n">
        <v>457894.3655346645</v>
      </c>
      <c r="BZ68" s="29" t="n">
        <v>5651.698062911305</v>
      </c>
      <c r="CA68" s="29" t="n">
        <v>226796.3016587914</v>
      </c>
      <c r="CB68" s="29" t="n">
        <v>21942.43300144063</v>
      </c>
      <c r="CC68" s="29" t="n">
        <v>312.613186585186</v>
      </c>
      <c r="CD68" s="29" t="n">
        <v>29700.04618377905</v>
      </c>
      <c r="CE68" s="29" t="n">
        <v>143505.332746414</v>
      </c>
      <c r="CF68" s="29" t="n">
        <v>6424.970772064052</v>
      </c>
      <c r="CG68" s="29" t="n">
        <v>130129.4350283854</v>
      </c>
      <c r="CH68" s="29" t="n">
        <v>1692926.973867308</v>
      </c>
      <c r="CI68" s="29" t="n">
        <v>13016.89130442657</v>
      </c>
      <c r="CJ68" s="29" t="n">
        <v>70166.05259515651</v>
      </c>
      <c r="CK68" s="29" t="n">
        <v>7301.679336628663</v>
      </c>
      <c r="CL68" s="29" t="n">
        <v>15869.33731942986</v>
      </c>
      <c r="CM68" s="29" t="n">
        <v>5519.797436057313</v>
      </c>
      <c r="CN68" s="29" t="n">
        <v>66965.11306444072</v>
      </c>
      <c r="CO68" s="29" t="n">
        <v>41331.82750728869</v>
      </c>
      <c r="CP68" s="29" t="n">
        <v>3348.033956810761</v>
      </c>
      <c r="CQ68" s="29" t="n">
        <v>30265.93036841572</v>
      </c>
      <c r="CR68" s="29" t="n">
        <v>129619.9777884216</v>
      </c>
      <c r="CS68" s="29" t="n">
        <v>3261.674594938095</v>
      </c>
      <c r="CT68" s="29" t="n">
        <v>2978.267589021822</v>
      </c>
      <c r="CU68" s="29" t="n">
        <v>350933.2690080597</v>
      </c>
      <c r="CV68" s="29" t="n">
        <v>161112.8478658338</v>
      </c>
      <c r="CW68" s="29" t="n">
        <v>49231.9265141151</v>
      </c>
      <c r="CX68" s="29" t="n">
        <v>7129.934289148772</v>
      </c>
      <c r="CY68" s="29" t="n">
        <v>107355.9903758103</v>
      </c>
      <c r="CZ68" s="29" t="n">
        <v>18304.80614003497</v>
      </c>
      <c r="DA68" s="29" t="n">
        <v>18357.77166814168</v>
      </c>
      <c r="DB68" s="29" t="n">
        <v>110105.3490071645</v>
      </c>
      <c r="DC68" s="29" t="n">
        <v>416603.465304242</v>
      </c>
      <c r="DD68" s="29" t="n">
        <v>4342.301240897316</v>
      </c>
      <c r="DE68" s="29" t="n">
        <v>0</v>
      </c>
      <c r="DF68" s="29">
        <f>SUM(C68:DE68)</f>
        <v/>
      </c>
      <c r="DG68" s="29" t="n">
        <v>0</v>
      </c>
      <c r="DH68" s="29" t="n">
        <v>0</v>
      </c>
      <c r="DI68" s="29" t="n">
        <v>13517708.7704617</v>
      </c>
      <c r="DJ68" s="29" t="n">
        <v>0</v>
      </c>
      <c r="DK68" s="29">
        <f>SUM(DG68:DJ68)</f>
        <v/>
      </c>
      <c r="DL68" s="29">
        <f>DF68+DK68</f>
        <v/>
      </c>
    </row>
    <row r="69">
      <c r="A69" s="30" t="inlineStr">
        <is>
          <t>31300</t>
        </is>
      </c>
      <c r="B69" s="30" t="inlineStr">
        <is>
          <t>31300 - Fabricación de hilos y cables aislados</t>
        </is>
      </c>
      <c r="C69" s="31" t="n">
        <v>52573.41753217841</v>
      </c>
      <c r="D69" s="31" t="n">
        <v>4478.103082179155</v>
      </c>
      <c r="E69" s="31" t="n">
        <v>85.39986859447289</v>
      </c>
      <c r="F69" s="31" t="n">
        <v>14.35983022713722</v>
      </c>
      <c r="G69" s="31" t="n">
        <v>668.4332825041841</v>
      </c>
      <c r="H69" s="31" t="n">
        <v>3825.780369743411</v>
      </c>
      <c r="I69" s="31" t="n">
        <v>38.85895276682118</v>
      </c>
      <c r="J69" s="31" t="n">
        <v>472382.0401774454</v>
      </c>
      <c r="K69" s="31" t="n">
        <v>2107.008900945762</v>
      </c>
      <c r="L69" s="31" t="n">
        <v>5847.316276835089</v>
      </c>
      <c r="M69" s="31" t="n">
        <v>5364.411440797448</v>
      </c>
      <c r="N69" s="31" t="n">
        <v>1859.461002030264</v>
      </c>
      <c r="O69" s="31" t="n">
        <v>971.2009546205774</v>
      </c>
      <c r="P69" s="31" t="n">
        <v>483.9183122282969</v>
      </c>
      <c r="Q69" s="31" t="n">
        <v>9608.358957225486</v>
      </c>
      <c r="R69" s="31" t="n">
        <v>2861.374656747097</v>
      </c>
      <c r="S69" s="31" t="n">
        <v>1178.671769390514</v>
      </c>
      <c r="T69" s="31" t="n">
        <v>1890.219931878162</v>
      </c>
      <c r="U69" s="31" t="n">
        <v>33363.8057982</v>
      </c>
      <c r="V69" s="31" t="n">
        <v>472.7045479745683</v>
      </c>
      <c r="W69" s="31" t="n">
        <v>14048.42945452912</v>
      </c>
      <c r="X69" s="31" t="n">
        <v>1849.383321818013</v>
      </c>
      <c r="Y69" s="31" t="n">
        <v>20757.38164634395</v>
      </c>
      <c r="Z69" s="31" t="n">
        <v>379.6705353072674</v>
      </c>
      <c r="AA69" s="31" t="n">
        <v>860.0245856181449</v>
      </c>
      <c r="AB69" s="31" t="n">
        <v>551.7834840849653</v>
      </c>
      <c r="AC69" s="31" t="n">
        <v>2755.691512909928</v>
      </c>
      <c r="AD69" s="31" t="n">
        <v>14814.80240634902</v>
      </c>
      <c r="AE69" s="31" t="n">
        <v>999.3399539356283</v>
      </c>
      <c r="AF69" s="31" t="n">
        <v>605.5798071803782</v>
      </c>
      <c r="AG69" s="31" t="n">
        <v>853.9514075609447</v>
      </c>
      <c r="AH69" s="31" t="n">
        <v>97.31348024175428</v>
      </c>
      <c r="AI69" s="31" t="n">
        <v>6153.893195548393</v>
      </c>
      <c r="AJ69" s="31" t="n">
        <v>22474.09804519831</v>
      </c>
      <c r="AK69" s="31" t="n">
        <v>3608.233812649148</v>
      </c>
      <c r="AL69" s="31" t="n">
        <v>5593.289180001298</v>
      </c>
      <c r="AM69" s="31" t="n">
        <v>13344.24512670508</v>
      </c>
      <c r="AN69" s="31" t="n">
        <v>1406.992792763462</v>
      </c>
      <c r="AO69" s="31" t="n">
        <v>1032.244058516362</v>
      </c>
      <c r="AP69" s="31" t="n">
        <v>1746.16144771445</v>
      </c>
      <c r="AQ69" s="31" t="n">
        <v>14860.0249704446</v>
      </c>
      <c r="AR69" s="31" t="n">
        <v>1040.43750231404</v>
      </c>
      <c r="AS69" s="31" t="n">
        <v>22438.74042372663</v>
      </c>
      <c r="AT69" s="31" t="n">
        <v>1462.976757743598</v>
      </c>
      <c r="AU69" s="31" t="n">
        <v>22890.41872853899</v>
      </c>
      <c r="AV69" s="31" t="n">
        <v>4031.74440710542</v>
      </c>
      <c r="AW69" s="31" t="n">
        <v>80471.86714402541</v>
      </c>
      <c r="AX69" s="31" t="n">
        <v>3350.805919634665</v>
      </c>
      <c r="AY69" s="31" t="n">
        <v>89239.83340136953</v>
      </c>
      <c r="AZ69" s="31" t="n">
        <v>189692.0748832848</v>
      </c>
      <c r="BA69" s="31" t="n">
        <v>239789.6465188296</v>
      </c>
      <c r="BB69" s="31" t="n">
        <v>86136.02480582855</v>
      </c>
      <c r="BC69" s="31" t="n">
        <v>189500.7913174363</v>
      </c>
      <c r="BD69" s="31" t="n">
        <v>303.9983883482651</v>
      </c>
      <c r="BE69" s="31" t="n">
        <v>497798.6897849676</v>
      </c>
      <c r="BF69" s="31" t="n">
        <v>1261993.052058187</v>
      </c>
      <c r="BG69" s="31" t="n">
        <v>522698.2808559167</v>
      </c>
      <c r="BH69" s="31" t="n">
        <v>1190632.851592586</v>
      </c>
      <c r="BI69" s="31" t="n">
        <v>191133.8054151319</v>
      </c>
      <c r="BJ69" s="31" t="n">
        <v>102204.7696693203</v>
      </c>
      <c r="BK69" s="31" t="n">
        <v>1858683.129038926</v>
      </c>
      <c r="BL69" s="31" t="n">
        <v>559547.3536446353</v>
      </c>
      <c r="BM69" s="31" t="n">
        <v>13489.62996773689</v>
      </c>
      <c r="BN69" s="31" t="n">
        <v>58958.4792903958</v>
      </c>
      <c r="BO69" s="31" t="n">
        <v>148454.6744009544</v>
      </c>
      <c r="BP69" s="31" t="n">
        <v>2534470.34344636</v>
      </c>
      <c r="BQ69" s="31" t="n">
        <v>892.8995167771754</v>
      </c>
      <c r="BR69" s="31" t="n">
        <v>1117.624793959107</v>
      </c>
      <c r="BS69" s="31" t="n">
        <v>7227491.192699512</v>
      </c>
      <c r="BT69" s="31" t="n">
        <v>1217.135319829762</v>
      </c>
      <c r="BU69" s="31" t="n">
        <v>374620.9317219189</v>
      </c>
      <c r="BV69" s="31" t="n">
        <v>147923.0176926601</v>
      </c>
      <c r="BW69" s="31" t="n">
        <v>155184.8176138779</v>
      </c>
      <c r="BX69" s="31" t="n">
        <v>2014.779892745461</v>
      </c>
      <c r="BY69" s="31" t="n">
        <v>7738.563390307761</v>
      </c>
      <c r="BZ69" s="31" t="n">
        <v>470.8468514297217</v>
      </c>
      <c r="CA69" s="31" t="n">
        <v>17536.29033512462</v>
      </c>
      <c r="CB69" s="31" t="n">
        <v>1931.10352132282</v>
      </c>
      <c r="CC69" s="31" t="n">
        <v>18.59144424960467</v>
      </c>
      <c r="CD69" s="31" t="n">
        <v>2360.400297393732</v>
      </c>
      <c r="CE69" s="31" t="n">
        <v>13830.79427211422</v>
      </c>
      <c r="CF69" s="31" t="n">
        <v>473.9307012596424</v>
      </c>
      <c r="CG69" s="31" t="n">
        <v>404059.226242423</v>
      </c>
      <c r="CH69" s="31" t="n">
        <v>9857329.32410972</v>
      </c>
      <c r="CI69" s="31" t="n">
        <v>89540.57707111402</v>
      </c>
      <c r="CJ69" s="31" t="n">
        <v>8685.934232060148</v>
      </c>
      <c r="CK69" s="31" t="n">
        <v>532.5451254553658</v>
      </c>
      <c r="CL69" s="31" t="n">
        <v>1131.459951614023</v>
      </c>
      <c r="CM69" s="31" t="n">
        <v>397.8937245744045</v>
      </c>
      <c r="CN69" s="31" t="n">
        <v>25480.87302466622</v>
      </c>
      <c r="CO69" s="31" t="n">
        <v>15923.30622610067</v>
      </c>
      <c r="CP69" s="31" t="n">
        <v>190.8072861945442</v>
      </c>
      <c r="CQ69" s="31" t="n">
        <v>944.0488235062672</v>
      </c>
      <c r="CR69" s="31" t="n">
        <v>4749.637892025907</v>
      </c>
      <c r="CS69" s="31" t="n">
        <v>3423.0413725661</v>
      </c>
      <c r="CT69" s="31" t="n">
        <v>3125.613202376455</v>
      </c>
      <c r="CU69" s="31" t="n">
        <v>11271.41947448424</v>
      </c>
      <c r="CV69" s="31" t="n">
        <v>166757.6794845589</v>
      </c>
      <c r="CW69" s="31" t="n">
        <v>1852.741283358897</v>
      </c>
      <c r="CX69" s="31" t="n">
        <v>19255.77844176694</v>
      </c>
      <c r="CY69" s="31" t="n">
        <v>8777.203757607233</v>
      </c>
      <c r="CZ69" s="31" t="n">
        <v>21409.93095672901</v>
      </c>
      <c r="DA69" s="31" t="n">
        <v>16214.77280589336</v>
      </c>
      <c r="DB69" s="31" t="n">
        <v>7242.789277065031</v>
      </c>
      <c r="DC69" s="31" t="n">
        <v>6981.180794207308</v>
      </c>
      <c r="DD69" s="31" t="n">
        <v>300.0312320998497</v>
      </c>
      <c r="DE69" s="31" t="n">
        <v>0</v>
      </c>
      <c r="DF69" s="31">
        <f>SUM(C69:DE69)</f>
        <v/>
      </c>
      <c r="DG69" s="31" t="n">
        <v>0</v>
      </c>
      <c r="DH69" s="31" t="n">
        <v>0</v>
      </c>
      <c r="DI69" s="31" t="n">
        <v>566939.4469778999</v>
      </c>
      <c r="DJ69" s="31" t="n">
        <v>0</v>
      </c>
      <c r="DK69" s="31">
        <f>SUM(DG69:DJ69)</f>
        <v/>
      </c>
      <c r="DL69" s="31">
        <f>DF69+DK69</f>
        <v/>
      </c>
    </row>
    <row r="70">
      <c r="A70" s="28" t="inlineStr">
        <is>
          <t>314/15/19</t>
        </is>
      </c>
      <c r="B70" s="28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9" t="n">
        <v>337253.7506334421</v>
      </c>
      <c r="D70" s="29" t="n">
        <v>33019.51169816483</v>
      </c>
      <c r="E70" s="29" t="n">
        <v>24.52760743685005</v>
      </c>
      <c r="F70" s="29" t="n">
        <v>7193.172567930453</v>
      </c>
      <c r="G70" s="29" t="n">
        <v>192.6608765849587</v>
      </c>
      <c r="H70" s="29" t="n">
        <v>30093.48920888147</v>
      </c>
      <c r="I70" s="29" t="n">
        <v>12.65147933486236</v>
      </c>
      <c r="J70" s="29" t="n">
        <v>232257.0246938808</v>
      </c>
      <c r="K70" s="29" t="n">
        <v>64183.6123732882</v>
      </c>
      <c r="L70" s="29" t="n">
        <v>1896.649119011833</v>
      </c>
      <c r="M70" s="29" t="n">
        <v>4017.985456880025</v>
      </c>
      <c r="N70" s="29" t="n">
        <v>41296.22495972779</v>
      </c>
      <c r="O70" s="29" t="n">
        <v>12848.61487169331</v>
      </c>
      <c r="P70" s="29" t="n">
        <v>12502.89386805463</v>
      </c>
      <c r="Q70" s="29" t="n">
        <v>106218.7553914795</v>
      </c>
      <c r="R70" s="29" t="n">
        <v>55732.82524028196</v>
      </c>
      <c r="S70" s="29" t="n">
        <v>23032.86602100532</v>
      </c>
      <c r="T70" s="29" t="n">
        <v>23040.83949667715</v>
      </c>
      <c r="U70" s="29" t="n">
        <v>23982.25342722722</v>
      </c>
      <c r="V70" s="29" t="n">
        <v>17271.33525282223</v>
      </c>
      <c r="W70" s="29" t="n">
        <v>19196.8080854738</v>
      </c>
      <c r="X70" s="29" t="n">
        <v>4955.376167443621</v>
      </c>
      <c r="Y70" s="29" t="n">
        <v>42906.16599023478</v>
      </c>
      <c r="Z70" s="29" t="n">
        <v>8922.376681858452</v>
      </c>
      <c r="AA70" s="29" t="n">
        <v>20692.18601833138</v>
      </c>
      <c r="AB70" s="29" t="n">
        <v>15431.79676283879</v>
      </c>
      <c r="AC70" s="29" t="n">
        <v>50846.09348369357</v>
      </c>
      <c r="AD70" s="29" t="n">
        <v>4965.068180560467</v>
      </c>
      <c r="AE70" s="29" t="n">
        <v>14540.83222464803</v>
      </c>
      <c r="AF70" s="29" t="n">
        <v>17890.22265319443</v>
      </c>
      <c r="AG70" s="29" t="n">
        <v>6174.323312918079</v>
      </c>
      <c r="AH70" s="29" t="n">
        <v>2869.059545332302</v>
      </c>
      <c r="AI70" s="29" t="n">
        <v>16230.79867926448</v>
      </c>
      <c r="AJ70" s="29" t="n">
        <v>17087.04084608833</v>
      </c>
      <c r="AK70" s="29" t="n">
        <v>13832.72754528826</v>
      </c>
      <c r="AL70" s="29" t="n">
        <v>16058.40092189796</v>
      </c>
      <c r="AM70" s="29" t="n">
        <v>116761.9681190484</v>
      </c>
      <c r="AN70" s="29" t="n">
        <v>16456.40063037169</v>
      </c>
      <c r="AO70" s="29" t="n">
        <v>7523.297234603832</v>
      </c>
      <c r="AP70" s="29" t="n">
        <v>11702.4530560173</v>
      </c>
      <c r="AQ70" s="29" t="n">
        <v>128936.2178380524</v>
      </c>
      <c r="AR70" s="29" t="n">
        <v>11713.15349289883</v>
      </c>
      <c r="AS70" s="29" t="n">
        <v>24914.4732038318</v>
      </c>
      <c r="AT70" s="29" t="n">
        <v>10423.82705544416</v>
      </c>
      <c r="AU70" s="29" t="n">
        <v>49786.63538565626</v>
      </c>
      <c r="AV70" s="29" t="n">
        <v>551017.0939949508</v>
      </c>
      <c r="AW70" s="29" t="n">
        <v>51902.49332393776</v>
      </c>
      <c r="AX70" s="29" t="n">
        <v>24348.7306131882</v>
      </c>
      <c r="AY70" s="29" t="n">
        <v>34046.12979009444</v>
      </c>
      <c r="AZ70" s="29" t="n">
        <v>54700.74935308246</v>
      </c>
      <c r="BA70" s="29" t="n">
        <v>267440.445005913</v>
      </c>
      <c r="BB70" s="29" t="n">
        <v>212012.6701759966</v>
      </c>
      <c r="BC70" s="29" t="n">
        <v>68000.81746978877</v>
      </c>
      <c r="BD70" s="29" t="n">
        <v>18614.64861514698</v>
      </c>
      <c r="BE70" s="29" t="n">
        <v>144284.0257053418</v>
      </c>
      <c r="BF70" s="29" t="n">
        <v>32712.13432273683</v>
      </c>
      <c r="BG70" s="29" t="n">
        <v>821485.7511452785</v>
      </c>
      <c r="BH70" s="29" t="n">
        <v>726556.3885043906</v>
      </c>
      <c r="BI70" s="29" t="n">
        <v>454925.3432515824</v>
      </c>
      <c r="BJ70" s="29" t="n">
        <v>135376.2806280059</v>
      </c>
      <c r="BK70" s="29" t="n">
        <v>739090.4944839245</v>
      </c>
      <c r="BL70" s="29" t="n">
        <v>165138.7613921112</v>
      </c>
      <c r="BM70" s="29" t="n">
        <v>25870.09145451682</v>
      </c>
      <c r="BN70" s="29" t="n">
        <v>99191.18490008052</v>
      </c>
      <c r="BO70" s="29" t="n">
        <v>44552.01938201547</v>
      </c>
      <c r="BP70" s="29" t="n">
        <v>472196.0692380393</v>
      </c>
      <c r="BQ70" s="29" t="n">
        <v>2111.196579336853</v>
      </c>
      <c r="BR70" s="29" t="n">
        <v>2721.430324917538</v>
      </c>
      <c r="BS70" s="29" t="n">
        <v>931923.4565165854</v>
      </c>
      <c r="BT70" s="29" t="n">
        <v>744122.1834616656</v>
      </c>
      <c r="BU70" s="29" t="n">
        <v>1397578.936075179</v>
      </c>
      <c r="BV70" s="29" t="n">
        <v>2382128.9896097</v>
      </c>
      <c r="BW70" s="29" t="n">
        <v>137732.058066829</v>
      </c>
      <c r="BX70" s="29" t="n">
        <v>25052.54763290125</v>
      </c>
      <c r="BY70" s="29" t="n">
        <v>171997.5253660775</v>
      </c>
      <c r="BZ70" s="29" t="n">
        <v>1814.641461777127</v>
      </c>
      <c r="CA70" s="29" t="n">
        <v>29978.1518086411</v>
      </c>
      <c r="CB70" s="29" t="n">
        <v>8009.415051408658</v>
      </c>
      <c r="CC70" s="29" t="n">
        <v>79.30438625591496</v>
      </c>
      <c r="CD70" s="29" t="n">
        <v>4830.174865794793</v>
      </c>
      <c r="CE70" s="29" t="n">
        <v>51933.68486308397</v>
      </c>
      <c r="CF70" s="29" t="n">
        <v>7615.178151231248</v>
      </c>
      <c r="CG70" s="29" t="n">
        <v>108995.8321954941</v>
      </c>
      <c r="CH70" s="29" t="n">
        <v>1575681.839804306</v>
      </c>
      <c r="CI70" s="29" t="n">
        <v>4009.756444657105</v>
      </c>
      <c r="CJ70" s="29" t="n">
        <v>5988.409170026328</v>
      </c>
      <c r="CK70" s="29" t="n">
        <v>658.4637206983161</v>
      </c>
      <c r="CL70" s="29" t="n">
        <v>11224.66103234584</v>
      </c>
      <c r="CM70" s="29" t="n">
        <v>1452.632978584447</v>
      </c>
      <c r="CN70" s="29" t="n">
        <v>204034.0590469213</v>
      </c>
      <c r="CO70" s="29" t="n">
        <v>126934.557189224</v>
      </c>
      <c r="CP70" s="29" t="n">
        <v>1338.344675545381</v>
      </c>
      <c r="CQ70" s="29" t="n">
        <v>67428.99617893883</v>
      </c>
      <c r="CR70" s="29" t="n">
        <v>528497.4863160014</v>
      </c>
      <c r="CS70" s="29" t="n">
        <v>7224.06553104694</v>
      </c>
      <c r="CT70" s="29" t="n">
        <v>6596.36625476894</v>
      </c>
      <c r="CU70" s="29" t="n">
        <v>896609.8948763295</v>
      </c>
      <c r="CV70" s="29" t="n">
        <v>649567.5322670391</v>
      </c>
      <c r="CW70" s="29" t="n">
        <v>77855.42633319474</v>
      </c>
      <c r="CX70" s="29" t="n">
        <v>20415.00537098097</v>
      </c>
      <c r="CY70" s="29" t="n">
        <v>62832.23758832379</v>
      </c>
      <c r="CZ70" s="29" t="n">
        <v>27697.49179355925</v>
      </c>
      <c r="DA70" s="29" t="n">
        <v>9060.954641776158</v>
      </c>
      <c r="DB70" s="29" t="n">
        <v>14756.95614892043</v>
      </c>
      <c r="DC70" s="29" t="n">
        <v>106416.1102607096</v>
      </c>
      <c r="DD70" s="29" t="n">
        <v>13808.33952401888</v>
      </c>
      <c r="DE70" s="29" t="n">
        <v>0</v>
      </c>
      <c r="DF70" s="29">
        <f>SUM(C70:DE70)</f>
        <v/>
      </c>
      <c r="DG70" s="29" t="n">
        <v>0</v>
      </c>
      <c r="DH70" s="29" t="n">
        <v>0</v>
      </c>
      <c r="DI70" s="29" t="n">
        <v>10685973.91524327</v>
      </c>
      <c r="DJ70" s="29" t="n">
        <v>0</v>
      </c>
      <c r="DK70" s="29">
        <f>SUM(DG70:DJ70)</f>
        <v/>
      </c>
      <c r="DL70" s="29">
        <f>DF70+DK70</f>
        <v/>
      </c>
    </row>
    <row r="71">
      <c r="A71" s="30" t="inlineStr">
        <is>
          <t>32100/32200</t>
        </is>
      </c>
      <c r="B71" s="3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31" t="n">
        <v>69978.46564631096</v>
      </c>
      <c r="D71" s="31" t="n">
        <v>5940.323064639622</v>
      </c>
      <c r="E71" s="31" t="n">
        <v>187.268741948766</v>
      </c>
      <c r="F71" s="31" t="n">
        <v>0</v>
      </c>
      <c r="G71" s="31" t="n">
        <v>1465.771106576903</v>
      </c>
      <c r="H71" s="31" t="n">
        <v>33151.02762756616</v>
      </c>
      <c r="I71" s="31" t="n">
        <v>610.0645101961808</v>
      </c>
      <c r="J71" s="31" t="n">
        <v>102488.4733895142</v>
      </c>
      <c r="K71" s="31" t="n">
        <v>254658.2662604719</v>
      </c>
      <c r="L71" s="31" t="n">
        <v>44068.51040981349</v>
      </c>
      <c r="M71" s="31" t="n">
        <v>18275.32874210895</v>
      </c>
      <c r="N71" s="31" t="n">
        <v>15103.29995619737</v>
      </c>
      <c r="O71" s="31" t="n">
        <v>14337.23061188452</v>
      </c>
      <c r="P71" s="31" t="n">
        <v>6380.575337696829</v>
      </c>
      <c r="Q71" s="31" t="n">
        <v>15586.66547426927</v>
      </c>
      <c r="R71" s="31" t="n">
        <v>18876.10941294736</v>
      </c>
      <c r="S71" s="31" t="n">
        <v>4357.749623875597</v>
      </c>
      <c r="T71" s="31" t="n">
        <v>4280.700454668457</v>
      </c>
      <c r="U71" s="31" t="n">
        <v>7180.374755131018</v>
      </c>
      <c r="V71" s="31" t="n">
        <v>1680.320520827409</v>
      </c>
      <c r="W71" s="31" t="n">
        <v>2039.556306359515</v>
      </c>
      <c r="X71" s="31" t="n">
        <v>1372.449308612967</v>
      </c>
      <c r="Y71" s="31" t="n">
        <v>22727.84464295114</v>
      </c>
      <c r="Z71" s="31" t="n">
        <v>4070.38394141555</v>
      </c>
      <c r="AA71" s="31" t="n">
        <v>5223.152471141765</v>
      </c>
      <c r="AB71" s="31" t="n">
        <v>4380.124587966512</v>
      </c>
      <c r="AC71" s="31" t="n">
        <v>14777.58539575422</v>
      </c>
      <c r="AD71" s="31" t="n">
        <v>1379.170226889687</v>
      </c>
      <c r="AE71" s="31" t="n">
        <v>7972.695314986883</v>
      </c>
      <c r="AF71" s="31" t="n">
        <v>2396.746825833337</v>
      </c>
      <c r="AG71" s="31" t="n">
        <v>1953.673300128164</v>
      </c>
      <c r="AH71" s="31" t="n">
        <v>836.1038840937332</v>
      </c>
      <c r="AI71" s="31" t="n">
        <v>6519.032252134009</v>
      </c>
      <c r="AJ71" s="31" t="n">
        <v>12260.37930454157</v>
      </c>
      <c r="AK71" s="31" t="n">
        <v>7643.704151694851</v>
      </c>
      <c r="AL71" s="31" t="n">
        <v>13873.31808784618</v>
      </c>
      <c r="AM71" s="31" t="n">
        <v>28328.46467765313</v>
      </c>
      <c r="AN71" s="31" t="n">
        <v>9346.298508951646</v>
      </c>
      <c r="AO71" s="31" t="n">
        <v>4240.067856626805</v>
      </c>
      <c r="AP71" s="31" t="n">
        <v>11180.16844805024</v>
      </c>
      <c r="AQ71" s="31" t="n">
        <v>24161.90780520453</v>
      </c>
      <c r="AR71" s="31" t="n">
        <v>3175.313226375546</v>
      </c>
      <c r="AS71" s="31" t="n">
        <v>2890.049903103472</v>
      </c>
      <c r="AT71" s="31" t="n">
        <v>2493.732061879371</v>
      </c>
      <c r="AU71" s="31" t="n">
        <v>32280.67080129688</v>
      </c>
      <c r="AV71" s="31" t="n">
        <v>17550.83310460194</v>
      </c>
      <c r="AW71" s="31" t="n">
        <v>2061.61725816219</v>
      </c>
      <c r="AX71" s="31" t="n">
        <v>2076.098451708186</v>
      </c>
      <c r="AY71" s="31" t="n">
        <v>38048.16428258005</v>
      </c>
      <c r="AZ71" s="31" t="n">
        <v>28214.86160497126</v>
      </c>
      <c r="BA71" s="31" t="n">
        <v>50647.24452650909</v>
      </c>
      <c r="BB71" s="31" t="n">
        <v>61887.09541403138</v>
      </c>
      <c r="BC71" s="31" t="n">
        <v>41336.44916287447</v>
      </c>
      <c r="BD71" s="31" t="n">
        <v>2870.084849500769</v>
      </c>
      <c r="BE71" s="31" t="n">
        <v>132468.688924784</v>
      </c>
      <c r="BF71" s="31" t="n">
        <v>11353.06569008916</v>
      </c>
      <c r="BG71" s="31" t="n">
        <v>157786.9868686384</v>
      </c>
      <c r="BH71" s="31" t="n">
        <v>14752111.47628064</v>
      </c>
      <c r="BI71" s="31" t="n">
        <v>1398267.594326998</v>
      </c>
      <c r="BJ71" s="31" t="n">
        <v>176658.5407196034</v>
      </c>
      <c r="BK71" s="31" t="n">
        <v>62224.79148225633</v>
      </c>
      <c r="BL71" s="31" t="n">
        <v>14571.73122637842</v>
      </c>
      <c r="BM71" s="31" t="n">
        <v>4639.121911366566</v>
      </c>
      <c r="BN71" s="31" t="n">
        <v>12070.37229606242</v>
      </c>
      <c r="BO71" s="31" t="n">
        <v>40846.85212597015</v>
      </c>
      <c r="BP71" s="31" t="n">
        <v>207175.6017241262</v>
      </c>
      <c r="BQ71" s="31" t="n">
        <v>36547.29047104002</v>
      </c>
      <c r="BR71" s="31" t="n">
        <v>23221.20026376915</v>
      </c>
      <c r="BS71" s="31" t="n">
        <v>1013992.334259906</v>
      </c>
      <c r="BT71" s="31" t="n">
        <v>154578.6497250541</v>
      </c>
      <c r="BU71" s="31" t="n">
        <v>254385.9001425312</v>
      </c>
      <c r="BV71" s="31" t="n">
        <v>261059.7742792247</v>
      </c>
      <c r="BW71" s="31" t="n">
        <v>348228.5785449571</v>
      </c>
      <c r="BX71" s="31" t="n">
        <v>17144.35358042703</v>
      </c>
      <c r="BY71" s="31" t="n">
        <v>42852.04235465267</v>
      </c>
      <c r="BZ71" s="31" t="n">
        <v>6890.316968350347</v>
      </c>
      <c r="CA71" s="31" t="n">
        <v>186960.151891043</v>
      </c>
      <c r="CB71" s="31" t="n">
        <v>11387.0687789938</v>
      </c>
      <c r="CC71" s="31" t="n">
        <v>3111.982209142278</v>
      </c>
      <c r="CD71" s="31" t="n">
        <v>329098.7356217062</v>
      </c>
      <c r="CE71" s="31" t="n">
        <v>137041.319802548</v>
      </c>
      <c r="CF71" s="31" t="n">
        <v>8229.76460517626</v>
      </c>
      <c r="CG71" s="31" t="n">
        <v>17574186.33841819</v>
      </c>
      <c r="CH71" s="31" t="n">
        <v>9111311.865772659</v>
      </c>
      <c r="CI71" s="31" t="n">
        <v>36599.8529820425</v>
      </c>
      <c r="CJ71" s="31" t="n">
        <v>21769.14614623376</v>
      </c>
      <c r="CK71" s="31" t="n">
        <v>109191.5397873982</v>
      </c>
      <c r="CL71" s="31" t="n">
        <v>33338.33048251163</v>
      </c>
      <c r="CM71" s="31" t="n">
        <v>14905.83104394501</v>
      </c>
      <c r="CN71" s="31" t="n">
        <v>142389.6114194677</v>
      </c>
      <c r="CO71" s="31" t="n">
        <v>64465.58919165249</v>
      </c>
      <c r="CP71" s="31" t="n">
        <v>9167.828744168935</v>
      </c>
      <c r="CQ71" s="31" t="n">
        <v>9720.06221972516</v>
      </c>
      <c r="CR71" s="31" t="n">
        <v>683619.5708779624</v>
      </c>
      <c r="CS71" s="31" t="n">
        <v>5273.622873638934</v>
      </c>
      <c r="CT71" s="31" t="n">
        <v>4815.397619878475</v>
      </c>
      <c r="CU71" s="31" t="n">
        <v>327023.9298090241</v>
      </c>
      <c r="CV71" s="31" t="n">
        <v>256646.5110187185</v>
      </c>
      <c r="CW71" s="31" t="n">
        <v>54515.64421944317</v>
      </c>
      <c r="CX71" s="31" t="n">
        <v>20687.42072713444</v>
      </c>
      <c r="CY71" s="31" t="n">
        <v>123728.1889787234</v>
      </c>
      <c r="CZ71" s="31" t="n">
        <v>22731.39741144188</v>
      </c>
      <c r="DA71" s="31" t="n">
        <v>91378.49468673751</v>
      </c>
      <c r="DB71" s="31" t="n">
        <v>28662.23835702394</v>
      </c>
      <c r="DC71" s="31" t="n">
        <v>109606.2722530644</v>
      </c>
      <c r="DD71" s="31" t="n">
        <v>3105.691102150782</v>
      </c>
      <c r="DE71" s="31" t="n">
        <v>0</v>
      </c>
      <c r="DF71" s="31">
        <f>SUM(C71:DE71)</f>
        <v/>
      </c>
      <c r="DG71" s="31" t="n">
        <v>0</v>
      </c>
      <c r="DH71" s="31" t="n">
        <v>0</v>
      </c>
      <c r="DI71" s="31" t="n">
        <v>44416839.76200493</v>
      </c>
      <c r="DJ71" s="31" t="n">
        <v>0</v>
      </c>
      <c r="DK71" s="31">
        <f>SUM(DG71:DJ71)</f>
        <v/>
      </c>
      <c r="DL71" s="31">
        <f>DF71+DK71</f>
        <v/>
      </c>
    </row>
    <row r="72">
      <c r="A72" s="28" t="inlineStr">
        <is>
          <t>32300</t>
        </is>
      </c>
      <c r="B72" s="28" t="inlineStr">
        <is>
          <t>32300 - Fabricación de receptores de radio y televisión, aparatos de grabación y reproducción de sonido y video, y productos conexos</t>
        </is>
      </c>
      <c r="C72" s="29" t="n">
        <v>5467.798339394607</v>
      </c>
      <c r="D72" s="29" t="n">
        <v>276.7292302536694</v>
      </c>
      <c r="E72" s="29" t="n">
        <v>0.5771888513877119</v>
      </c>
      <c r="F72" s="29" t="n">
        <v>0</v>
      </c>
      <c r="G72" s="29" t="n">
        <v>4.517714662887408</v>
      </c>
      <c r="H72" s="29" t="n">
        <v>743.2273679908757</v>
      </c>
      <c r="I72" s="29" t="n">
        <v>0.2656665402257243</v>
      </c>
      <c r="J72" s="29" t="n">
        <v>20.36900669185238</v>
      </c>
      <c r="K72" s="29" t="n">
        <v>2914.635408041545</v>
      </c>
      <c r="L72" s="29" t="n">
        <v>52.87581607173355</v>
      </c>
      <c r="M72" s="29" t="n">
        <v>387.9862206668142</v>
      </c>
      <c r="N72" s="29" t="n">
        <v>3451.100578829727</v>
      </c>
      <c r="O72" s="29" t="n">
        <v>1832.923817880889</v>
      </c>
      <c r="P72" s="29" t="n">
        <v>714.3437999355647</v>
      </c>
      <c r="Q72" s="29" t="n">
        <v>11361.14052225976</v>
      </c>
      <c r="R72" s="29" t="n">
        <v>1631.344581995605</v>
      </c>
      <c r="S72" s="29" t="n">
        <v>1372.301135066805</v>
      </c>
      <c r="T72" s="29" t="n">
        <v>3544.397125519148</v>
      </c>
      <c r="U72" s="29" t="n">
        <v>1224.431929354648</v>
      </c>
      <c r="V72" s="29" t="n">
        <v>3823.322378077298</v>
      </c>
      <c r="W72" s="29" t="n">
        <v>455.105836629935</v>
      </c>
      <c r="X72" s="29" t="n">
        <v>195.6786059607631</v>
      </c>
      <c r="Y72" s="29" t="n">
        <v>1159.771271595272</v>
      </c>
      <c r="Z72" s="29" t="n">
        <v>54.4120163992368</v>
      </c>
      <c r="AA72" s="29" t="n">
        <v>811.7050291574122</v>
      </c>
      <c r="AB72" s="29" t="n">
        <v>674.996269417666</v>
      </c>
      <c r="AC72" s="29" t="n">
        <v>3705.082711063373</v>
      </c>
      <c r="AD72" s="29" t="n">
        <v>288.4530636780602</v>
      </c>
      <c r="AE72" s="29" t="n">
        <v>3437.741600898876</v>
      </c>
      <c r="AF72" s="29" t="n">
        <v>2431.410809042207</v>
      </c>
      <c r="AG72" s="29" t="n">
        <v>624.7142658051828</v>
      </c>
      <c r="AH72" s="29" t="n">
        <v>406.4557429544399</v>
      </c>
      <c r="AI72" s="29" t="n">
        <v>1166.043882102998</v>
      </c>
      <c r="AJ72" s="29" t="n">
        <v>6970.410878597251</v>
      </c>
      <c r="AK72" s="29" t="n">
        <v>22099.22288595367</v>
      </c>
      <c r="AL72" s="29" t="n">
        <v>21863.38953523343</v>
      </c>
      <c r="AM72" s="29" t="n">
        <v>1003.489246457794</v>
      </c>
      <c r="AN72" s="29" t="n">
        <v>1245.163944742035</v>
      </c>
      <c r="AO72" s="29" t="n">
        <v>191.9645385652855</v>
      </c>
      <c r="AP72" s="29" t="n">
        <v>688.3430768553171</v>
      </c>
      <c r="AQ72" s="29" t="n">
        <v>15515.25242851372</v>
      </c>
      <c r="AR72" s="29" t="n">
        <v>515.4113721634524</v>
      </c>
      <c r="AS72" s="29" t="n">
        <v>1116.867932244082</v>
      </c>
      <c r="AT72" s="29" t="n">
        <v>366.1330335679563</v>
      </c>
      <c r="AU72" s="29" t="n">
        <v>3614.198953037368</v>
      </c>
      <c r="AV72" s="29" t="n">
        <v>16447.30871500724</v>
      </c>
      <c r="AW72" s="29" t="n">
        <v>6893.457490178936</v>
      </c>
      <c r="AX72" s="29" t="n">
        <v>8655.969018719175</v>
      </c>
      <c r="AY72" s="29" t="n">
        <v>3116.590208662641</v>
      </c>
      <c r="AZ72" s="29" t="n">
        <v>9588.700387857476</v>
      </c>
      <c r="BA72" s="29" t="n">
        <v>32372.72253267074</v>
      </c>
      <c r="BB72" s="29" t="n">
        <v>47373.36337341613</v>
      </c>
      <c r="BC72" s="29" t="n">
        <v>10070.18647828007</v>
      </c>
      <c r="BD72" s="29" t="n">
        <v>639.1042508343266</v>
      </c>
      <c r="BE72" s="29" t="n">
        <v>6602.298141176486</v>
      </c>
      <c r="BF72" s="29" t="n">
        <v>1778.650735423593</v>
      </c>
      <c r="BG72" s="29" t="n">
        <v>6484.722065544963</v>
      </c>
      <c r="BH72" s="29" t="n">
        <v>124158.4273837053</v>
      </c>
      <c r="BI72" s="29" t="n">
        <v>30534.45409602448</v>
      </c>
      <c r="BJ72" s="29" t="n">
        <v>35896.65017920265</v>
      </c>
      <c r="BK72" s="29" t="n">
        <v>744417.4793150567</v>
      </c>
      <c r="BL72" s="29" t="n">
        <v>6995.986622652068</v>
      </c>
      <c r="BM72" s="29" t="n">
        <v>2198.74091551945</v>
      </c>
      <c r="BN72" s="29" t="n">
        <v>1675.806442179981</v>
      </c>
      <c r="BO72" s="29" t="n">
        <v>5868.509049300434</v>
      </c>
      <c r="BP72" s="29" t="n">
        <v>35169.12436818387</v>
      </c>
      <c r="BQ72" s="29" t="n">
        <v>53.16836346458392</v>
      </c>
      <c r="BR72" s="29" t="n">
        <v>1498.092690023925</v>
      </c>
      <c r="BS72" s="29" t="n">
        <v>108613.1875228621</v>
      </c>
      <c r="BT72" s="29" t="n">
        <v>8432.224890101012</v>
      </c>
      <c r="BU72" s="29" t="n">
        <v>26616.97791479005</v>
      </c>
      <c r="BV72" s="29" t="n">
        <v>58199.16459340769</v>
      </c>
      <c r="BW72" s="29" t="n">
        <v>40478.0326146771</v>
      </c>
      <c r="BX72" s="29" t="n">
        <v>1308.334322695798</v>
      </c>
      <c r="BY72" s="29" t="n">
        <v>1107.557572624283</v>
      </c>
      <c r="BZ72" s="29" t="n">
        <v>1636.667011382066</v>
      </c>
      <c r="CA72" s="29" t="n">
        <v>132.7647830606688</v>
      </c>
      <c r="CB72" s="29" t="n">
        <v>1314.222717983645</v>
      </c>
      <c r="CC72" s="29" t="n">
        <v>178.0874110205053</v>
      </c>
      <c r="CD72" s="29" t="n">
        <v>16.8739077784152</v>
      </c>
      <c r="CE72" s="29" t="n">
        <v>2155.103264747763</v>
      </c>
      <c r="CF72" s="29" t="n">
        <v>39.6378264044114</v>
      </c>
      <c r="CG72" s="29" t="n">
        <v>11942.55045044711</v>
      </c>
      <c r="CH72" s="29" t="n">
        <v>27135.53103492293</v>
      </c>
      <c r="CI72" s="29" t="n">
        <v>58.58666685818517</v>
      </c>
      <c r="CJ72" s="29" t="n">
        <v>231.6937368732677</v>
      </c>
      <c r="CK72" s="29" t="n">
        <v>27.53953671534343</v>
      </c>
      <c r="CL72" s="29" t="n">
        <v>1869.498925547913</v>
      </c>
      <c r="CM72" s="29" t="n">
        <v>105.4426214558731</v>
      </c>
      <c r="CN72" s="29" t="n">
        <v>2266.364247194682</v>
      </c>
      <c r="CO72" s="29" t="n">
        <v>1416.278472603075</v>
      </c>
      <c r="CP72" s="29" t="n">
        <v>49.43398139072898</v>
      </c>
      <c r="CQ72" s="29" t="n">
        <v>2320.576960732571</v>
      </c>
      <c r="CR72" s="29" t="n">
        <v>32777.76237911447</v>
      </c>
      <c r="CS72" s="29" t="n">
        <v>834.3272355643012</v>
      </c>
      <c r="CT72" s="29" t="n">
        <v>761.8325163937745</v>
      </c>
      <c r="CU72" s="29" t="n">
        <v>96256.85420955064</v>
      </c>
      <c r="CV72" s="29" t="n">
        <v>40644.18038491115</v>
      </c>
      <c r="CW72" s="29" t="n">
        <v>84971.67167910752</v>
      </c>
      <c r="CX72" s="29" t="n">
        <v>260.6510315675875</v>
      </c>
      <c r="CY72" s="29" t="n">
        <v>138304.0132273839</v>
      </c>
      <c r="CZ72" s="29" t="n">
        <v>41445.15011363917</v>
      </c>
      <c r="DA72" s="29" t="n">
        <v>36.72301744071147</v>
      </c>
      <c r="DB72" s="29" t="n">
        <v>12579.73136180931</v>
      </c>
      <c r="DC72" s="29" t="n">
        <v>11865.1662938065</v>
      </c>
      <c r="DD72" s="29" t="n">
        <v>95.55936837314543</v>
      </c>
      <c r="DE72" s="29" t="n">
        <v>0</v>
      </c>
      <c r="DF72" s="29">
        <f>SUM(C72:DE72)</f>
        <v/>
      </c>
      <c r="DG72" s="29" t="n">
        <v>0</v>
      </c>
      <c r="DH72" s="29" t="n">
        <v>0</v>
      </c>
      <c r="DI72" s="29" t="n">
        <v>13632751.01802108</v>
      </c>
      <c r="DJ72" s="29" t="n">
        <v>0</v>
      </c>
      <c r="DK72" s="29">
        <f>SUM(DG72:DJ72)</f>
        <v/>
      </c>
      <c r="DL72" s="29">
        <f>DF72+DK72</f>
        <v/>
      </c>
    </row>
    <row r="73">
      <c r="A73" s="30" t="inlineStr">
        <is>
          <t>331/332</t>
        </is>
      </c>
      <c r="B73" s="3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31" t="n">
        <v>368739.1533821657</v>
      </c>
      <c r="D73" s="31" t="n">
        <v>36159.80856350505</v>
      </c>
      <c r="E73" s="31" t="n">
        <v>268.1632221058118</v>
      </c>
      <c r="F73" s="31" t="n">
        <v>109.904098075522</v>
      </c>
      <c r="G73" s="31" t="n">
        <v>2098.940264770939</v>
      </c>
      <c r="H73" s="31" t="n">
        <v>7479.465591448516</v>
      </c>
      <c r="I73" s="31" t="n">
        <v>126.129801284281</v>
      </c>
      <c r="J73" s="31" t="n">
        <v>20910.18807614234</v>
      </c>
      <c r="K73" s="31" t="n">
        <v>13621.04897292632</v>
      </c>
      <c r="L73" s="31" t="n">
        <v>3444.032575611455</v>
      </c>
      <c r="M73" s="31" t="n">
        <v>5170.387501439803</v>
      </c>
      <c r="N73" s="31" t="n">
        <v>19176.0358006447</v>
      </c>
      <c r="O73" s="31" t="n">
        <v>8476.682278958349</v>
      </c>
      <c r="P73" s="31" t="n">
        <v>3696.356697956624</v>
      </c>
      <c r="Q73" s="31" t="n">
        <v>70888.33080623946</v>
      </c>
      <c r="R73" s="31" t="n">
        <v>11101.4502435809</v>
      </c>
      <c r="S73" s="31" t="n">
        <v>10508.19980939797</v>
      </c>
      <c r="T73" s="31" t="n">
        <v>18434.87491762615</v>
      </c>
      <c r="U73" s="31" t="n">
        <v>8113.286981595982</v>
      </c>
      <c r="V73" s="31" t="n">
        <v>4251.948789159124</v>
      </c>
      <c r="W73" s="31" t="n">
        <v>4949.75292139968</v>
      </c>
      <c r="X73" s="31" t="n">
        <v>2202.161989016354</v>
      </c>
      <c r="Y73" s="31" t="n">
        <v>27502.61168923773</v>
      </c>
      <c r="Z73" s="31" t="n">
        <v>4206.383118074188</v>
      </c>
      <c r="AA73" s="31" t="n">
        <v>9042.365038264419</v>
      </c>
      <c r="AB73" s="31" t="n">
        <v>3153.566053647628</v>
      </c>
      <c r="AC73" s="31" t="n">
        <v>17969.75713645631</v>
      </c>
      <c r="AD73" s="31" t="n">
        <v>1077.127152976879</v>
      </c>
      <c r="AE73" s="31" t="n">
        <v>5459.857365500027</v>
      </c>
      <c r="AF73" s="31" t="n">
        <v>6942.24124523048</v>
      </c>
      <c r="AG73" s="31" t="n">
        <v>2712.117119775024</v>
      </c>
      <c r="AH73" s="31" t="n">
        <v>1688.950250464885</v>
      </c>
      <c r="AI73" s="31" t="n">
        <v>3957.428229661315</v>
      </c>
      <c r="AJ73" s="31" t="n">
        <v>14731.61109516897</v>
      </c>
      <c r="AK73" s="31" t="n">
        <v>189895.698961086</v>
      </c>
      <c r="AL73" s="31" t="n">
        <v>162799.9092618735</v>
      </c>
      <c r="AM73" s="31" t="n">
        <v>93447.96852498491</v>
      </c>
      <c r="AN73" s="31" t="n">
        <v>14136.84504379842</v>
      </c>
      <c r="AO73" s="31" t="n">
        <v>5574.897787775089</v>
      </c>
      <c r="AP73" s="31" t="n">
        <v>7972.8722343065</v>
      </c>
      <c r="AQ73" s="31" t="n">
        <v>110823.6095803561</v>
      </c>
      <c r="AR73" s="31" t="n">
        <v>3471.951774900138</v>
      </c>
      <c r="AS73" s="31" t="n">
        <v>10682.17971425488</v>
      </c>
      <c r="AT73" s="31" t="n">
        <v>1164.730570309191</v>
      </c>
      <c r="AU73" s="31" t="n">
        <v>10729.89138660692</v>
      </c>
      <c r="AV73" s="31" t="n">
        <v>20139.35992919929</v>
      </c>
      <c r="AW73" s="31" t="n">
        <v>5205.519254259753</v>
      </c>
      <c r="AX73" s="31" t="n">
        <v>6821.222542849737</v>
      </c>
      <c r="AY73" s="31" t="n">
        <v>25483.67052380387</v>
      </c>
      <c r="AZ73" s="31" t="n">
        <v>27146.99438937587</v>
      </c>
      <c r="BA73" s="31" t="n">
        <v>59372.32043604599</v>
      </c>
      <c r="BB73" s="31" t="n">
        <v>126242.3564370762</v>
      </c>
      <c r="BC73" s="31" t="n">
        <v>47459.3472534312</v>
      </c>
      <c r="BD73" s="31" t="n">
        <v>4190.608339598559</v>
      </c>
      <c r="BE73" s="31" t="n">
        <v>54987.07257425345</v>
      </c>
      <c r="BF73" s="31" t="n">
        <v>2572.747290876535</v>
      </c>
      <c r="BG73" s="31" t="n">
        <v>44025.61780128705</v>
      </c>
      <c r="BH73" s="31" t="n">
        <v>305017.9967062752</v>
      </c>
      <c r="BI73" s="31" t="n">
        <v>103590.0176390524</v>
      </c>
      <c r="BJ73" s="31" t="n">
        <v>289185.1871470976</v>
      </c>
      <c r="BK73" s="31" t="n">
        <v>84515.73941243597</v>
      </c>
      <c r="BL73" s="31" t="n">
        <v>15910.01801583387</v>
      </c>
      <c r="BM73" s="31" t="n">
        <v>6161.888699155475</v>
      </c>
      <c r="BN73" s="31" t="n">
        <v>6756.329140132724</v>
      </c>
      <c r="BO73" s="31" t="n">
        <v>19487.52778384365</v>
      </c>
      <c r="BP73" s="31" t="n">
        <v>34659.67585725397</v>
      </c>
      <c r="BQ73" s="31" t="n">
        <v>4294.64484718473</v>
      </c>
      <c r="BR73" s="31" t="n">
        <v>4981.673411600289</v>
      </c>
      <c r="BS73" s="31" t="n">
        <v>726334.2073265364</v>
      </c>
      <c r="BT73" s="31" t="n">
        <v>15340.47456437971</v>
      </c>
      <c r="BU73" s="31" t="n">
        <v>35006.22962556758</v>
      </c>
      <c r="BV73" s="31" t="n">
        <v>59177.35767570958</v>
      </c>
      <c r="BW73" s="31" t="n">
        <v>341138.2309872015</v>
      </c>
      <c r="BX73" s="31" t="n">
        <v>13339.21713847471</v>
      </c>
      <c r="BY73" s="31" t="n">
        <v>21441.70660484793</v>
      </c>
      <c r="BZ73" s="31" t="n">
        <v>1604.185020633302</v>
      </c>
      <c r="CA73" s="31" t="n">
        <v>71153.29495115516</v>
      </c>
      <c r="CB73" s="31" t="n">
        <v>2721.258875479622</v>
      </c>
      <c r="CC73" s="31" t="n">
        <v>155.9977564065227</v>
      </c>
      <c r="CD73" s="31" t="n">
        <v>12080.13061258828</v>
      </c>
      <c r="CE73" s="31" t="n">
        <v>17650.28409180075</v>
      </c>
      <c r="CF73" s="31" t="n">
        <v>3193.333251755141</v>
      </c>
      <c r="CG73" s="31" t="n">
        <v>34056.61290993184</v>
      </c>
      <c r="CH73" s="31" t="n">
        <v>438675.4013035362</v>
      </c>
      <c r="CI73" s="31" t="n">
        <v>6716.523793481342</v>
      </c>
      <c r="CJ73" s="31" t="n">
        <v>30446.51385413544</v>
      </c>
      <c r="CK73" s="31" t="n">
        <v>3943.577405977564</v>
      </c>
      <c r="CL73" s="31" t="n">
        <v>22766.81401344878</v>
      </c>
      <c r="CM73" s="31" t="n">
        <v>4807.026049114352</v>
      </c>
      <c r="CN73" s="31" t="n">
        <v>24511.7580737378</v>
      </c>
      <c r="CO73" s="31" t="n">
        <v>14475.42573644813</v>
      </c>
      <c r="CP73" s="31" t="n">
        <v>1591.87292387391</v>
      </c>
      <c r="CQ73" s="31" t="n">
        <v>8056.509913449869</v>
      </c>
      <c r="CR73" s="31" t="n">
        <v>72739.40969911772</v>
      </c>
      <c r="CS73" s="31" t="n">
        <v>8039.736061165529</v>
      </c>
      <c r="CT73" s="31" t="n">
        <v>7347.729212275785</v>
      </c>
      <c r="CU73" s="31" t="n">
        <v>308317.6699640673</v>
      </c>
      <c r="CV73" s="31" t="n">
        <v>379241.5294765474</v>
      </c>
      <c r="CW73" s="31" t="n">
        <v>87204.55560795666</v>
      </c>
      <c r="CX73" s="31" t="n">
        <v>7264.650757653293</v>
      </c>
      <c r="CY73" s="31" t="n">
        <v>1122325.203984726</v>
      </c>
      <c r="CZ73" s="31" t="n">
        <v>334146.2033855171</v>
      </c>
      <c r="DA73" s="31" t="n">
        <v>6117.272874939029</v>
      </c>
      <c r="DB73" s="31" t="n">
        <v>55509.75560682073</v>
      </c>
      <c r="DC73" s="31" t="n">
        <v>155990.1420102471</v>
      </c>
      <c r="DD73" s="31" t="n">
        <v>1383.931156611254</v>
      </c>
      <c r="DE73" s="31" t="n">
        <v>0</v>
      </c>
      <c r="DF73" s="31">
        <f>SUM(C73:DE73)</f>
        <v/>
      </c>
      <c r="DG73" s="31" t="n">
        <v>0</v>
      </c>
      <c r="DH73" s="31" t="n">
        <v>0</v>
      </c>
      <c r="DI73" s="31" t="n">
        <v>15189469.36780091</v>
      </c>
      <c r="DJ73" s="31" t="n">
        <v>0</v>
      </c>
      <c r="DK73" s="31">
        <f>SUM(DG73:DJ73)</f>
        <v/>
      </c>
      <c r="DL73" s="31">
        <f>DF73+DK73</f>
        <v/>
      </c>
    </row>
    <row r="74">
      <c r="A74" s="28" t="inlineStr">
        <is>
          <t>341/2</t>
        </is>
      </c>
      <c r="B74" s="28" t="inlineStr">
        <is>
          <t>Fabricación de vehículos automotores. Fabricación de carrocerías para vehículos automotores; fabricación de remolques y semirremolques</t>
        </is>
      </c>
      <c r="C74" s="29" t="n">
        <v>9932328.580550112</v>
      </c>
      <c r="D74" s="29" t="n">
        <v>863425.403256576</v>
      </c>
      <c r="E74" s="29" t="n">
        <v>261.3235839652647</v>
      </c>
      <c r="F74" s="29" t="n">
        <v>0</v>
      </c>
      <c r="G74" s="29" t="n">
        <v>2045.405735401387</v>
      </c>
      <c r="H74" s="29" t="n">
        <v>21892.2393226503</v>
      </c>
      <c r="I74" s="29" t="n">
        <v>132.6836253473513</v>
      </c>
      <c r="J74" s="29" t="n">
        <v>150700.9164766386</v>
      </c>
      <c r="K74" s="29" t="n">
        <v>123027.6542484854</v>
      </c>
      <c r="L74" s="29" t="n">
        <v>3062.267316995341</v>
      </c>
      <c r="M74" s="29" t="n">
        <v>4150.453541319552</v>
      </c>
      <c r="N74" s="29" t="n">
        <v>609263.4270181685</v>
      </c>
      <c r="O74" s="29" t="n">
        <v>214275.1867465401</v>
      </c>
      <c r="P74" s="29" t="n">
        <v>68888.69829290114</v>
      </c>
      <c r="Q74" s="29" t="n">
        <v>1404789.907318717</v>
      </c>
      <c r="R74" s="29" t="n">
        <v>278155.8751720397</v>
      </c>
      <c r="S74" s="29" t="n">
        <v>257271.695584238</v>
      </c>
      <c r="T74" s="29" t="n">
        <v>737465.275029517</v>
      </c>
      <c r="U74" s="29" t="n">
        <v>187245.9247824944</v>
      </c>
      <c r="V74" s="29" t="n">
        <v>117069.0150580099</v>
      </c>
      <c r="W74" s="29" t="n">
        <v>105592.1981702736</v>
      </c>
      <c r="X74" s="29" t="n">
        <v>52313.7843799572</v>
      </c>
      <c r="Y74" s="29" t="n">
        <v>706330.2745252531</v>
      </c>
      <c r="Z74" s="29" t="n">
        <v>108011.426834169</v>
      </c>
      <c r="AA74" s="29" t="n">
        <v>249637.4951880418</v>
      </c>
      <c r="AB74" s="29" t="n">
        <v>36460.64425546951</v>
      </c>
      <c r="AC74" s="29" t="n">
        <v>174865.7453188834</v>
      </c>
      <c r="AD74" s="29" t="n">
        <v>45415.48090991147</v>
      </c>
      <c r="AE74" s="29" t="n">
        <v>128736.4199305563</v>
      </c>
      <c r="AF74" s="29" t="n">
        <v>206052.7529562394</v>
      </c>
      <c r="AG74" s="29" t="n">
        <v>74504.84114830218</v>
      </c>
      <c r="AH74" s="29" t="n">
        <v>24871.03427566322</v>
      </c>
      <c r="AI74" s="29" t="n">
        <v>66488.84148452028</v>
      </c>
      <c r="AJ74" s="29" t="n">
        <v>509914.0243746614</v>
      </c>
      <c r="AK74" s="29" t="n">
        <v>170885.8725859878</v>
      </c>
      <c r="AL74" s="29" t="n">
        <v>80776.56609939336</v>
      </c>
      <c r="AM74" s="29" t="n">
        <v>2575864.172515389</v>
      </c>
      <c r="AN74" s="29" t="n">
        <v>354803.5585209841</v>
      </c>
      <c r="AO74" s="29" t="n">
        <v>87907.77868625187</v>
      </c>
      <c r="AP74" s="29" t="n">
        <v>173153.2061351768</v>
      </c>
      <c r="AQ74" s="29" t="n">
        <v>762634.6124859349</v>
      </c>
      <c r="AR74" s="29" t="n">
        <v>53887.53063947369</v>
      </c>
      <c r="AS74" s="29" t="n">
        <v>140159.1279451401</v>
      </c>
      <c r="AT74" s="29" t="n">
        <v>13612.110314717</v>
      </c>
      <c r="AU74" s="29" t="n">
        <v>205304.3102159221</v>
      </c>
      <c r="AV74" s="29" t="n">
        <v>849531.0927010856</v>
      </c>
      <c r="AW74" s="29" t="n">
        <v>345364.0958641232</v>
      </c>
      <c r="AX74" s="29" t="n">
        <v>529665.682801806</v>
      </c>
      <c r="AY74" s="29" t="n">
        <v>108205.7349383395</v>
      </c>
      <c r="AZ74" s="29" t="n">
        <v>304712.2916434989</v>
      </c>
      <c r="BA74" s="29" t="n">
        <v>155289.9485731033</v>
      </c>
      <c r="BB74" s="29" t="n">
        <v>5430836.170095041</v>
      </c>
      <c r="BC74" s="29" t="n">
        <v>51625.41313283586</v>
      </c>
      <c r="BD74" s="29" t="n">
        <v>5800.668693929472</v>
      </c>
      <c r="BE74" s="29" t="n">
        <v>228753.9754434727</v>
      </c>
      <c r="BF74" s="29" t="n">
        <v>70428.96598515521</v>
      </c>
      <c r="BG74" s="29" t="n">
        <v>29219.97160198489</v>
      </c>
      <c r="BH74" s="29" t="n">
        <v>212797.211211781</v>
      </c>
      <c r="BI74" s="29" t="n">
        <v>4797.121838880915</v>
      </c>
      <c r="BJ74" s="29" t="n">
        <v>46352.74947496247</v>
      </c>
      <c r="BK74" s="29" t="n">
        <v>50430130.40860862</v>
      </c>
      <c r="BL74" s="29" t="n">
        <v>3668941.349548913</v>
      </c>
      <c r="BM74" s="29" t="n">
        <v>285988.3090175188</v>
      </c>
      <c r="BN74" s="29" t="n">
        <v>87990.85660831089</v>
      </c>
      <c r="BO74" s="29" t="n">
        <v>466698.9127948477</v>
      </c>
      <c r="BP74" s="29" t="n">
        <v>699417.0826603221</v>
      </c>
      <c r="BQ74" s="29" t="n">
        <v>49614.0150824356</v>
      </c>
      <c r="BR74" s="29" t="n">
        <v>14393.04599294236</v>
      </c>
      <c r="BS74" s="29" t="n">
        <v>619822.200045618</v>
      </c>
      <c r="BT74" s="29" t="n">
        <v>1180060.442383966</v>
      </c>
      <c r="BU74" s="29" t="n">
        <v>4177870.571939645</v>
      </c>
      <c r="BV74" s="29" t="n">
        <v>2870494.489393828</v>
      </c>
      <c r="BW74" s="29" t="n">
        <v>216398.5764452894</v>
      </c>
      <c r="BX74" s="29" t="n">
        <v>218089.0024834</v>
      </c>
      <c r="BY74" s="29" t="n">
        <v>383928.8232059386</v>
      </c>
      <c r="BZ74" s="29" t="n">
        <v>2434.339647047965</v>
      </c>
      <c r="CA74" s="29" t="n">
        <v>16672306.66652651</v>
      </c>
      <c r="CB74" s="29" t="n">
        <v>108871.9088145773</v>
      </c>
      <c r="CC74" s="29" t="n">
        <v>6783.693423192713</v>
      </c>
      <c r="CD74" s="29" t="n">
        <v>7477.32933683692</v>
      </c>
      <c r="CE74" s="29" t="n">
        <v>1895592.068447955</v>
      </c>
      <c r="CF74" s="29" t="n">
        <v>87086.99640629094</v>
      </c>
      <c r="CG74" s="29" t="n">
        <v>392350.5943239504</v>
      </c>
      <c r="CH74" s="29" t="n">
        <v>10404165.78512912</v>
      </c>
      <c r="CI74" s="29" t="n">
        <v>33069.53008209475</v>
      </c>
      <c r="CJ74" s="29" t="n">
        <v>193255.8686737514</v>
      </c>
      <c r="CK74" s="29" t="n">
        <v>23621.62613762066</v>
      </c>
      <c r="CL74" s="29" t="n">
        <v>166130.6311696185</v>
      </c>
      <c r="CM74" s="29" t="n">
        <v>35849.03115942892</v>
      </c>
      <c r="CN74" s="29" t="n">
        <v>38518.80200020588</v>
      </c>
      <c r="CO74" s="29" t="n">
        <v>18763.91805465235</v>
      </c>
      <c r="CP74" s="29" t="n">
        <v>23776.97172955656</v>
      </c>
      <c r="CQ74" s="29" t="n">
        <v>51933.95381430252</v>
      </c>
      <c r="CR74" s="29" t="n">
        <v>1287010.910869406</v>
      </c>
      <c r="CS74" s="29" t="n">
        <v>13172.332407124</v>
      </c>
      <c r="CT74" s="29" t="n">
        <v>12027.78803895481</v>
      </c>
      <c r="CU74" s="29" t="n">
        <v>1469524.876726348</v>
      </c>
      <c r="CV74" s="29" t="n">
        <v>641689.0539154608</v>
      </c>
      <c r="CW74" s="29" t="n">
        <v>106387.9514481156</v>
      </c>
      <c r="CX74" s="29" t="n">
        <v>40631.40340052075</v>
      </c>
      <c r="CY74" s="29" t="n">
        <v>465683.2614048934</v>
      </c>
      <c r="CZ74" s="29" t="n">
        <v>117874.2530114249</v>
      </c>
      <c r="DA74" s="29" t="n">
        <v>907927.6146833576</v>
      </c>
      <c r="DB74" s="29" t="n">
        <v>130376.7884211866</v>
      </c>
      <c r="DC74" s="29" t="n">
        <v>2150428.591243825</v>
      </c>
      <c r="DD74" s="29" t="n">
        <v>133777.519407958</v>
      </c>
      <c r="DE74" s="29" t="n">
        <v>0</v>
      </c>
      <c r="DF74" s="29">
        <f>SUM(C74:DE74)</f>
        <v/>
      </c>
      <c r="DG74" s="29" t="n">
        <v>0</v>
      </c>
      <c r="DH74" s="29" t="n">
        <v>0</v>
      </c>
      <c r="DI74" s="29" t="n">
        <v>240944510.0639363</v>
      </c>
      <c r="DJ74" s="29" t="n">
        <v>0</v>
      </c>
      <c r="DK74" s="29">
        <f>SUM(DG74:DJ74)</f>
        <v/>
      </c>
      <c r="DL74" s="29">
        <f>DF74+DK74</f>
        <v/>
      </c>
    </row>
    <row r="75">
      <c r="A75" s="30" t="inlineStr">
        <is>
          <t>34300</t>
        </is>
      </c>
      <c r="B75" s="30" t="inlineStr">
        <is>
          <t>34300 - Fabricación de partes; piezas y accesorios para vehículos automotores y sus motores</t>
        </is>
      </c>
      <c r="C75" s="31" t="n">
        <v>1366235.701342546</v>
      </c>
      <c r="D75" s="31" t="n">
        <v>80170.08604899464</v>
      </c>
      <c r="E75" s="31" t="n">
        <v>583.1173394499826</v>
      </c>
      <c r="F75" s="31" t="n">
        <v>762.6486768288656</v>
      </c>
      <c r="G75" s="31" t="n">
        <v>4564.117529788387</v>
      </c>
      <c r="H75" s="31" t="n">
        <v>27645.26140298298</v>
      </c>
      <c r="I75" s="31" t="n">
        <v>266.2912298538931</v>
      </c>
      <c r="J75" s="31" t="n">
        <v>152944.1032462018</v>
      </c>
      <c r="K75" s="31" t="n">
        <v>89826.23260833503</v>
      </c>
      <c r="L75" s="31" t="n">
        <v>7153.494638743109</v>
      </c>
      <c r="M75" s="31" t="n">
        <v>7411.173801521514</v>
      </c>
      <c r="N75" s="31" t="n">
        <v>231108.1605576489</v>
      </c>
      <c r="O75" s="31" t="n">
        <v>61992.1704086359</v>
      </c>
      <c r="P75" s="31" t="n">
        <v>26900.72138617087</v>
      </c>
      <c r="Q75" s="31" t="n">
        <v>362482.6710375261</v>
      </c>
      <c r="R75" s="31" t="n">
        <v>74100.52979314138</v>
      </c>
      <c r="S75" s="31" t="n">
        <v>48461.794981197</v>
      </c>
      <c r="T75" s="31" t="n">
        <v>586525.6741912776</v>
      </c>
      <c r="U75" s="31" t="n">
        <v>50009.05928627315</v>
      </c>
      <c r="V75" s="31" t="n">
        <v>105900.4604428504</v>
      </c>
      <c r="W75" s="31" t="n">
        <v>25037.6779812155</v>
      </c>
      <c r="X75" s="31" t="n">
        <v>8878.678501083432</v>
      </c>
      <c r="Y75" s="31" t="n">
        <v>87468.74174177845</v>
      </c>
      <c r="Z75" s="31" t="n">
        <v>12991.51700196831</v>
      </c>
      <c r="AA75" s="31" t="n">
        <v>50239.53599804462</v>
      </c>
      <c r="AB75" s="31" t="n">
        <v>21226.9136428886</v>
      </c>
      <c r="AC75" s="31" t="n">
        <v>94488.31381591337</v>
      </c>
      <c r="AD75" s="31" t="n">
        <v>15388.65516780452</v>
      </c>
      <c r="AE75" s="31" t="n">
        <v>102139.3789969933</v>
      </c>
      <c r="AF75" s="31" t="n">
        <v>79849.2765312245</v>
      </c>
      <c r="AG75" s="31" t="n">
        <v>20108.89758145048</v>
      </c>
      <c r="AH75" s="31" t="n">
        <v>19997.91353081824</v>
      </c>
      <c r="AI75" s="31" t="n">
        <v>35750.31940096155</v>
      </c>
      <c r="AJ75" s="31" t="n">
        <v>741596.9983898735</v>
      </c>
      <c r="AK75" s="31" t="n">
        <v>63165.66419361911</v>
      </c>
      <c r="AL75" s="31" t="n">
        <v>53254.80870583847</v>
      </c>
      <c r="AM75" s="31" t="n">
        <v>206954.7572291767</v>
      </c>
      <c r="AN75" s="31" t="n">
        <v>121392.4451227392</v>
      </c>
      <c r="AO75" s="31" t="n">
        <v>18112.16265887838</v>
      </c>
      <c r="AP75" s="31" t="n">
        <v>29509.67079659264</v>
      </c>
      <c r="AQ75" s="31" t="n">
        <v>316081.1874345127</v>
      </c>
      <c r="AR75" s="31" t="n">
        <v>20494.45166759869</v>
      </c>
      <c r="AS75" s="31" t="n">
        <v>68156.95135520562</v>
      </c>
      <c r="AT75" s="31" t="n">
        <v>14517.12676260908</v>
      </c>
      <c r="AU75" s="31" t="n">
        <v>123798.3701166342</v>
      </c>
      <c r="AV75" s="31" t="n">
        <v>1020029.028772847</v>
      </c>
      <c r="AW75" s="31" t="n">
        <v>510250.1229818455</v>
      </c>
      <c r="AX75" s="31" t="n">
        <v>873296.2595279957</v>
      </c>
      <c r="AY75" s="31" t="n">
        <v>53457.59196440366</v>
      </c>
      <c r="AZ75" s="31" t="n">
        <v>288452.8037597937</v>
      </c>
      <c r="BA75" s="31" t="n">
        <v>227431.2156039212</v>
      </c>
      <c r="BB75" s="31" t="n">
        <v>1602096.390928264</v>
      </c>
      <c r="BC75" s="31" t="n">
        <v>104829.5423312404</v>
      </c>
      <c r="BD75" s="31" t="n">
        <v>1558.036387913035</v>
      </c>
      <c r="BE75" s="31" t="n">
        <v>91658.89509726351</v>
      </c>
      <c r="BF75" s="31" t="n">
        <v>101766.7793715434</v>
      </c>
      <c r="BG75" s="31" t="n">
        <v>23780.74805867186</v>
      </c>
      <c r="BH75" s="31" t="n">
        <v>190148.3115164185</v>
      </c>
      <c r="BI75" s="31" t="n">
        <v>3169.588481779668</v>
      </c>
      <c r="BJ75" s="31" t="n">
        <v>15336.15367052989</v>
      </c>
      <c r="BK75" s="31" t="n">
        <v>14790797.00864802</v>
      </c>
      <c r="BL75" s="31" t="n">
        <v>1189817.454551164</v>
      </c>
      <c r="BM75" s="31" t="n">
        <v>101403.1890009487</v>
      </c>
      <c r="BN75" s="31" t="n">
        <v>69671.92903134809</v>
      </c>
      <c r="BO75" s="31" t="n">
        <v>673773.4296985652</v>
      </c>
      <c r="BP75" s="31" t="n">
        <v>205207.9259882504</v>
      </c>
      <c r="BQ75" s="31" t="n">
        <v>6829.604397483801</v>
      </c>
      <c r="BR75" s="31" t="n">
        <v>34554.1146787222</v>
      </c>
      <c r="BS75" s="31" t="n">
        <v>1057822.331358913</v>
      </c>
      <c r="BT75" s="31" t="n">
        <v>365681.4706913031</v>
      </c>
      <c r="BU75" s="31" t="n">
        <v>1010272.813036328</v>
      </c>
      <c r="BV75" s="31" t="n">
        <v>766503.8581930875</v>
      </c>
      <c r="BW75" s="31" t="n">
        <v>49234.03478239575</v>
      </c>
      <c r="BX75" s="31" t="n">
        <v>27084.20166382622</v>
      </c>
      <c r="BY75" s="31" t="n">
        <v>51363.61085790274</v>
      </c>
      <c r="BZ75" s="31" t="n">
        <v>30882.02934761423</v>
      </c>
      <c r="CA75" s="31" t="n">
        <v>4672854.829499917</v>
      </c>
      <c r="CB75" s="31" t="n">
        <v>55583.2899258602</v>
      </c>
      <c r="CC75" s="31" t="n">
        <v>4918.165796358776</v>
      </c>
      <c r="CD75" s="31" t="n">
        <v>19205.88545866791</v>
      </c>
      <c r="CE75" s="31" t="n">
        <v>546631.4465711482</v>
      </c>
      <c r="CF75" s="31" t="n">
        <v>16382.70098272028</v>
      </c>
      <c r="CG75" s="31" t="n">
        <v>42955.0781131715</v>
      </c>
      <c r="CH75" s="31" t="n">
        <v>858569.6849745836</v>
      </c>
      <c r="CI75" s="31" t="n">
        <v>9787.793377261643</v>
      </c>
      <c r="CJ75" s="31" t="n">
        <v>41659.65970092409</v>
      </c>
      <c r="CK75" s="31" t="n">
        <v>3972.209606042295</v>
      </c>
      <c r="CL75" s="31" t="n">
        <v>25071.5287330998</v>
      </c>
      <c r="CM75" s="31" t="n">
        <v>3357.202344829273</v>
      </c>
      <c r="CN75" s="31" t="n">
        <v>18103.80103924565</v>
      </c>
      <c r="CO75" s="31" t="n">
        <v>11336.13568870482</v>
      </c>
      <c r="CP75" s="31" t="n">
        <v>1606.55294455876</v>
      </c>
      <c r="CQ75" s="31" t="n">
        <v>24446.23199808141</v>
      </c>
      <c r="CR75" s="31" t="n">
        <v>93096.46058128976</v>
      </c>
      <c r="CS75" s="31" t="n">
        <v>4641.744512529872</v>
      </c>
      <c r="CT75" s="31" t="n">
        <v>4238.423189009138</v>
      </c>
      <c r="CU75" s="31" t="n">
        <v>180127.2205046033</v>
      </c>
      <c r="CV75" s="31" t="n">
        <v>226177.3093320778</v>
      </c>
      <c r="CW75" s="31" t="n">
        <v>78179.78065344211</v>
      </c>
      <c r="CX75" s="31" t="n">
        <v>11808.44654472319</v>
      </c>
      <c r="CY75" s="31" t="n">
        <v>113871.6349348962</v>
      </c>
      <c r="CZ75" s="31" t="n">
        <v>9716.493227261511</v>
      </c>
      <c r="DA75" s="31" t="n">
        <v>232102.9790169506</v>
      </c>
      <c r="DB75" s="31" t="n">
        <v>83239.29146919859</v>
      </c>
      <c r="DC75" s="31" t="n">
        <v>181257.6547709996</v>
      </c>
      <c r="DD75" s="31" t="n">
        <v>26515.19279633249</v>
      </c>
      <c r="DE75" s="31" t="n">
        <v>0</v>
      </c>
      <c r="DF75" s="31">
        <f>SUM(C75:DE75)</f>
        <v/>
      </c>
      <c r="DG75" s="31" t="n">
        <v>0</v>
      </c>
      <c r="DH75" s="31" t="n">
        <v>0</v>
      </c>
      <c r="DI75" s="31" t="n">
        <v>72647382.06168142</v>
      </c>
      <c r="DJ75" s="31" t="n">
        <v>0</v>
      </c>
      <c r="DK75" s="31">
        <f>SUM(DG75:DJ75)</f>
        <v/>
      </c>
      <c r="DL75" s="31">
        <f>DF75+DK75</f>
        <v/>
      </c>
    </row>
    <row r="76">
      <c r="A76" s="28" t="inlineStr">
        <is>
          <t>351/2/3/9</t>
        </is>
      </c>
      <c r="B76" s="28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9" t="n">
        <v>916472.0597761524</v>
      </c>
      <c r="D76" s="29" t="n">
        <v>83582.28027738161</v>
      </c>
      <c r="E76" s="29" t="n">
        <v>2889.935659019333</v>
      </c>
      <c r="F76" s="29" t="n">
        <v>727.2887876836221</v>
      </c>
      <c r="G76" s="29" t="n">
        <v>22619.81441630939</v>
      </c>
      <c r="H76" s="29" t="n">
        <v>54715.662017878</v>
      </c>
      <c r="I76" s="29" t="n">
        <v>1314.323460229267</v>
      </c>
      <c r="J76" s="29" t="n">
        <v>137335.1751464633</v>
      </c>
      <c r="K76" s="29" t="n">
        <v>71251.92780247802</v>
      </c>
      <c r="L76" s="29" t="n">
        <v>30799.48460778024</v>
      </c>
      <c r="M76" s="29" t="n">
        <v>25176.12116431253</v>
      </c>
      <c r="N76" s="29" t="n">
        <v>32974.41693045239</v>
      </c>
      <c r="O76" s="29" t="n">
        <v>21597.67422877869</v>
      </c>
      <c r="P76" s="29" t="n">
        <v>13445.91881856567</v>
      </c>
      <c r="Q76" s="29" t="n">
        <v>111446.4016313115</v>
      </c>
      <c r="R76" s="29" t="n">
        <v>24138.72604169928</v>
      </c>
      <c r="S76" s="29" t="n">
        <v>22085.1298372563</v>
      </c>
      <c r="T76" s="29" t="n">
        <v>32948.00606390306</v>
      </c>
      <c r="U76" s="29" t="n">
        <v>26487.1561578645</v>
      </c>
      <c r="V76" s="29" t="n">
        <v>18884.47362714137</v>
      </c>
      <c r="W76" s="29" t="n">
        <v>12139.1166446791</v>
      </c>
      <c r="X76" s="29" t="n">
        <v>4805.880821855413</v>
      </c>
      <c r="Y76" s="29" t="n">
        <v>42627.63313662705</v>
      </c>
      <c r="Z76" s="29" t="n">
        <v>4865.157820921565</v>
      </c>
      <c r="AA76" s="29" t="n">
        <v>12337.58176751753</v>
      </c>
      <c r="AB76" s="29" t="n">
        <v>16939.62810400204</v>
      </c>
      <c r="AC76" s="29" t="n">
        <v>42797.49491845557</v>
      </c>
      <c r="AD76" s="29" t="n">
        <v>5847.023877573521</v>
      </c>
      <c r="AE76" s="29" t="n">
        <v>25861.91695525542</v>
      </c>
      <c r="AF76" s="29" t="n">
        <v>12027.18570095174</v>
      </c>
      <c r="AG76" s="29" t="n">
        <v>4036.300216596277</v>
      </c>
      <c r="AH76" s="29" t="n">
        <v>3010.928485992067</v>
      </c>
      <c r="AI76" s="29" t="n">
        <v>15886.82237078446</v>
      </c>
      <c r="AJ76" s="29" t="n">
        <v>48124.83668461895</v>
      </c>
      <c r="AK76" s="29" t="n">
        <v>14000.25314210406</v>
      </c>
      <c r="AL76" s="29" t="n">
        <v>17719.62529967482</v>
      </c>
      <c r="AM76" s="29" t="n">
        <v>60176.44061140722</v>
      </c>
      <c r="AN76" s="29" t="n">
        <v>27169.1720383427</v>
      </c>
      <c r="AO76" s="29" t="n">
        <v>29323.54954769643</v>
      </c>
      <c r="AP76" s="29" t="n">
        <v>19989.02448759381</v>
      </c>
      <c r="AQ76" s="29" t="n">
        <v>80425.01507215101</v>
      </c>
      <c r="AR76" s="29" t="n">
        <v>14566.73471585142</v>
      </c>
      <c r="AS76" s="29" t="n">
        <v>32513.42122647112</v>
      </c>
      <c r="AT76" s="29" t="n">
        <v>7746.864894680449</v>
      </c>
      <c r="AU76" s="29" t="n">
        <v>43295.82055248165</v>
      </c>
      <c r="AV76" s="29" t="n">
        <v>61189.48599770184</v>
      </c>
      <c r="AW76" s="29" t="n">
        <v>14962.22777134854</v>
      </c>
      <c r="AX76" s="29" t="n">
        <v>30447.16409931687</v>
      </c>
      <c r="AY76" s="29" t="n">
        <v>12360.58296910985</v>
      </c>
      <c r="AZ76" s="29" t="n">
        <v>33987.3688672883</v>
      </c>
      <c r="BA76" s="29" t="n">
        <v>15649.61849794672</v>
      </c>
      <c r="BB76" s="29" t="n">
        <v>58989.47232887136</v>
      </c>
      <c r="BC76" s="29" t="n">
        <v>7795.872501795213</v>
      </c>
      <c r="BD76" s="29" t="n">
        <v>287.5480053297188</v>
      </c>
      <c r="BE76" s="29" t="n">
        <v>6633.25566461117</v>
      </c>
      <c r="BF76" s="29" t="n">
        <v>4018.819698028995</v>
      </c>
      <c r="BG76" s="29" t="n">
        <v>4072.956209871815</v>
      </c>
      <c r="BH76" s="29" t="n">
        <v>17709.32403309406</v>
      </c>
      <c r="BI76" s="29" t="n">
        <v>1460.959656488274</v>
      </c>
      <c r="BJ76" s="29" t="n">
        <v>4197.737244182712</v>
      </c>
      <c r="BK76" s="29" t="n">
        <v>118311.2847515242</v>
      </c>
      <c r="BL76" s="29" t="n">
        <v>100266.0676130112</v>
      </c>
      <c r="BM76" s="29" t="n">
        <v>1328568.404056877</v>
      </c>
      <c r="BN76" s="29" t="n">
        <v>14480.70764766568</v>
      </c>
      <c r="BO76" s="29" t="n">
        <v>18265.47549389975</v>
      </c>
      <c r="BP76" s="29" t="n">
        <v>107207.1192650423</v>
      </c>
      <c r="BQ76" s="29" t="n">
        <v>25201.18057959503</v>
      </c>
      <c r="BR76" s="29" t="n">
        <v>32543.95949356661</v>
      </c>
      <c r="BS76" s="29" t="n">
        <v>136013.3105045238</v>
      </c>
      <c r="BT76" s="29" t="n">
        <v>37445.0714807804</v>
      </c>
      <c r="BU76" s="29" t="n">
        <v>150796.4474278444</v>
      </c>
      <c r="BV76" s="29" t="n">
        <v>219232.0563439743</v>
      </c>
      <c r="BW76" s="29" t="n">
        <v>20196.14762685491</v>
      </c>
      <c r="BX76" s="29" t="n">
        <v>51292.38562204201</v>
      </c>
      <c r="BY76" s="29" t="n">
        <v>64053.75091336362</v>
      </c>
      <c r="BZ76" s="29" t="n">
        <v>13267.57069294081</v>
      </c>
      <c r="CA76" s="29" t="n">
        <v>596788.5737165042</v>
      </c>
      <c r="CB76" s="29" t="n">
        <v>301835.8818016328</v>
      </c>
      <c r="CC76" s="29" t="n">
        <v>655.2688402980926</v>
      </c>
      <c r="CD76" s="29" t="n">
        <v>80184.12939212666</v>
      </c>
      <c r="CE76" s="29" t="n">
        <v>304530.6986207608</v>
      </c>
      <c r="CF76" s="29" t="n">
        <v>10533.47570449606</v>
      </c>
      <c r="CG76" s="29" t="n">
        <v>42744.57111766762</v>
      </c>
      <c r="CH76" s="29" t="n">
        <v>292935.9603203</v>
      </c>
      <c r="CI76" s="29" t="n">
        <v>35681.91522977727</v>
      </c>
      <c r="CJ76" s="29" t="n">
        <v>190559.7390843312</v>
      </c>
      <c r="CK76" s="29" t="n">
        <v>16125.15827532935</v>
      </c>
      <c r="CL76" s="29" t="n">
        <v>34181.42550311755</v>
      </c>
      <c r="CM76" s="29" t="n">
        <v>10948.46160674037</v>
      </c>
      <c r="CN76" s="29" t="n">
        <v>28790.44669667403</v>
      </c>
      <c r="CO76" s="29" t="n">
        <v>22449.97211690637</v>
      </c>
      <c r="CP76" s="29" t="n">
        <v>6287.742291245715</v>
      </c>
      <c r="CQ76" s="29" t="n">
        <v>28509.60110417929</v>
      </c>
      <c r="CR76" s="29" t="n">
        <v>90585.01358610883</v>
      </c>
      <c r="CS76" s="29" t="n">
        <v>8134.164722683133</v>
      </c>
      <c r="CT76" s="29" t="n">
        <v>7427.386899640011</v>
      </c>
      <c r="CU76" s="29" t="n">
        <v>217686.4416642919</v>
      </c>
      <c r="CV76" s="29" t="n">
        <v>396771.301228361</v>
      </c>
      <c r="CW76" s="29" t="n">
        <v>50540.10587672229</v>
      </c>
      <c r="CX76" s="29" t="n">
        <v>22029.30736226681</v>
      </c>
      <c r="CY76" s="29" t="n">
        <v>261292.6780143632</v>
      </c>
      <c r="CZ76" s="29" t="n">
        <v>22621.04350987951</v>
      </c>
      <c r="DA76" s="29" t="n">
        <v>35704.36708114063</v>
      </c>
      <c r="DB76" s="29" t="n">
        <v>223234.325697443</v>
      </c>
      <c r="DC76" s="29" t="n">
        <v>67368.96500145714</v>
      </c>
      <c r="DD76" s="29" t="n">
        <v>9522.999713448589</v>
      </c>
      <c r="DE76" s="29" t="n">
        <v>0</v>
      </c>
      <c r="DF76" s="29">
        <f>SUM(C76:DE76)</f>
        <v/>
      </c>
      <c r="DG76" s="29" t="n">
        <v>0</v>
      </c>
      <c r="DH76" s="29" t="n">
        <v>0</v>
      </c>
      <c r="DI76" s="29" t="n">
        <v>22111111.94010004</v>
      </c>
      <c r="DJ76" s="29" t="n">
        <v>0</v>
      </c>
      <c r="DK76" s="29">
        <f>SUM(DG76:DJ76)</f>
        <v/>
      </c>
      <c r="DL76" s="29">
        <f>DF76+DK76</f>
        <v/>
      </c>
    </row>
    <row r="77">
      <c r="A77" s="30" t="inlineStr">
        <is>
          <t>361/9</t>
        </is>
      </c>
      <c r="B77" s="30" t="inlineStr">
        <is>
          <t>Fabricación de muebles. Industrias manufactureras, n.c.p.</t>
        </is>
      </c>
      <c r="C77" s="31" t="n">
        <v>310728.7654405273</v>
      </c>
      <c r="D77" s="31" t="n">
        <v>29928.99846112435</v>
      </c>
      <c r="E77" s="31" t="n">
        <v>194.7584445308816</v>
      </c>
      <c r="F77" s="31" t="n">
        <v>7602.294400200469</v>
      </c>
      <c r="G77" s="31" t="n">
        <v>1524.393755116525</v>
      </c>
      <c r="H77" s="31" t="n">
        <v>28232.3020996329</v>
      </c>
      <c r="I77" s="31" t="n">
        <v>152.4523346338106</v>
      </c>
      <c r="J77" s="31" t="n">
        <v>2975106.664186039</v>
      </c>
      <c r="K77" s="31" t="n">
        <v>55385.43160099079</v>
      </c>
      <c r="L77" s="31" t="n">
        <v>11602.82488253308</v>
      </c>
      <c r="M77" s="31" t="n">
        <v>8145.133030224812</v>
      </c>
      <c r="N77" s="31" t="n">
        <v>86641.25372434003</v>
      </c>
      <c r="O77" s="31" t="n">
        <v>24713.91109706445</v>
      </c>
      <c r="P77" s="31" t="n">
        <v>13988.445219614</v>
      </c>
      <c r="Q77" s="31" t="n">
        <v>160381.1180627708</v>
      </c>
      <c r="R77" s="31" t="n">
        <v>66718.14666433414</v>
      </c>
      <c r="S77" s="31" t="n">
        <v>25350.58326623031</v>
      </c>
      <c r="T77" s="31" t="n">
        <v>151495.9164613895</v>
      </c>
      <c r="U77" s="31" t="n">
        <v>47554.95960190013</v>
      </c>
      <c r="V77" s="31" t="n">
        <v>44093.26537029196</v>
      </c>
      <c r="W77" s="31" t="n">
        <v>29377.6677424142</v>
      </c>
      <c r="X77" s="31" t="n">
        <v>8528.048407483817</v>
      </c>
      <c r="Y77" s="31" t="n">
        <v>58822.98275900455</v>
      </c>
      <c r="Z77" s="31" t="n">
        <v>13726.76682573382</v>
      </c>
      <c r="AA77" s="31" t="n">
        <v>38461.19240435876</v>
      </c>
      <c r="AB77" s="31" t="n">
        <v>26011.92584622754</v>
      </c>
      <c r="AC77" s="31" t="n">
        <v>112310.4059763002</v>
      </c>
      <c r="AD77" s="31" t="n">
        <v>10795.17967251753</v>
      </c>
      <c r="AE77" s="31" t="n">
        <v>56959.39792571236</v>
      </c>
      <c r="AF77" s="31" t="n">
        <v>438982.8873666986</v>
      </c>
      <c r="AG77" s="31" t="n">
        <v>12360.19806045162</v>
      </c>
      <c r="AH77" s="31" t="n">
        <v>11083.1803731722</v>
      </c>
      <c r="AI77" s="31" t="n">
        <v>123123.2297632472</v>
      </c>
      <c r="AJ77" s="31" t="n">
        <v>272910.2216550749</v>
      </c>
      <c r="AK77" s="31" t="n">
        <v>1189104.360776574</v>
      </c>
      <c r="AL77" s="31" t="n">
        <v>212557.0311691958</v>
      </c>
      <c r="AM77" s="31" t="n">
        <v>90041.11731896388</v>
      </c>
      <c r="AN77" s="31" t="n">
        <v>39980.47724854675</v>
      </c>
      <c r="AO77" s="31" t="n">
        <v>12572.62379592937</v>
      </c>
      <c r="AP77" s="31" t="n">
        <v>23309.48616716639</v>
      </c>
      <c r="AQ77" s="31" t="n">
        <v>248186.967510903</v>
      </c>
      <c r="AR77" s="31" t="n">
        <v>18503.10682501943</v>
      </c>
      <c r="AS77" s="31" t="n">
        <v>55007.43443656903</v>
      </c>
      <c r="AT77" s="31" t="n">
        <v>16532.13366661136</v>
      </c>
      <c r="AU77" s="31" t="n">
        <v>54643.19036891701</v>
      </c>
      <c r="AV77" s="31" t="n">
        <v>524863.1668485443</v>
      </c>
      <c r="AW77" s="31" t="n">
        <v>129521.402355618</v>
      </c>
      <c r="AX77" s="31" t="n">
        <v>228377.0958708755</v>
      </c>
      <c r="AY77" s="31" t="n">
        <v>24073.41698913154</v>
      </c>
      <c r="AZ77" s="31" t="n">
        <v>96090.59273368433</v>
      </c>
      <c r="BA77" s="31" t="n">
        <v>87918.61594082936</v>
      </c>
      <c r="BB77" s="31" t="n">
        <v>289269.7898776215</v>
      </c>
      <c r="BC77" s="31" t="n">
        <v>26032.05862799159</v>
      </c>
      <c r="BD77" s="31" t="n">
        <v>6780.141288145554</v>
      </c>
      <c r="BE77" s="31" t="n">
        <v>16335.5167999742</v>
      </c>
      <c r="BF77" s="31" t="n">
        <v>24947.46687357169</v>
      </c>
      <c r="BG77" s="31" t="n">
        <v>68122.79364119307</v>
      </c>
      <c r="BH77" s="31" t="n">
        <v>92229.39436988902</v>
      </c>
      <c r="BI77" s="31" t="n">
        <v>3659.7921894017</v>
      </c>
      <c r="BJ77" s="31" t="n">
        <v>16420.99279301031</v>
      </c>
      <c r="BK77" s="31" t="n">
        <v>7761575.049555214</v>
      </c>
      <c r="BL77" s="31" t="n">
        <v>1637258.205363151</v>
      </c>
      <c r="BM77" s="31" t="n">
        <v>16890.97340489921</v>
      </c>
      <c r="BN77" s="31" t="n">
        <v>625538.161344863</v>
      </c>
      <c r="BO77" s="31" t="n">
        <v>164893.1696134607</v>
      </c>
      <c r="BP77" s="31" t="n">
        <v>118477.6420567511</v>
      </c>
      <c r="BQ77" s="31" t="n">
        <v>22193.37820726489</v>
      </c>
      <c r="BR77" s="31" t="n">
        <v>15233.28819089383</v>
      </c>
      <c r="BS77" s="31" t="n">
        <v>6299627.016827461</v>
      </c>
      <c r="BT77" s="31" t="n">
        <v>733340.0123732515</v>
      </c>
      <c r="BU77" s="31" t="n">
        <v>565324.0422438933</v>
      </c>
      <c r="BV77" s="31" t="n">
        <v>1078606.072447077</v>
      </c>
      <c r="BW77" s="31" t="n">
        <v>25591.43533601367</v>
      </c>
      <c r="BX77" s="31" t="n">
        <v>22236.82027656188</v>
      </c>
      <c r="BY77" s="31" t="n">
        <v>441011.1179879504</v>
      </c>
      <c r="BZ77" s="31" t="n">
        <v>4441.574315527149</v>
      </c>
      <c r="CA77" s="31" t="n">
        <v>78040.47064830286</v>
      </c>
      <c r="CB77" s="31" t="n">
        <v>14854.7914612004</v>
      </c>
      <c r="CC77" s="31" t="n">
        <v>461.6280395452494</v>
      </c>
      <c r="CD77" s="31" t="n">
        <v>16932.97260554982</v>
      </c>
      <c r="CE77" s="31" t="n">
        <v>35703.30307549171</v>
      </c>
      <c r="CF77" s="31" t="n">
        <v>8369.822132816284</v>
      </c>
      <c r="CG77" s="31" t="n">
        <v>58810.07792115456</v>
      </c>
      <c r="CH77" s="31" t="n">
        <v>408483.8611727738</v>
      </c>
      <c r="CI77" s="31" t="n">
        <v>13368.82076163054</v>
      </c>
      <c r="CJ77" s="31" t="n">
        <v>415350.0612709041</v>
      </c>
      <c r="CK77" s="31" t="n">
        <v>37569.9203290576</v>
      </c>
      <c r="CL77" s="31" t="n">
        <v>173255.5775551484</v>
      </c>
      <c r="CM77" s="31" t="n">
        <v>49848.20226906105</v>
      </c>
      <c r="CN77" s="31" t="n">
        <v>290571.0310910258</v>
      </c>
      <c r="CO77" s="31" t="n">
        <v>164763.8170758066</v>
      </c>
      <c r="CP77" s="31" t="n">
        <v>7917.184745062641</v>
      </c>
      <c r="CQ77" s="31" t="n">
        <v>38146.8971751963</v>
      </c>
      <c r="CR77" s="31" t="n">
        <v>459502.3600988189</v>
      </c>
      <c r="CS77" s="31" t="n">
        <v>29999.39583297837</v>
      </c>
      <c r="CT77" s="31" t="n">
        <v>27392.74740596596</v>
      </c>
      <c r="CU77" s="31" t="n">
        <v>835973.598722273</v>
      </c>
      <c r="CV77" s="31" t="n">
        <v>1113424.371209186</v>
      </c>
      <c r="CW77" s="31" t="n">
        <v>803417.0628643574</v>
      </c>
      <c r="CX77" s="31" t="n">
        <v>151236.0611044595</v>
      </c>
      <c r="CY77" s="31" t="n">
        <v>741694.4558371583</v>
      </c>
      <c r="CZ77" s="31" t="n">
        <v>137898.9894027229</v>
      </c>
      <c r="DA77" s="31" t="n">
        <v>311645.2164004811</v>
      </c>
      <c r="DB77" s="31" t="n">
        <v>550729.7545227505</v>
      </c>
      <c r="DC77" s="31" t="n">
        <v>109585.3315832232</v>
      </c>
      <c r="DD77" s="31" t="n">
        <v>23510.10972593848</v>
      </c>
      <c r="DE77" s="31" t="n">
        <v>0</v>
      </c>
      <c r="DF77" s="31">
        <f>SUM(C77:DE77)</f>
        <v/>
      </c>
      <c r="DG77" s="31" t="n">
        <v>0</v>
      </c>
      <c r="DH77" s="31" t="n">
        <v>0</v>
      </c>
      <c r="DI77" s="31" t="n">
        <v>63426636.12056009</v>
      </c>
      <c r="DJ77" s="31" t="n">
        <v>0</v>
      </c>
      <c r="DK77" s="31">
        <f>SUM(DG77:DJ77)</f>
        <v/>
      </c>
      <c r="DL77" s="31">
        <f>DF77+DK77</f>
        <v/>
      </c>
    </row>
    <row r="78">
      <c r="A78" s="28" t="inlineStr">
        <is>
          <t>37/38</t>
        </is>
      </c>
      <c r="B78" s="28" t="inlineStr">
        <is>
          <t>Reciclado. Reparación y mantenimiento</t>
        </is>
      </c>
      <c r="C78" s="29" t="n">
        <v>2402830.584119702</v>
      </c>
      <c r="D78" s="29" t="n">
        <v>214908.7113427077</v>
      </c>
      <c r="E78" s="29" t="n">
        <v>7877.404832960317</v>
      </c>
      <c r="F78" s="29" t="n">
        <v>2392.207857790457</v>
      </c>
      <c r="G78" s="29" t="n">
        <v>61657.23269568092</v>
      </c>
      <c r="H78" s="29" t="n">
        <v>156182.4201771749</v>
      </c>
      <c r="I78" s="29" t="n">
        <v>3653.687909618689</v>
      </c>
      <c r="J78" s="29" t="n">
        <v>292575.458649753</v>
      </c>
      <c r="K78" s="29" t="n">
        <v>215559.6874812264</v>
      </c>
      <c r="L78" s="29" t="n">
        <v>90167.11215844209</v>
      </c>
      <c r="M78" s="29" t="n">
        <v>71326.93111389846</v>
      </c>
      <c r="N78" s="29" t="n">
        <v>202045.4826175075</v>
      </c>
      <c r="O78" s="29" t="n">
        <v>70866.10251190948</v>
      </c>
      <c r="P78" s="29" t="n">
        <v>51887.80414038704</v>
      </c>
      <c r="Q78" s="29" t="n">
        <v>411912.3188264299</v>
      </c>
      <c r="R78" s="29" t="n">
        <v>118173.6610410483</v>
      </c>
      <c r="S78" s="29" t="n">
        <v>71870.35522693284</v>
      </c>
      <c r="T78" s="29" t="n">
        <v>532058.3875563513</v>
      </c>
      <c r="U78" s="29" t="n">
        <v>98856.14146349259</v>
      </c>
      <c r="V78" s="29" t="n">
        <v>93237.25645768327</v>
      </c>
      <c r="W78" s="29" t="n">
        <v>40606.66742083654</v>
      </c>
      <c r="X78" s="29" t="n">
        <v>15514.89006983479</v>
      </c>
      <c r="Y78" s="29" t="n">
        <v>287294.0193627784</v>
      </c>
      <c r="Z78" s="29" t="n">
        <v>15621.58925097227</v>
      </c>
      <c r="AA78" s="29" t="n">
        <v>59754.18180623694</v>
      </c>
      <c r="AB78" s="29" t="n">
        <v>49563.85353362137</v>
      </c>
      <c r="AC78" s="29" t="n">
        <v>179342.6398103327</v>
      </c>
      <c r="AD78" s="29" t="n">
        <v>42561.16911203629</v>
      </c>
      <c r="AE78" s="29" t="n">
        <v>119033.0713312846</v>
      </c>
      <c r="AF78" s="29" t="n">
        <v>60335.83677973206</v>
      </c>
      <c r="AG78" s="29" t="n">
        <v>13991.70873386623</v>
      </c>
      <c r="AH78" s="29" t="n">
        <v>32361.28527261831</v>
      </c>
      <c r="AI78" s="29" t="n">
        <v>64947.11918952047</v>
      </c>
      <c r="AJ78" s="29" t="n">
        <v>964402.4771082534</v>
      </c>
      <c r="AK78" s="29" t="n">
        <v>136971.0513762876</v>
      </c>
      <c r="AL78" s="29" t="n">
        <v>191950.7417042086</v>
      </c>
      <c r="AM78" s="29" t="n">
        <v>145770.9236368294</v>
      </c>
      <c r="AN78" s="29" t="n">
        <v>157795.0039627861</v>
      </c>
      <c r="AO78" s="29" t="n">
        <v>84021.39827562786</v>
      </c>
      <c r="AP78" s="29" t="n">
        <v>91023.51634579245</v>
      </c>
      <c r="AQ78" s="29" t="n">
        <v>468880.3570936817</v>
      </c>
      <c r="AR78" s="29" t="n">
        <v>43295.35072675037</v>
      </c>
      <c r="AS78" s="29" t="n">
        <v>778606.3304218265</v>
      </c>
      <c r="AT78" s="29" t="n">
        <v>29721.77982957734</v>
      </c>
      <c r="AU78" s="29" t="n">
        <v>167723.0877474298</v>
      </c>
      <c r="AV78" s="29" t="n">
        <v>851336.9532069042</v>
      </c>
      <c r="AW78" s="29" t="n">
        <v>446711.6727464824</v>
      </c>
      <c r="AX78" s="29" t="n">
        <v>806289.7949863749</v>
      </c>
      <c r="AY78" s="29" t="n">
        <v>42799.03701244344</v>
      </c>
      <c r="AZ78" s="29" t="n">
        <v>295921.3190290355</v>
      </c>
      <c r="BA78" s="29" t="n">
        <v>106561.9107987315</v>
      </c>
      <c r="BB78" s="29" t="n">
        <v>196076.8534202607</v>
      </c>
      <c r="BC78" s="29" t="n">
        <v>52014.79706801729</v>
      </c>
      <c r="BD78" s="29" t="n">
        <v>25793.61721037258</v>
      </c>
      <c r="BE78" s="29" t="n">
        <v>35621.17681765996</v>
      </c>
      <c r="BF78" s="29" t="n">
        <v>107327.4575467083</v>
      </c>
      <c r="BG78" s="29" t="n">
        <v>28997.48691186701</v>
      </c>
      <c r="BH78" s="29" t="n">
        <v>129503.0654472463</v>
      </c>
      <c r="BI78" s="29" t="n">
        <v>9534.723028882072</v>
      </c>
      <c r="BJ78" s="29" t="n">
        <v>24309.21210067155</v>
      </c>
      <c r="BK78" s="29" t="n">
        <v>413052.225871349</v>
      </c>
      <c r="BL78" s="29" t="n">
        <v>103893.1074506757</v>
      </c>
      <c r="BM78" s="29" t="n">
        <v>34398.03739059767</v>
      </c>
      <c r="BN78" s="29" t="n">
        <v>71043.68200300848</v>
      </c>
      <c r="BO78" s="29" t="n">
        <v>700854.6671118701</v>
      </c>
      <c r="BP78" s="29" t="n">
        <v>320698.2403289587</v>
      </c>
      <c r="BQ78" s="29" t="n">
        <v>74850.66044559488</v>
      </c>
      <c r="BR78" s="29" t="n">
        <v>99875.08536609316</v>
      </c>
      <c r="BS78" s="29" t="n">
        <v>2008310.363202735</v>
      </c>
      <c r="BT78" s="29" t="n">
        <v>115019.3134450557</v>
      </c>
      <c r="BU78" s="29" t="n">
        <v>484326.1982960107</v>
      </c>
      <c r="BV78" s="29" t="n">
        <v>707400.8466634868</v>
      </c>
      <c r="BW78" s="29" t="n">
        <v>50845.39359249682</v>
      </c>
      <c r="BX78" s="29" t="n">
        <v>143353.2990356567</v>
      </c>
      <c r="BY78" s="29" t="n">
        <v>200301.6596754491</v>
      </c>
      <c r="BZ78" s="29" t="n">
        <v>32029.49448226928</v>
      </c>
      <c r="CA78" s="29" t="n">
        <v>1727620.170814643</v>
      </c>
      <c r="CB78" s="29" t="n">
        <v>45115.59557517632</v>
      </c>
      <c r="CC78" s="29" t="n">
        <v>2074.766827614299</v>
      </c>
      <c r="CD78" s="29" t="n">
        <v>239605.7306157567</v>
      </c>
      <c r="CE78" s="29" t="n">
        <v>228960.1895956291</v>
      </c>
      <c r="CF78" s="29" t="n">
        <v>33056.17372679336</v>
      </c>
      <c r="CG78" s="29" t="n">
        <v>96134.19737527888</v>
      </c>
      <c r="CH78" s="29" t="n">
        <v>704557.2095657035</v>
      </c>
      <c r="CI78" s="29" t="n">
        <v>90521.62746269186</v>
      </c>
      <c r="CJ78" s="29" t="n">
        <v>531045.1272070493</v>
      </c>
      <c r="CK78" s="29" t="n">
        <v>56500.42278886432</v>
      </c>
      <c r="CL78" s="29" t="n">
        <v>113786.5743256906</v>
      </c>
      <c r="CM78" s="29" t="n">
        <v>36525.23351819831</v>
      </c>
      <c r="CN78" s="29" t="n">
        <v>357885.5876136558</v>
      </c>
      <c r="CO78" s="29" t="n">
        <v>228113.7027175557</v>
      </c>
      <c r="CP78" s="29" t="n">
        <v>18661.53551258512</v>
      </c>
      <c r="CQ78" s="29" t="n">
        <v>84342.99468871363</v>
      </c>
      <c r="CR78" s="29" t="n">
        <v>232186.2915728056</v>
      </c>
      <c r="CS78" s="29" t="n">
        <v>20809.52135841711</v>
      </c>
      <c r="CT78" s="29" t="n">
        <v>19001.38140727287</v>
      </c>
      <c r="CU78" s="29" t="n">
        <v>626144.8752062999</v>
      </c>
      <c r="CV78" s="29" t="n">
        <v>993574.86612178</v>
      </c>
      <c r="CW78" s="29" t="n">
        <v>179881.2051264982</v>
      </c>
      <c r="CX78" s="29" t="n">
        <v>30122.49650759567</v>
      </c>
      <c r="CY78" s="29" t="n">
        <v>756294.1263178681</v>
      </c>
      <c r="CZ78" s="29" t="n">
        <v>80051.27430990792</v>
      </c>
      <c r="DA78" s="29" t="n">
        <v>105984.4544696513</v>
      </c>
      <c r="DB78" s="29" t="n">
        <v>615733.8789370861</v>
      </c>
      <c r="DC78" s="29" t="n">
        <v>127591.5950163039</v>
      </c>
      <c r="DD78" s="29" t="n">
        <v>27748.95450322293</v>
      </c>
      <c r="DE78" s="29" t="n">
        <v>0</v>
      </c>
      <c r="DF78" s="29">
        <f>SUM(C78:DE78)</f>
        <v/>
      </c>
      <c r="DG78" s="29" t="n">
        <v>0</v>
      </c>
      <c r="DH78" s="29" t="n">
        <v>0</v>
      </c>
      <c r="DI78" s="29" t="n">
        <v>11955638.77934426</v>
      </c>
      <c r="DJ78" s="29" t="n">
        <v>0</v>
      </c>
      <c r="DK78" s="29">
        <f>SUM(DG78:DJ78)</f>
        <v/>
      </c>
      <c r="DL78" s="29">
        <f>DF78+DK78</f>
        <v/>
      </c>
    </row>
    <row r="79">
      <c r="A79" s="30" t="inlineStr">
        <is>
          <t>401</t>
        </is>
      </c>
      <c r="B79" s="30" t="inlineStr">
        <is>
          <t>Generación captación y distribución de energía eléctrica</t>
        </is>
      </c>
      <c r="C79" s="31" t="n">
        <v>576772.284096876</v>
      </c>
      <c r="D79" s="31" t="n">
        <v>1261094.546571157</v>
      </c>
      <c r="E79" s="31" t="n">
        <v>0</v>
      </c>
      <c r="F79" s="31" t="n">
        <v>833363.1229166742</v>
      </c>
      <c r="G79" s="31" t="n">
        <v>0</v>
      </c>
      <c r="H79" s="31" t="n">
        <v>1716337.876821717</v>
      </c>
      <c r="I79" s="31" t="n">
        <v>76485.48614217124</v>
      </c>
      <c r="J79" s="31" t="n">
        <v>10623079.40025937</v>
      </c>
      <c r="K79" s="31" t="n">
        <v>8478609.847534878</v>
      </c>
      <c r="L79" s="31" t="n">
        <v>3950879.484992089</v>
      </c>
      <c r="M79" s="31" t="n">
        <v>3370801.970317498</v>
      </c>
      <c r="N79" s="31" t="n">
        <v>2173733.579484899</v>
      </c>
      <c r="O79" s="31" t="n">
        <v>379558.0298875156</v>
      </c>
      <c r="P79" s="31" t="n">
        <v>663590.7817497492</v>
      </c>
      <c r="Q79" s="31" t="n">
        <v>4640130.872795871</v>
      </c>
      <c r="R79" s="31" t="n">
        <v>2054269.817928602</v>
      </c>
      <c r="S79" s="31" t="n">
        <v>1726774.190879039</v>
      </c>
      <c r="T79" s="31" t="n">
        <v>1653545.774681298</v>
      </c>
      <c r="U79" s="31" t="n">
        <v>4314729.707375396</v>
      </c>
      <c r="V79" s="31" t="n">
        <v>1024349.745017758</v>
      </c>
      <c r="W79" s="31" t="n">
        <v>363248.1756862421</v>
      </c>
      <c r="X79" s="31" t="n">
        <v>318738.0214527366</v>
      </c>
      <c r="Y79" s="31" t="n">
        <v>1358605.201239144</v>
      </c>
      <c r="Z79" s="31" t="n">
        <v>106491.3066619072</v>
      </c>
      <c r="AA79" s="31" t="n">
        <v>423515.6069697763</v>
      </c>
      <c r="AB79" s="31" t="n">
        <v>972083.9447182401</v>
      </c>
      <c r="AC79" s="31" t="n">
        <v>3782322.70374769</v>
      </c>
      <c r="AD79" s="31" t="n">
        <v>414762.778297453</v>
      </c>
      <c r="AE79" s="31" t="n">
        <v>2037398.332515175</v>
      </c>
      <c r="AF79" s="31" t="n">
        <v>438718.9080482571</v>
      </c>
      <c r="AG79" s="31" t="n">
        <v>162399.5884760761</v>
      </c>
      <c r="AH79" s="31" t="n">
        <v>230785.5525347956</v>
      </c>
      <c r="AI79" s="31" t="n">
        <v>656868.7966394234</v>
      </c>
      <c r="AJ79" s="31" t="n">
        <v>1984605.346566305</v>
      </c>
      <c r="AK79" s="31" t="n">
        <v>258383.3012851995</v>
      </c>
      <c r="AL79" s="31" t="n">
        <v>537647.8127875221</v>
      </c>
      <c r="AM79" s="31" t="n">
        <v>1943133.762814113</v>
      </c>
      <c r="AN79" s="31" t="n">
        <v>4828677.952485552</v>
      </c>
      <c r="AO79" s="31" t="n">
        <v>623434.4286875536</v>
      </c>
      <c r="AP79" s="31" t="n">
        <v>1417412.263422618</v>
      </c>
      <c r="AQ79" s="31" t="n">
        <v>1995635.502881888</v>
      </c>
      <c r="AR79" s="31" t="n">
        <v>723004.8686791249</v>
      </c>
      <c r="AS79" s="31" t="n">
        <v>2045276.261893375</v>
      </c>
      <c r="AT79" s="31" t="n">
        <v>987430.6993363012</v>
      </c>
      <c r="AU79" s="31" t="n">
        <v>6021782.856284265</v>
      </c>
      <c r="AV79" s="31" t="n">
        <v>5259072.991991585</v>
      </c>
      <c r="AW79" s="31" t="n">
        <v>3581349.461419156</v>
      </c>
      <c r="AX79" s="31" t="n">
        <v>1190134.438158556</v>
      </c>
      <c r="AY79" s="31" t="n">
        <v>215254.1268561459</v>
      </c>
      <c r="AZ79" s="31" t="n">
        <v>1141725.750737695</v>
      </c>
      <c r="BA79" s="31" t="n">
        <v>269335.96611158</v>
      </c>
      <c r="BB79" s="31" t="n">
        <v>493916.6381788307</v>
      </c>
      <c r="BC79" s="31" t="n">
        <v>220677.5067123481</v>
      </c>
      <c r="BD79" s="31" t="n">
        <v>4960.673876307142</v>
      </c>
      <c r="BE79" s="31" t="n">
        <v>114233.0209638891</v>
      </c>
      <c r="BF79" s="31" t="n">
        <v>169247.783385921</v>
      </c>
      <c r="BG79" s="31" t="n">
        <v>207040.2475416003</v>
      </c>
      <c r="BH79" s="31" t="n">
        <v>1847761.693467287</v>
      </c>
      <c r="BI79" s="31" t="n">
        <v>16666.52142444874</v>
      </c>
      <c r="BJ79" s="31" t="n">
        <v>103084.7314331616</v>
      </c>
      <c r="BK79" s="31" t="n">
        <v>1041444.587840577</v>
      </c>
      <c r="BL79" s="31" t="n">
        <v>1085266.843318422</v>
      </c>
      <c r="BM79" s="31" t="n">
        <v>160311.8707692206</v>
      </c>
      <c r="BN79" s="31" t="n">
        <v>525202.3752652114</v>
      </c>
      <c r="BO79" s="31" t="n">
        <v>189879.7211123111</v>
      </c>
      <c r="BP79" s="31" t="n">
        <v>166502640.2361404</v>
      </c>
      <c r="BQ79" s="31" t="n">
        <v>414782.8689382075</v>
      </c>
      <c r="BR79" s="31" t="n">
        <v>5057071.114211487</v>
      </c>
      <c r="BS79" s="31" t="n">
        <v>10724244.54809402</v>
      </c>
      <c r="BT79" s="31" t="n">
        <v>6328601.487571696</v>
      </c>
      <c r="BU79" s="31" t="n">
        <v>9566870.445406239</v>
      </c>
      <c r="BV79" s="31" t="n">
        <v>29331958.06500914</v>
      </c>
      <c r="BW79" s="31" t="n">
        <v>141770.8434944056</v>
      </c>
      <c r="BX79" s="31" t="n">
        <v>1387455.800377924</v>
      </c>
      <c r="BY79" s="31" t="n">
        <v>14754477.06724807</v>
      </c>
      <c r="BZ79" s="31" t="n">
        <v>503370.580491658</v>
      </c>
      <c r="CA79" s="31" t="n">
        <v>3333179.456241762</v>
      </c>
      <c r="CB79" s="31" t="n">
        <v>19630.23248292684</v>
      </c>
      <c r="CC79" s="31" t="n">
        <v>5425.233291821522</v>
      </c>
      <c r="CD79" s="31" t="n">
        <v>4574184.003500006</v>
      </c>
      <c r="CE79" s="31" t="n">
        <v>8366246.563963532</v>
      </c>
      <c r="CF79" s="31" t="n">
        <v>219585.0625726081</v>
      </c>
      <c r="CG79" s="31" t="n">
        <v>1029508.176739166</v>
      </c>
      <c r="CH79" s="31" t="n">
        <v>9715985.843476277</v>
      </c>
      <c r="CI79" s="31" t="n">
        <v>806672.1688158989</v>
      </c>
      <c r="CJ79" s="31" t="n">
        <v>2097887.553126313</v>
      </c>
      <c r="CK79" s="31" t="n">
        <v>1666678.197457418</v>
      </c>
      <c r="CL79" s="31" t="n">
        <v>2476591.599020827</v>
      </c>
      <c r="CM79" s="31" t="n">
        <v>650302.5180807837</v>
      </c>
      <c r="CN79" s="31" t="n">
        <v>0</v>
      </c>
      <c r="CO79" s="31" t="n">
        <v>0</v>
      </c>
      <c r="CP79" s="31" t="n">
        <v>16.76218595052222</v>
      </c>
      <c r="CQ79" s="31" t="n">
        <v>188627.3762118212</v>
      </c>
      <c r="CR79" s="31" t="n">
        <v>493094.7703697696</v>
      </c>
      <c r="CS79" s="31" t="n">
        <v>117353.4902149649</v>
      </c>
      <c r="CT79" s="31" t="n">
        <v>259347.3126626712</v>
      </c>
      <c r="CU79" s="31" t="n">
        <v>3486594.215601524</v>
      </c>
      <c r="CV79" s="31" t="n">
        <v>13836320.62346259</v>
      </c>
      <c r="CW79" s="31" t="n">
        <v>5599074.190090122</v>
      </c>
      <c r="CX79" s="31" t="n">
        <v>3561885.978785887</v>
      </c>
      <c r="CY79" s="31" t="n">
        <v>6399421.752903935</v>
      </c>
      <c r="CZ79" s="31" t="n">
        <v>1190955.377333049</v>
      </c>
      <c r="DA79" s="31" t="n">
        <v>1778340.743241489</v>
      </c>
      <c r="DB79" s="31" t="n">
        <v>2542641.066693238</v>
      </c>
      <c r="DC79" s="31" t="n">
        <v>2643146.246692681</v>
      </c>
      <c r="DD79" s="31" t="n">
        <v>546039.5002794062</v>
      </c>
      <c r="DE79" s="31" t="n">
        <v>0</v>
      </c>
      <c r="DF79" s="31">
        <f>SUM(C79:DE79)</f>
        <v/>
      </c>
      <c r="DG79" s="31" t="n">
        <v>0</v>
      </c>
      <c r="DH79" s="31" t="n">
        <v>0</v>
      </c>
      <c r="DI79" s="31" t="n">
        <v>112891636.4248628</v>
      </c>
      <c r="DJ79" s="31" t="n">
        <v>0</v>
      </c>
      <c r="DK79" s="31">
        <f>SUM(DG79:DJ79)</f>
        <v/>
      </c>
      <c r="DL79" s="31">
        <f>DF79+DK79</f>
        <v/>
      </c>
    </row>
    <row r="80">
      <c r="A80" s="28" t="inlineStr">
        <is>
          <t>402</t>
        </is>
      </c>
      <c r="B80" s="28" t="inlineStr">
        <is>
          <t>Fabricación de gas ; distribución de combustibles gaseosos por tuberías</t>
        </is>
      </c>
      <c r="C80" s="29" t="n">
        <v>5830300.572501621</v>
      </c>
      <c r="D80" s="29" t="n">
        <v>3985840.817016286</v>
      </c>
      <c r="E80" s="29" t="n">
        <v>0</v>
      </c>
      <c r="F80" s="29" t="n">
        <v>143955.3584158147</v>
      </c>
      <c r="G80" s="29" t="n">
        <v>0</v>
      </c>
      <c r="H80" s="29" t="n">
        <v>296480.6426228357</v>
      </c>
      <c r="I80" s="29" t="n">
        <v>13212.12238509983</v>
      </c>
      <c r="J80" s="29" t="n">
        <v>920259.1269152564</v>
      </c>
      <c r="K80" s="29" t="n">
        <v>444923.2973174584</v>
      </c>
      <c r="L80" s="29" t="n">
        <v>665187.7623261396</v>
      </c>
      <c r="M80" s="29" t="n">
        <v>373910.7869098508</v>
      </c>
      <c r="N80" s="29" t="n">
        <v>375491.2929672898</v>
      </c>
      <c r="O80" s="29" t="n">
        <v>65564.95089538668</v>
      </c>
      <c r="P80" s="29" t="n">
        <v>114628.8408993679</v>
      </c>
      <c r="Q80" s="29" t="n">
        <v>638525.5031037292</v>
      </c>
      <c r="R80" s="29" t="n">
        <v>354855.0923248268</v>
      </c>
      <c r="S80" s="29" t="n">
        <v>298283.4141750538</v>
      </c>
      <c r="T80" s="29" t="n">
        <v>285633.9188829249</v>
      </c>
      <c r="U80" s="29" t="n">
        <v>745327.5101959287</v>
      </c>
      <c r="V80" s="29" t="n">
        <v>176946.4362318849</v>
      </c>
      <c r="W80" s="29" t="n">
        <v>62747.58252055786</v>
      </c>
      <c r="X80" s="29" t="n">
        <v>55058.88712520361</v>
      </c>
      <c r="Y80" s="29" t="n">
        <v>234685.808997006</v>
      </c>
      <c r="Z80" s="29" t="n">
        <v>18395.33547516488</v>
      </c>
      <c r="AA80" s="29" t="n">
        <v>73158.19397269086</v>
      </c>
      <c r="AB80" s="29" t="n">
        <v>167918.0285568806</v>
      </c>
      <c r="AC80" s="29" t="n">
        <v>653359.3885899771</v>
      </c>
      <c r="AD80" s="29" t="n">
        <v>71646.22811527853</v>
      </c>
      <c r="AE80" s="29" t="n">
        <v>351940.7076311572</v>
      </c>
      <c r="AF80" s="29" t="n">
        <v>75784.4160788436</v>
      </c>
      <c r="AG80" s="29" t="n">
        <v>28052.94633608581</v>
      </c>
      <c r="AH80" s="29" t="n">
        <v>33606.33165825145</v>
      </c>
      <c r="AI80" s="29" t="n">
        <v>113467.6834768556</v>
      </c>
      <c r="AJ80" s="29" t="n">
        <v>342821.2337726161</v>
      </c>
      <c r="AK80" s="29" t="n">
        <v>44633.19736898345</v>
      </c>
      <c r="AL80" s="29" t="n">
        <v>92536.99908927748</v>
      </c>
      <c r="AM80" s="29" t="n">
        <v>1449746.210434928</v>
      </c>
      <c r="AN80" s="29" t="n">
        <v>538065.6084561315</v>
      </c>
      <c r="AO80" s="29" t="n">
        <v>90979.88163418122</v>
      </c>
      <c r="AP80" s="29" t="n">
        <v>1911616.504570976</v>
      </c>
      <c r="AQ80" s="29" t="n">
        <v>6244268.967145677</v>
      </c>
      <c r="AR80" s="29" t="n">
        <v>124892.0454301038</v>
      </c>
      <c r="AS80" s="29" t="n">
        <v>353301.5431613449</v>
      </c>
      <c r="AT80" s="29" t="n">
        <v>170312.7222110531</v>
      </c>
      <c r="AU80" s="29" t="n">
        <v>1040204.306550874</v>
      </c>
      <c r="AV80" s="29" t="n">
        <v>908453.6100510622</v>
      </c>
      <c r="AW80" s="29" t="n">
        <v>230107.1395615516</v>
      </c>
      <c r="AX80" s="29" t="n">
        <v>205584.1264111824</v>
      </c>
      <c r="AY80" s="29" t="n">
        <v>37164.2463835594</v>
      </c>
      <c r="AZ80" s="29" t="n">
        <v>184991.0860193468</v>
      </c>
      <c r="BA80" s="29" t="n">
        <v>51122.24545439154</v>
      </c>
      <c r="BB80" s="29" t="n">
        <v>85319.2860607022</v>
      </c>
      <c r="BC80" s="29" t="n">
        <v>39935.21107461359</v>
      </c>
      <c r="BD80" s="29" t="n">
        <v>856.9080706960513</v>
      </c>
      <c r="BE80" s="29" t="n">
        <v>19732.64117834281</v>
      </c>
      <c r="BF80" s="29" t="n">
        <v>29235.90527155896</v>
      </c>
      <c r="BG80" s="29" t="n">
        <v>35764.18516941042</v>
      </c>
      <c r="BH80" s="29" t="n">
        <v>319182.8262320317</v>
      </c>
      <c r="BI80" s="29" t="n">
        <v>2878.97916193403</v>
      </c>
      <c r="BJ80" s="29" t="n">
        <v>17806.88280124743</v>
      </c>
      <c r="BK80" s="29" t="n">
        <v>179899.4037414239</v>
      </c>
      <c r="BL80" s="29" t="n">
        <v>155051.8648906054</v>
      </c>
      <c r="BM80" s="29" t="n">
        <v>27692.31344689632</v>
      </c>
      <c r="BN80" s="29" t="n">
        <v>90723.59226495356</v>
      </c>
      <c r="BO80" s="29" t="n">
        <v>32019.07854955593</v>
      </c>
      <c r="BP80" s="29" t="n">
        <v>61808.32583887676</v>
      </c>
      <c r="BQ80" s="29" t="n">
        <v>71649.69857768691</v>
      </c>
      <c r="BR80" s="29" t="n">
        <v>873559.754159374</v>
      </c>
      <c r="BS80" s="29" t="n">
        <v>434924.1189262713</v>
      </c>
      <c r="BT80" s="29" t="n">
        <v>1093204.235178683</v>
      </c>
      <c r="BU80" s="29" t="n">
        <v>1652583.640929625</v>
      </c>
      <c r="BV80" s="29" t="n">
        <v>4680394.248211828</v>
      </c>
      <c r="BW80" s="29" t="n">
        <v>24489.53166624597</v>
      </c>
      <c r="BX80" s="29" t="n">
        <v>239669.4688510662</v>
      </c>
      <c r="BY80" s="29" t="n">
        <v>3172187.800356802</v>
      </c>
      <c r="BZ80" s="29" t="n">
        <v>86952.36246720592</v>
      </c>
      <c r="CA80" s="29" t="n">
        <v>575774.2694543134</v>
      </c>
      <c r="CB80" s="29" t="n">
        <v>3390.931366119562</v>
      </c>
      <c r="CC80" s="29" t="n">
        <v>937.1561826256461</v>
      </c>
      <c r="CD80" s="29" t="n">
        <v>790145.7114866471</v>
      </c>
      <c r="CE80" s="29" t="n">
        <v>1445187.565410031</v>
      </c>
      <c r="CF80" s="29" t="n">
        <v>37931.17971763139</v>
      </c>
      <c r="CG80" s="29" t="n">
        <v>177837.5050431852</v>
      </c>
      <c r="CH80" s="29" t="n">
        <v>544146.6287026257</v>
      </c>
      <c r="CI80" s="29" t="n">
        <v>139344.756196473</v>
      </c>
      <c r="CJ80" s="29" t="n">
        <v>362389.6310283114</v>
      </c>
      <c r="CK80" s="29" t="n">
        <v>287902.4169429158</v>
      </c>
      <c r="CL80" s="29" t="n">
        <v>427807.0645109241</v>
      </c>
      <c r="CM80" s="29" t="n">
        <v>112333.4228437971</v>
      </c>
      <c r="CN80" s="29" t="n">
        <v>0</v>
      </c>
      <c r="CO80" s="29" t="n">
        <v>0</v>
      </c>
      <c r="CP80" s="29" t="n">
        <v>2.8955042765688</v>
      </c>
      <c r="CQ80" s="29" t="n">
        <v>32583.5410793939</v>
      </c>
      <c r="CR80" s="29" t="n">
        <v>85177.31640573387</v>
      </c>
      <c r="CS80" s="29" t="n">
        <v>28070.55621525341</v>
      </c>
      <c r="CT80" s="29" t="n">
        <v>51920.96001879456</v>
      </c>
      <c r="CU80" s="29" t="n">
        <v>602275.1741171164</v>
      </c>
      <c r="CV80" s="29" t="n">
        <v>2770011.543680147</v>
      </c>
      <c r="CW80" s="29" t="n">
        <v>967185.5037335897</v>
      </c>
      <c r="CX80" s="29" t="n">
        <v>626345.1303819773</v>
      </c>
      <c r="CY80" s="29" t="n">
        <v>1024423.799867209</v>
      </c>
      <c r="CZ80" s="29" t="n">
        <v>205725.9356535785</v>
      </c>
      <c r="DA80" s="29" t="n">
        <v>307191.0335830541</v>
      </c>
      <c r="DB80" s="29" t="n">
        <v>439216.4664036767</v>
      </c>
      <c r="DC80" s="29" t="n">
        <v>468386.9854825479</v>
      </c>
      <c r="DD80" s="29" t="n">
        <v>94323.00255476247</v>
      </c>
      <c r="DE80" s="29" t="n">
        <v>0</v>
      </c>
      <c r="DF80" s="29">
        <f>SUM(C80:DE80)</f>
        <v/>
      </c>
      <c r="DG80" s="29" t="n">
        <v>0</v>
      </c>
      <c r="DH80" s="29" t="n">
        <v>0</v>
      </c>
      <c r="DI80" s="29" t="n">
        <v>69854241.55710252</v>
      </c>
      <c r="DJ80" s="29" t="n">
        <v>0</v>
      </c>
      <c r="DK80" s="29">
        <f>SUM(DG80:DJ80)</f>
        <v/>
      </c>
      <c r="DL80" s="29">
        <f>DF80+DK80</f>
        <v/>
      </c>
    </row>
    <row r="81">
      <c r="A81" s="30" t="inlineStr">
        <is>
          <t>41</t>
        </is>
      </c>
      <c r="B81" s="30" t="inlineStr">
        <is>
          <t>Captación , depuración y distribución de agua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1605.735003126435</v>
      </c>
      <c r="J81" s="31" t="n">
        <v>53377.15393775671</v>
      </c>
      <c r="K81" s="31" t="n">
        <v>41193.202359148</v>
      </c>
      <c r="L81" s="31" t="n">
        <v>1409.68498377702</v>
      </c>
      <c r="M81" s="31" t="n">
        <v>47125.72763287023</v>
      </c>
      <c r="N81" s="31" t="n">
        <v>78552.84332479713</v>
      </c>
      <c r="O81" s="31" t="n">
        <v>49549.01937962988</v>
      </c>
      <c r="P81" s="31" t="n">
        <v>16209.05244342943</v>
      </c>
      <c r="Q81" s="31" t="n">
        <v>13443.32481721152</v>
      </c>
      <c r="R81" s="31" t="n">
        <v>20244.26115248764</v>
      </c>
      <c r="S81" s="31" t="n">
        <v>10037.10609279203</v>
      </c>
      <c r="T81" s="31" t="n">
        <v>8476.297825041836</v>
      </c>
      <c r="U81" s="31" t="n">
        <v>124810.4812142844</v>
      </c>
      <c r="V81" s="31" t="n">
        <v>13760.06552040539</v>
      </c>
      <c r="W81" s="31" t="n">
        <v>14848.87366032447</v>
      </c>
      <c r="X81" s="31" t="n">
        <v>51164.1557150586</v>
      </c>
      <c r="Y81" s="31" t="n">
        <v>25668.21974173385</v>
      </c>
      <c r="Z81" s="31" t="n">
        <v>2917.322458973925</v>
      </c>
      <c r="AA81" s="31" t="n">
        <v>30158.43596915059</v>
      </c>
      <c r="AB81" s="31" t="n">
        <v>38171.91665543718</v>
      </c>
      <c r="AC81" s="31" t="n">
        <v>1388901.524263475</v>
      </c>
      <c r="AD81" s="31" t="n">
        <v>7957.849434435986</v>
      </c>
      <c r="AE81" s="31" t="n">
        <v>50286.30915801939</v>
      </c>
      <c r="AF81" s="31" t="n">
        <v>38302.25840683686</v>
      </c>
      <c r="AG81" s="31" t="n">
        <v>8710.713015695892</v>
      </c>
      <c r="AH81" s="31" t="n">
        <v>8865.144985112654</v>
      </c>
      <c r="AI81" s="31" t="n">
        <v>18398.27061932254</v>
      </c>
      <c r="AJ81" s="31" t="n">
        <v>48079.0625159015</v>
      </c>
      <c r="AK81" s="31" t="n">
        <v>23365.20920957361</v>
      </c>
      <c r="AL81" s="31" t="n">
        <v>37890.03134866418</v>
      </c>
      <c r="AM81" s="31" t="n">
        <v>78106.87539112555</v>
      </c>
      <c r="AN81" s="31" t="n">
        <v>104548.7575301091</v>
      </c>
      <c r="AO81" s="31" t="n">
        <v>89065.90168250265</v>
      </c>
      <c r="AP81" s="31" t="n">
        <v>37068.29501684025</v>
      </c>
      <c r="AQ81" s="31" t="n">
        <v>1497242.825685498</v>
      </c>
      <c r="AR81" s="31" t="n">
        <v>59650.38207705662</v>
      </c>
      <c r="AS81" s="31" t="n">
        <v>50740.53497626548</v>
      </c>
      <c r="AT81" s="31" t="n">
        <v>4987.454907485264</v>
      </c>
      <c r="AU81" s="31" t="n">
        <v>82901.4966306578</v>
      </c>
      <c r="AV81" s="31" t="n">
        <v>4829.666721255686</v>
      </c>
      <c r="AW81" s="31" t="n">
        <v>9119.944202271399</v>
      </c>
      <c r="AX81" s="31" t="n">
        <v>24658.13657564868</v>
      </c>
      <c r="AY81" s="31" t="n">
        <v>13184.77883715904</v>
      </c>
      <c r="AZ81" s="31" t="n">
        <v>55033.15945249953</v>
      </c>
      <c r="BA81" s="31" t="n">
        <v>16938.665627239</v>
      </c>
      <c r="BB81" s="31" t="n">
        <v>27029.96750676128</v>
      </c>
      <c r="BC81" s="31" t="n">
        <v>10909.68640641429</v>
      </c>
      <c r="BD81" s="31" t="n">
        <v>450.5239014127098</v>
      </c>
      <c r="BE81" s="31" t="n">
        <v>9296.738417278251</v>
      </c>
      <c r="BF81" s="31" t="n">
        <v>9570.476561623507</v>
      </c>
      <c r="BG81" s="31" t="n">
        <v>7466.455549685651</v>
      </c>
      <c r="BH81" s="31" t="n">
        <v>17570.61935390646</v>
      </c>
      <c r="BI81" s="31" t="n">
        <v>904.3598670294859</v>
      </c>
      <c r="BJ81" s="31" t="n">
        <v>8343.328995240381</v>
      </c>
      <c r="BK81" s="31" t="n">
        <v>11765.28536569164</v>
      </c>
      <c r="BL81" s="31" t="n">
        <v>18033.29927043914</v>
      </c>
      <c r="BM81" s="31" t="n">
        <v>11247.94951888472</v>
      </c>
      <c r="BN81" s="31" t="n">
        <v>36829.12476423563</v>
      </c>
      <c r="BO81" s="31" t="n">
        <v>9349.978749091193</v>
      </c>
      <c r="BP81" s="31" t="n">
        <v>31194.96098512755</v>
      </c>
      <c r="BQ81" s="31" t="n">
        <v>3446.032005420283</v>
      </c>
      <c r="BR81" s="31" t="n">
        <v>211.8359703725909</v>
      </c>
      <c r="BS81" s="31" t="n">
        <v>0</v>
      </c>
      <c r="BT81" s="31" t="n">
        <v>97522.40705082203</v>
      </c>
      <c r="BU81" s="31" t="n">
        <v>359823.0922596979</v>
      </c>
      <c r="BV81" s="31" t="n">
        <v>493029.5042346048</v>
      </c>
      <c r="BW81" s="31" t="n">
        <v>41207.01548001267</v>
      </c>
      <c r="BX81" s="31" t="n">
        <v>329253.8605932945</v>
      </c>
      <c r="BY81" s="31" t="n">
        <v>0</v>
      </c>
      <c r="BZ81" s="31" t="n">
        <v>91459.75774255219</v>
      </c>
      <c r="CA81" s="31" t="n">
        <v>422994.7035327101</v>
      </c>
      <c r="CB81" s="31" t="n">
        <v>229333.0039544098</v>
      </c>
      <c r="CC81" s="31" t="n">
        <v>4245.909134912387</v>
      </c>
      <c r="CD81" s="31" t="n">
        <v>1077224.824984629</v>
      </c>
      <c r="CE81" s="31" t="n">
        <v>291174.6138941762</v>
      </c>
      <c r="CF81" s="31" t="n">
        <v>8659.207278921162</v>
      </c>
      <c r="CG81" s="31" t="n">
        <v>47977.90604312103</v>
      </c>
      <c r="CH81" s="31" t="n">
        <v>27505.52850324627</v>
      </c>
      <c r="CI81" s="31" t="n">
        <v>10338.3601946188</v>
      </c>
      <c r="CJ81" s="31" t="n">
        <v>34842.65934633846</v>
      </c>
      <c r="CK81" s="31" t="n">
        <v>77471.83711677862</v>
      </c>
      <c r="CL81" s="31" t="n">
        <v>93829.41804880518</v>
      </c>
      <c r="CM81" s="31" t="n">
        <v>52469.14973607095</v>
      </c>
      <c r="CN81" s="31" t="n">
        <v>0</v>
      </c>
      <c r="CO81" s="31" t="n">
        <v>0</v>
      </c>
      <c r="CP81" s="31" t="n">
        <v>240.3229957150163</v>
      </c>
      <c r="CQ81" s="31" t="n">
        <v>35103.64224190953</v>
      </c>
      <c r="CR81" s="31" t="n">
        <v>47470.19176090663</v>
      </c>
      <c r="CS81" s="31" t="n">
        <v>29965.87849656013</v>
      </c>
      <c r="CT81" s="31" t="n">
        <v>27362.14239194059</v>
      </c>
      <c r="CU81" s="31" t="n">
        <v>216179.1541773261</v>
      </c>
      <c r="CV81" s="31" t="n">
        <v>1459785.224657998</v>
      </c>
      <c r="CW81" s="31" t="n">
        <v>752309.7474960784</v>
      </c>
      <c r="CX81" s="31" t="n">
        <v>1563466.841050417</v>
      </c>
      <c r="CY81" s="31" t="n">
        <v>684577.9755475983</v>
      </c>
      <c r="CZ81" s="31" t="n">
        <v>484701.4900793907</v>
      </c>
      <c r="DA81" s="31" t="n">
        <v>19594.41961290174</v>
      </c>
      <c r="DB81" s="31" t="n">
        <v>45341.05907622908</v>
      </c>
      <c r="DC81" s="31" t="n">
        <v>114016.7668211427</v>
      </c>
      <c r="DD81" s="31" t="n">
        <v>32501.28190696191</v>
      </c>
      <c r="DE81" s="31" t="n">
        <v>0</v>
      </c>
      <c r="DF81" s="31">
        <f>SUM(C81:DE81)</f>
        <v/>
      </c>
      <c r="DG81" s="31" t="n">
        <v>0</v>
      </c>
      <c r="DH81" s="31" t="n">
        <v>0</v>
      </c>
      <c r="DI81" s="31" t="n">
        <v>44074159.5545</v>
      </c>
      <c r="DJ81" s="31" t="n">
        <v>0</v>
      </c>
      <c r="DK81" s="31">
        <f>SUM(DG81:DJ81)</f>
        <v/>
      </c>
      <c r="DL81" s="31">
        <f>DF81+DK81</f>
        <v/>
      </c>
    </row>
    <row r="82">
      <c r="A82" s="28" t="inlineStr">
        <is>
          <t>45</t>
        </is>
      </c>
      <c r="B82" s="28" t="inlineStr">
        <is>
          <t>Construcción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9869.822299681877</v>
      </c>
      <c r="J82" s="29" t="n">
        <v>1206259.862599511</v>
      </c>
      <c r="K82" s="29" t="n">
        <v>0</v>
      </c>
      <c r="L82" s="29" t="n">
        <v>0</v>
      </c>
      <c r="M82" s="29" t="n">
        <v>70926.89457576243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80146.6352055934</v>
      </c>
      <c r="AV82" s="29" t="n">
        <v>0</v>
      </c>
      <c r="AW82" s="29" t="n">
        <v>0</v>
      </c>
      <c r="AX82" s="29" t="n">
        <v>0</v>
      </c>
      <c r="AY82" s="29" t="n">
        <v>82449.902797623</v>
      </c>
      <c r="AZ82" s="29" t="n">
        <v>0</v>
      </c>
      <c r="BA82" s="29" t="n">
        <v>0</v>
      </c>
      <c r="BB82" s="29" t="n">
        <v>0</v>
      </c>
      <c r="BC82" s="29" t="n">
        <v>13239.44438369176</v>
      </c>
      <c r="BD82" s="29" t="n">
        <v>0</v>
      </c>
      <c r="BE82" s="29" t="n">
        <v>0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6930.279907902332</v>
      </c>
      <c r="BP82" s="29" t="n">
        <v>6132200.996589748</v>
      </c>
      <c r="BQ82" s="29" t="n">
        <v>1175182.730058871</v>
      </c>
      <c r="BR82" s="29" t="n">
        <v>1988306.951908987</v>
      </c>
      <c r="BS82" s="29" t="n">
        <v>0</v>
      </c>
      <c r="BT82" s="29" t="n">
        <v>1430654.105966411</v>
      </c>
      <c r="BU82" s="29" t="n">
        <v>4752498.731261339</v>
      </c>
      <c r="BV82" s="29" t="n">
        <v>7710520.208228939</v>
      </c>
      <c r="BW82" s="29" t="n">
        <v>0</v>
      </c>
      <c r="BX82" s="29" t="n">
        <v>1411294.164475728</v>
      </c>
      <c r="BY82" s="29" t="n">
        <v>0</v>
      </c>
      <c r="BZ82" s="29" t="n">
        <v>481389.394137868</v>
      </c>
      <c r="CA82" s="29" t="n">
        <v>8730494.235553805</v>
      </c>
      <c r="CB82" s="29" t="n">
        <v>1557973.969458233</v>
      </c>
      <c r="CC82" s="29" t="n">
        <v>33458.2887253748</v>
      </c>
      <c r="CD82" s="29" t="n">
        <v>0</v>
      </c>
      <c r="CE82" s="29" t="n">
        <v>4612721.803826039</v>
      </c>
      <c r="CF82" s="29" t="n">
        <v>222428.8125489376</v>
      </c>
      <c r="CG82" s="29" t="n">
        <v>286949.0894161191</v>
      </c>
      <c r="CH82" s="29" t="n">
        <v>9434545.468058785</v>
      </c>
      <c r="CI82" s="29" t="n">
        <v>151147.5073297026</v>
      </c>
      <c r="CJ82" s="29" t="n">
        <v>0</v>
      </c>
      <c r="CK82" s="29" t="n">
        <v>61674.65688987371</v>
      </c>
      <c r="CL82" s="29" t="n">
        <v>1193498.775388984</v>
      </c>
      <c r="CM82" s="29" t="n">
        <v>107885.0036294862</v>
      </c>
      <c r="CN82" s="29" t="n">
        <v>23227144.4260997</v>
      </c>
      <c r="CO82" s="29" t="n">
        <v>10432832.97869836</v>
      </c>
      <c r="CP82" s="29" t="n">
        <v>173041.4827785247</v>
      </c>
      <c r="CQ82" s="29" t="n">
        <v>260375.3897911285</v>
      </c>
      <c r="CR82" s="29" t="n">
        <v>480007.9702148825</v>
      </c>
      <c r="CS82" s="29" t="n">
        <v>319241.0167434136</v>
      </c>
      <c r="CT82" s="29" t="n">
        <v>291502.1549754958</v>
      </c>
      <c r="CU82" s="29" t="n">
        <v>4648700.46881658</v>
      </c>
      <c r="CV82" s="29" t="n">
        <v>15551799.0036677</v>
      </c>
      <c r="CW82" s="29" t="n">
        <v>5207394.200035775</v>
      </c>
      <c r="CX82" s="29" t="n">
        <v>782873.4133908794</v>
      </c>
      <c r="CY82" s="29" t="n">
        <v>6633500.947544147</v>
      </c>
      <c r="CZ82" s="29" t="n">
        <v>2700555.557210316</v>
      </c>
      <c r="DA82" s="29" t="n">
        <v>490999.3254550183</v>
      </c>
      <c r="DB82" s="29" t="n">
        <v>834855.5434364378</v>
      </c>
      <c r="DC82" s="29" t="n">
        <v>0</v>
      </c>
      <c r="DD82" s="29" t="n">
        <v>320215.0665629999</v>
      </c>
      <c r="DE82" s="29" t="n">
        <v>0</v>
      </c>
      <c r="DF82" s="29">
        <f>SUM(C82:DE82)</f>
        <v/>
      </c>
      <c r="DG82" s="29" t="n">
        <v>0</v>
      </c>
      <c r="DH82" s="29" t="n">
        <v>0</v>
      </c>
      <c r="DI82" s="29" t="n">
        <v>989794127.3043257</v>
      </c>
      <c r="DJ82" s="29" t="n">
        <v>0</v>
      </c>
      <c r="DK82" s="29">
        <f>SUM(DG82:DJ82)</f>
        <v/>
      </c>
      <c r="DL82" s="29">
        <f>DF82+DK82</f>
        <v/>
      </c>
    </row>
    <row r="83">
      <c r="A83" s="30" t="inlineStr">
        <is>
          <t>502</t>
        </is>
      </c>
      <c r="B83" s="30" t="inlineStr">
        <is>
          <t>Comercios por mayor y menor, mantenimiento y reparación de automotores</t>
        </is>
      </c>
      <c r="C83" s="31" t="n">
        <v>28703141.87963209</v>
      </c>
      <c r="D83" s="31" t="n">
        <v>2559203.883441497</v>
      </c>
      <c r="E83" s="31" t="n">
        <v>106650.8031282092</v>
      </c>
      <c r="F83" s="31" t="n">
        <v>0</v>
      </c>
      <c r="G83" s="31" t="n">
        <v>834766.4649838845</v>
      </c>
      <c r="H83" s="31" t="n">
        <v>1949527.015658211</v>
      </c>
      <c r="I83" s="31" t="n">
        <v>48388.56280178271</v>
      </c>
      <c r="J83" s="31" t="n">
        <v>3503677.490357763</v>
      </c>
      <c r="K83" s="31" t="n">
        <v>2525255.27910295</v>
      </c>
      <c r="L83" s="31" t="n">
        <v>1124382.004408044</v>
      </c>
      <c r="M83" s="31" t="n">
        <v>923065.0962404938</v>
      </c>
      <c r="N83" s="31" t="n">
        <v>667780.2026971475</v>
      </c>
      <c r="O83" s="31" t="n">
        <v>598755.7423780432</v>
      </c>
      <c r="P83" s="31" t="n">
        <v>295652.9855153793</v>
      </c>
      <c r="Q83" s="31" t="n">
        <v>2468707.038267455</v>
      </c>
      <c r="R83" s="31" t="n">
        <v>394543.8215127455</v>
      </c>
      <c r="S83" s="31" t="n">
        <v>624832.5463979212</v>
      </c>
      <c r="T83" s="31" t="n">
        <v>614192.8153905434</v>
      </c>
      <c r="U83" s="31" t="n">
        <v>647885.3415860117</v>
      </c>
      <c r="V83" s="31" t="n">
        <v>430668.2944435304</v>
      </c>
      <c r="W83" s="31" t="n">
        <v>232215.8915333677</v>
      </c>
      <c r="X83" s="31" t="n">
        <v>121232.0745270986</v>
      </c>
      <c r="Y83" s="31" t="n">
        <v>1025917.17022042</v>
      </c>
      <c r="Z83" s="31" t="n">
        <v>64564.9970881695</v>
      </c>
      <c r="AA83" s="31" t="n">
        <v>218938.6651497559</v>
      </c>
      <c r="AB83" s="31" t="n">
        <v>457000.9801671806</v>
      </c>
      <c r="AC83" s="31" t="n">
        <v>968638.8757064927</v>
      </c>
      <c r="AD83" s="31" t="n">
        <v>129847.3859247957</v>
      </c>
      <c r="AE83" s="31" t="n">
        <v>757881.0534213419</v>
      </c>
      <c r="AF83" s="31" t="n">
        <v>164112.6093341912</v>
      </c>
      <c r="AG83" s="31" t="n">
        <v>90108.52107550252</v>
      </c>
      <c r="AH83" s="31" t="n">
        <v>64126.09798762872</v>
      </c>
      <c r="AI83" s="31" t="n">
        <v>492636.1673023294</v>
      </c>
      <c r="AJ83" s="31" t="n">
        <v>1260994.199697195</v>
      </c>
      <c r="AK83" s="31" t="n">
        <v>233351.5767983922</v>
      </c>
      <c r="AL83" s="31" t="n">
        <v>469222.2575734988</v>
      </c>
      <c r="AM83" s="31" t="n">
        <v>595056.5119014088</v>
      </c>
      <c r="AN83" s="31" t="n">
        <v>753934.2574260826</v>
      </c>
      <c r="AO83" s="31" t="n">
        <v>990141.5167855772</v>
      </c>
      <c r="AP83" s="31" t="n">
        <v>548090.0976347303</v>
      </c>
      <c r="AQ83" s="31" t="n">
        <v>1334459.104291263</v>
      </c>
      <c r="AR83" s="31" t="n">
        <v>417632.543507584</v>
      </c>
      <c r="AS83" s="31" t="n">
        <v>854175.1417367201</v>
      </c>
      <c r="AT83" s="31" t="n">
        <v>268742.7838630641</v>
      </c>
      <c r="AU83" s="31" t="n">
        <v>1412951.417243141</v>
      </c>
      <c r="AV83" s="31" t="n">
        <v>1504515.196905502</v>
      </c>
      <c r="AW83" s="31" t="n">
        <v>226732.5902591394</v>
      </c>
      <c r="AX83" s="31" t="n">
        <v>468721.8765790379</v>
      </c>
      <c r="AY83" s="31" t="n">
        <v>288306.4650147128</v>
      </c>
      <c r="AZ83" s="31" t="n">
        <v>807745.6742709184</v>
      </c>
      <c r="BA83" s="31" t="n">
        <v>228399.9264150914</v>
      </c>
      <c r="BB83" s="31" t="n">
        <v>667960.6801216232</v>
      </c>
      <c r="BC83" s="31" t="n">
        <v>88512.03850046093</v>
      </c>
      <c r="BD83" s="31" t="n">
        <v>1619.429728936697</v>
      </c>
      <c r="BE83" s="31" t="n">
        <v>81149.82606735978</v>
      </c>
      <c r="BF83" s="31" t="n">
        <v>78708.9668308743</v>
      </c>
      <c r="BG83" s="31" t="n">
        <v>72049.23566051811</v>
      </c>
      <c r="BH83" s="31" t="n">
        <v>115438.3132462974</v>
      </c>
      <c r="BI83" s="31" t="n">
        <v>34276.26107210541</v>
      </c>
      <c r="BJ83" s="31" t="n">
        <v>65535.85690305553</v>
      </c>
      <c r="BK83" s="31" t="n">
        <v>471337.8664132158</v>
      </c>
      <c r="BL83" s="31" t="n">
        <v>520590.9720324348</v>
      </c>
      <c r="BM83" s="31" t="n">
        <v>264775.2794786282</v>
      </c>
      <c r="BN83" s="31" t="n">
        <v>279034.1205363152</v>
      </c>
      <c r="BO83" s="31" t="n">
        <v>210775.4730744581</v>
      </c>
      <c r="BP83" s="31" t="n">
        <v>3685687.02510478</v>
      </c>
      <c r="BQ83" s="31" t="n">
        <v>888823.1636804311</v>
      </c>
      <c r="BR83" s="31" t="n">
        <v>1186641.716413945</v>
      </c>
      <c r="BS83" s="31" t="n">
        <v>8681.954104323773</v>
      </c>
      <c r="BT83" s="31" t="n">
        <v>1146054.363968839</v>
      </c>
      <c r="BU83" s="31" t="n">
        <v>5072253.557003707</v>
      </c>
      <c r="BV83" s="31" t="n">
        <v>7376202.791276976</v>
      </c>
      <c r="BW83" s="31" t="n">
        <v>683889.8481861006</v>
      </c>
      <c r="BX83" s="31" t="n">
        <v>1743530.842505053</v>
      </c>
      <c r="BY83" s="31" t="n">
        <v>1841601.772197468</v>
      </c>
      <c r="BZ83" s="31" t="n">
        <v>399655.4797489446</v>
      </c>
      <c r="CA83" s="31" t="n">
        <v>21561810.68874034</v>
      </c>
      <c r="CB83" s="31" t="n">
        <v>380293.3367610867</v>
      </c>
      <c r="CC83" s="31" t="n">
        <v>21574.82731370222</v>
      </c>
      <c r="CD83" s="31" t="n">
        <v>2830628.664931161</v>
      </c>
      <c r="CE83" s="31" t="n">
        <v>2769041.109029724</v>
      </c>
      <c r="CF83" s="31" t="n">
        <v>306260.0599132963</v>
      </c>
      <c r="CG83" s="31" t="n">
        <v>983627.269540894</v>
      </c>
      <c r="CH83" s="31" t="n">
        <v>3838369.141383608</v>
      </c>
      <c r="CI83" s="31" t="n">
        <v>1156402.775959724</v>
      </c>
      <c r="CJ83" s="31" t="n">
        <v>6944345.323625147</v>
      </c>
      <c r="CK83" s="31" t="n">
        <v>554158.3775159235</v>
      </c>
      <c r="CL83" s="31" t="n">
        <v>1204768.380791357</v>
      </c>
      <c r="CM83" s="31" t="n">
        <v>382226.7224576342</v>
      </c>
      <c r="CN83" s="31" t="n">
        <v>3466.193893348712</v>
      </c>
      <c r="CO83" s="31" t="n">
        <v>1556.89486824979</v>
      </c>
      <c r="CP83" s="31" t="n">
        <v>220875.69459236</v>
      </c>
      <c r="CQ83" s="31" t="n">
        <v>967643.4240315154</v>
      </c>
      <c r="CR83" s="31" t="n">
        <v>2129496.758980739</v>
      </c>
      <c r="CS83" s="31" t="n">
        <v>239070.4553471397</v>
      </c>
      <c r="CT83" s="31" t="n">
        <v>218297.6161258013</v>
      </c>
      <c r="CU83" s="31" t="n">
        <v>6952946.383874485</v>
      </c>
      <c r="CV83" s="31" t="n">
        <v>11646296.91761168</v>
      </c>
      <c r="CW83" s="31" t="n">
        <v>1791359.890700696</v>
      </c>
      <c r="CX83" s="31" t="n">
        <v>287652.9892699813</v>
      </c>
      <c r="CY83" s="31" t="n">
        <v>9318670.000915281</v>
      </c>
      <c r="CZ83" s="31" t="n">
        <v>731267.5719294281</v>
      </c>
      <c r="DA83" s="31" t="n">
        <v>1261475.353358185</v>
      </c>
      <c r="DB83" s="31" t="n">
        <v>8152549.186788321</v>
      </c>
      <c r="DC83" s="31" t="n">
        <v>698268.8487390372</v>
      </c>
      <c r="DD83" s="31" t="n">
        <v>331978.0116022553</v>
      </c>
      <c r="DE83" s="31" t="n">
        <v>0</v>
      </c>
      <c r="DF83" s="31">
        <f>SUM(C83:DE83)</f>
        <v/>
      </c>
      <c r="DG83" s="31" t="n">
        <v>0</v>
      </c>
      <c r="DH83" s="31" t="n">
        <v>0</v>
      </c>
      <c r="DI83" s="31" t="n">
        <v>70394286.3824012</v>
      </c>
      <c r="DJ83" s="31" t="n">
        <v>0</v>
      </c>
      <c r="DK83" s="31">
        <f>SUM(DG83:DJ83)</f>
        <v/>
      </c>
      <c r="DL83" s="31">
        <f>DF83+DK83</f>
        <v/>
      </c>
    </row>
    <row r="84">
      <c r="A84" s="28" t="inlineStr">
        <is>
          <t>51</t>
        </is>
      </c>
      <c r="B84" s="28" t="inlineStr">
        <is>
          <t>Comercio mayorista</t>
        </is>
      </c>
      <c r="C84" s="29" t="n">
        <v>231831699.2635115</v>
      </c>
      <c r="D84" s="29" t="n">
        <v>24927941.28225296</v>
      </c>
      <c r="E84" s="29" t="n">
        <v>2680.334057098883</v>
      </c>
      <c r="F84" s="29" t="n">
        <v>0</v>
      </c>
      <c r="G84" s="29" t="n">
        <v>20979.24178902447</v>
      </c>
      <c r="H84" s="29" t="n">
        <v>146238.048645692</v>
      </c>
      <c r="I84" s="29" t="n">
        <v>2798.076809211883</v>
      </c>
      <c r="J84" s="29" t="n">
        <v>400683.1228621282</v>
      </c>
      <c r="K84" s="29" t="n">
        <v>1321922.898690355</v>
      </c>
      <c r="L84" s="29" t="n">
        <v>182403.5555823661</v>
      </c>
      <c r="M84" s="29" t="n">
        <v>76175.77193278952</v>
      </c>
      <c r="N84" s="29" t="n">
        <v>12611201.15277187</v>
      </c>
      <c r="O84" s="29" t="n">
        <v>4856651.228117008</v>
      </c>
      <c r="P84" s="29" t="n">
        <v>1608231.319092971</v>
      </c>
      <c r="Q84" s="29" t="n">
        <v>34297025.16873552</v>
      </c>
      <c r="R84" s="29" t="n">
        <v>6361369.513324564</v>
      </c>
      <c r="S84" s="29" t="n">
        <v>6814379.619871576</v>
      </c>
      <c r="T84" s="29" t="n">
        <v>11861380.98243953</v>
      </c>
      <c r="U84" s="29" t="n">
        <v>4353856.689208512</v>
      </c>
      <c r="V84" s="29" t="n">
        <v>1200775.66078112</v>
      </c>
      <c r="W84" s="29" t="n">
        <v>2705948.401680092</v>
      </c>
      <c r="X84" s="29" t="n">
        <v>1367177.757390405</v>
      </c>
      <c r="Y84" s="29" t="n">
        <v>19641886.58743303</v>
      </c>
      <c r="Z84" s="29" t="n">
        <v>3018443.544234805</v>
      </c>
      <c r="AA84" s="29" t="n">
        <v>6545640.815350319</v>
      </c>
      <c r="AB84" s="29" t="n">
        <v>1153789.49406802</v>
      </c>
      <c r="AC84" s="29" t="n">
        <v>1996232.474761852</v>
      </c>
      <c r="AD84" s="29" t="n">
        <v>278843.6546087588</v>
      </c>
      <c r="AE84" s="29" t="n">
        <v>1381582.060177755</v>
      </c>
      <c r="AF84" s="29" t="n">
        <v>4330374.522422661</v>
      </c>
      <c r="AG84" s="29" t="n">
        <v>1761503.608907237</v>
      </c>
      <c r="AH84" s="29" t="n">
        <v>203779.7247539418</v>
      </c>
      <c r="AI84" s="29" t="n">
        <v>762295.2052427486</v>
      </c>
      <c r="AJ84" s="29" t="n">
        <v>2840392.187361817</v>
      </c>
      <c r="AK84" s="29" t="n">
        <v>3280820.754346498</v>
      </c>
      <c r="AL84" s="29" t="n">
        <v>924391.5095496776</v>
      </c>
      <c r="AM84" s="29" t="n">
        <v>74139865.85592613</v>
      </c>
      <c r="AN84" s="29" t="n">
        <v>7770430.240557236</v>
      </c>
      <c r="AO84" s="29" t="n">
        <v>2243277.642754613</v>
      </c>
      <c r="AP84" s="29" t="n">
        <v>4361147.674306542</v>
      </c>
      <c r="AQ84" s="29" t="n">
        <v>16072573.75020033</v>
      </c>
      <c r="AR84" s="29" t="n">
        <v>887743.5166189118</v>
      </c>
      <c r="AS84" s="29" t="n">
        <v>1789709.299446128</v>
      </c>
      <c r="AT84" s="29" t="n">
        <v>84457.63700821836</v>
      </c>
      <c r="AU84" s="29" t="n">
        <v>2731340.517894142</v>
      </c>
      <c r="AV84" s="29" t="n">
        <v>5713099.882663253</v>
      </c>
      <c r="AW84" s="29" t="n">
        <v>1381387.04877484</v>
      </c>
      <c r="AX84" s="29" t="n">
        <v>401337.6185174501</v>
      </c>
      <c r="AY84" s="29" t="n">
        <v>1393470.566418006</v>
      </c>
      <c r="AZ84" s="29" t="n">
        <v>1680744.710737928</v>
      </c>
      <c r="BA84" s="29" t="n">
        <v>2020123.219109795</v>
      </c>
      <c r="BB84" s="29" t="n">
        <v>8521982.00336545</v>
      </c>
      <c r="BC84" s="29" t="n">
        <v>894545.3658613535</v>
      </c>
      <c r="BD84" s="29" t="n">
        <v>128760.521468794</v>
      </c>
      <c r="BE84" s="29" t="n">
        <v>654671.9412044119</v>
      </c>
      <c r="BF84" s="29" t="n">
        <v>408315.0130066668</v>
      </c>
      <c r="BG84" s="29" t="n">
        <v>121139.7210103274</v>
      </c>
      <c r="BH84" s="29" t="n">
        <v>181737.3784188449</v>
      </c>
      <c r="BI84" s="29" t="n">
        <v>44953.00867213484</v>
      </c>
      <c r="BJ84" s="29" t="n">
        <v>753957.4190487924</v>
      </c>
      <c r="BK84" s="29" t="n">
        <v>30305407.06446734</v>
      </c>
      <c r="BL84" s="29" t="n">
        <v>632924.8046746684</v>
      </c>
      <c r="BM84" s="29" t="n">
        <v>474545.191027894</v>
      </c>
      <c r="BN84" s="29" t="n">
        <v>1630080.10430856</v>
      </c>
      <c r="BO84" s="29" t="n">
        <v>2162167.461707744</v>
      </c>
      <c r="BP84" s="29" t="n">
        <v>374467.1829899528</v>
      </c>
      <c r="BQ84" s="29" t="n">
        <v>141276.2772107418</v>
      </c>
      <c r="BR84" s="29" t="n">
        <v>68643.51216037894</v>
      </c>
      <c r="BS84" s="29" t="n">
        <v>1421035.041645791</v>
      </c>
      <c r="BT84" s="29" t="n">
        <v>1736223.979228297</v>
      </c>
      <c r="BU84" s="29" t="n">
        <v>4643932.092844887</v>
      </c>
      <c r="BV84" s="29" t="n">
        <v>9014850.471273197</v>
      </c>
      <c r="BW84" s="29" t="n">
        <v>17187.43035806119</v>
      </c>
      <c r="BX84" s="29" t="n">
        <v>6039666.10955947</v>
      </c>
      <c r="BY84" s="29" t="n">
        <v>774540.5461012896</v>
      </c>
      <c r="BZ84" s="29" t="n">
        <v>24915.68301261467</v>
      </c>
      <c r="CA84" s="29" t="n">
        <v>999782.7095008704</v>
      </c>
      <c r="CB84" s="29" t="n">
        <v>22439.58739746935</v>
      </c>
      <c r="CC84" s="29" t="n">
        <v>10605.96236192187</v>
      </c>
      <c r="CD84" s="29" t="n">
        <v>1264244.672530821</v>
      </c>
      <c r="CE84" s="29" t="n">
        <v>570462.1195909871</v>
      </c>
      <c r="CF84" s="29" t="n">
        <v>1544925.10936795</v>
      </c>
      <c r="CG84" s="29" t="n">
        <v>9362036.907687325</v>
      </c>
      <c r="CH84" s="29" t="n">
        <v>301120442.4400573</v>
      </c>
      <c r="CI84" s="29" t="n">
        <v>1033789.959720033</v>
      </c>
      <c r="CJ84" s="29" t="n">
        <v>846257.2936600159</v>
      </c>
      <c r="CK84" s="29" t="n">
        <v>768383.8015518576</v>
      </c>
      <c r="CL84" s="29" t="n">
        <v>2508012.082215984</v>
      </c>
      <c r="CM84" s="29" t="n">
        <v>372509.6938441446</v>
      </c>
      <c r="CN84" s="29" t="n">
        <v>24890.64095391663</v>
      </c>
      <c r="CO84" s="29" t="n">
        <v>11180.01830277365</v>
      </c>
      <c r="CP84" s="29" t="n">
        <v>41461.5333296977</v>
      </c>
      <c r="CQ84" s="29" t="n">
        <v>881346.7810918795</v>
      </c>
      <c r="CR84" s="29" t="n">
        <v>27614975.65868282</v>
      </c>
      <c r="CS84" s="29" t="n">
        <v>22070.38710890587</v>
      </c>
      <c r="CT84" s="29" t="n">
        <v>20152.69049390471</v>
      </c>
      <c r="CU84" s="29" t="n">
        <v>34934311.64559874</v>
      </c>
      <c r="CV84" s="29" t="n">
        <v>1088468.433891222</v>
      </c>
      <c r="CW84" s="29" t="n">
        <v>1282582.641578869</v>
      </c>
      <c r="CX84" s="29" t="n">
        <v>98642.55842979989</v>
      </c>
      <c r="CY84" s="29" t="n">
        <v>7797825.034582706</v>
      </c>
      <c r="CZ84" s="29" t="n">
        <v>520974.2297011653</v>
      </c>
      <c r="DA84" s="29" t="n">
        <v>723056.6504619992</v>
      </c>
      <c r="DB84" s="29" t="n">
        <v>1091560.57263811</v>
      </c>
      <c r="DC84" s="29" t="n">
        <v>61346885.82050066</v>
      </c>
      <c r="DD84" s="29" t="n">
        <v>118459.7267445609</v>
      </c>
      <c r="DE84" s="29" t="n">
        <v>0</v>
      </c>
      <c r="DF84" s="29">
        <f>SUM(C84:DE84)</f>
        <v/>
      </c>
      <c r="DG84" s="29" t="n">
        <v>0</v>
      </c>
      <c r="DH84" s="29" t="n">
        <v>0</v>
      </c>
      <c r="DI84" s="29" t="n">
        <v>15892552.91480945</v>
      </c>
      <c r="DJ84" s="29" t="n">
        <v>0</v>
      </c>
      <c r="DK84" s="29">
        <f>SUM(DG84:DJ84)</f>
        <v/>
      </c>
      <c r="DL84" s="29">
        <f>DF84+DK84</f>
        <v/>
      </c>
    </row>
    <row r="85">
      <c r="A85" s="30" t="inlineStr">
        <is>
          <t>521/5</t>
        </is>
      </c>
      <c r="B85" s="30" t="inlineStr">
        <is>
          <t>521/5 - Comercio minorista excepto reparaciones</t>
        </is>
      </c>
      <c r="C85" s="31" t="n">
        <v>943774.9887442662</v>
      </c>
      <c r="D85" s="31" t="n">
        <v>143356.05127253</v>
      </c>
      <c r="E85" s="31" t="n">
        <v>3354.833795094819</v>
      </c>
      <c r="F85" s="31" t="n">
        <v>18904.45749463481</v>
      </c>
      <c r="G85" s="31" t="n">
        <v>26258.61845947071</v>
      </c>
      <c r="H85" s="31" t="n">
        <v>81263.39217347396</v>
      </c>
      <c r="I85" s="31" t="n">
        <v>1689.780544319931</v>
      </c>
      <c r="J85" s="31" t="n">
        <v>293874.261519058</v>
      </c>
      <c r="K85" s="31" t="n">
        <v>205595.2567455558</v>
      </c>
      <c r="L85" s="31" t="n">
        <v>79107.69796056785</v>
      </c>
      <c r="M85" s="31" t="n">
        <v>38966.69740391483</v>
      </c>
      <c r="N85" s="31" t="n">
        <v>209453.8925880592</v>
      </c>
      <c r="O85" s="31" t="n">
        <v>94733.71293100258</v>
      </c>
      <c r="P85" s="31" t="n">
        <v>177341.7586048138</v>
      </c>
      <c r="Q85" s="31" t="n">
        <v>374378.1782378075</v>
      </c>
      <c r="R85" s="31" t="n">
        <v>494025.8344628878</v>
      </c>
      <c r="S85" s="31" t="n">
        <v>90221.74340261253</v>
      </c>
      <c r="T85" s="31" t="n">
        <v>215064.5683033224</v>
      </c>
      <c r="U85" s="31" t="n">
        <v>1211788.999883271</v>
      </c>
      <c r="V85" s="31" t="n">
        <v>61743.94937032497</v>
      </c>
      <c r="W85" s="31" t="n">
        <v>390254.6020640709</v>
      </c>
      <c r="X85" s="31" t="n">
        <v>88320.0140330522</v>
      </c>
      <c r="Y85" s="31" t="n">
        <v>330702.3520033462</v>
      </c>
      <c r="Z85" s="31" t="n">
        <v>208130.8418556002</v>
      </c>
      <c r="AA85" s="31" t="n">
        <v>453392.4375833209</v>
      </c>
      <c r="AB85" s="31" t="n">
        <v>728000.0590446837</v>
      </c>
      <c r="AC85" s="31" t="n">
        <v>1071909.891193136</v>
      </c>
      <c r="AD85" s="31" t="n">
        <v>701899.8695480926</v>
      </c>
      <c r="AE85" s="31" t="n">
        <v>84745.89484461972</v>
      </c>
      <c r="AF85" s="31" t="n">
        <v>177398.2691018125</v>
      </c>
      <c r="AG85" s="31" t="n">
        <v>17493.69571278992</v>
      </c>
      <c r="AH85" s="31" t="n">
        <v>92864.85149839931</v>
      </c>
      <c r="AI85" s="31" t="n">
        <v>52774.41948164349</v>
      </c>
      <c r="AJ85" s="31" t="n">
        <v>208820.8875551913</v>
      </c>
      <c r="AK85" s="31" t="n">
        <v>411620.7264919014</v>
      </c>
      <c r="AL85" s="31" t="n">
        <v>141080.2251833458</v>
      </c>
      <c r="AM85" s="31" t="n">
        <v>74300.96040643915</v>
      </c>
      <c r="AN85" s="31" t="n">
        <v>82944.83692648387</v>
      </c>
      <c r="AO85" s="31" t="n">
        <v>88390.28763541068</v>
      </c>
      <c r="AP85" s="31" t="n">
        <v>89617.21830736886</v>
      </c>
      <c r="AQ85" s="31" t="n">
        <v>3465545.156718589</v>
      </c>
      <c r="AR85" s="31" t="n">
        <v>145530.3626899205</v>
      </c>
      <c r="AS85" s="31" t="n">
        <v>212138.2556904491</v>
      </c>
      <c r="AT85" s="31" t="n">
        <v>24160.92525307337</v>
      </c>
      <c r="AU85" s="31" t="n">
        <v>204906.2876090172</v>
      </c>
      <c r="AV85" s="31" t="n">
        <v>141858.9816583553</v>
      </c>
      <c r="AW85" s="31" t="n">
        <v>25677.7736348783</v>
      </c>
      <c r="AX85" s="31" t="n">
        <v>84838.92569883297</v>
      </c>
      <c r="AY85" s="31" t="n">
        <v>76850.45102274853</v>
      </c>
      <c r="AZ85" s="31" t="n">
        <v>207605.7910258879</v>
      </c>
      <c r="BA85" s="31" t="n">
        <v>97191.04663323857</v>
      </c>
      <c r="BB85" s="31" t="n">
        <v>242427.9271723765</v>
      </c>
      <c r="BC85" s="31" t="n">
        <v>105616.2674232424</v>
      </c>
      <c r="BD85" s="31" t="n">
        <v>8735.046541269612</v>
      </c>
      <c r="BE85" s="31" t="n">
        <v>53142.20336827529</v>
      </c>
      <c r="BF85" s="31" t="n">
        <v>26641.33047827615</v>
      </c>
      <c r="BG85" s="31" t="n">
        <v>48449.89115505679</v>
      </c>
      <c r="BH85" s="31" t="n">
        <v>230421.8506602579</v>
      </c>
      <c r="BI85" s="31" t="n">
        <v>35208.17106048304</v>
      </c>
      <c r="BJ85" s="31" t="n">
        <v>43564.50400296244</v>
      </c>
      <c r="BK85" s="31" t="n">
        <v>610791.8346433626</v>
      </c>
      <c r="BL85" s="31" t="n">
        <v>107993.2164550646</v>
      </c>
      <c r="BM85" s="31" t="n">
        <v>75372.3221580102</v>
      </c>
      <c r="BN85" s="31" t="n">
        <v>114366.1433180753</v>
      </c>
      <c r="BO85" s="31" t="n">
        <v>39493.12782560646</v>
      </c>
      <c r="BP85" s="31" t="n">
        <v>308878.2998810543</v>
      </c>
      <c r="BQ85" s="31" t="n">
        <v>132383.0159131649</v>
      </c>
      <c r="BR85" s="31" t="n">
        <v>102242.7081214682</v>
      </c>
      <c r="BS85" s="31" t="n">
        <v>1335.677454472743</v>
      </c>
      <c r="BT85" s="31" t="n">
        <v>2319439.634729078</v>
      </c>
      <c r="BU85" s="31" t="n">
        <v>7970567.151642442</v>
      </c>
      <c r="BV85" s="31" t="n">
        <v>19947072.1002781</v>
      </c>
      <c r="BW85" s="31" t="n">
        <v>21512.60663324664</v>
      </c>
      <c r="BX85" s="31" t="n">
        <v>393068.5863961636</v>
      </c>
      <c r="BY85" s="31" t="n">
        <v>3222756.445971454</v>
      </c>
      <c r="BZ85" s="31" t="n">
        <v>47758.00487429364</v>
      </c>
      <c r="CA85" s="31" t="n">
        <v>1432580.613681959</v>
      </c>
      <c r="CB85" s="31" t="n">
        <v>75365.99137273597</v>
      </c>
      <c r="CC85" s="31" t="n">
        <v>4720.023491262529</v>
      </c>
      <c r="CD85" s="31" t="n">
        <v>565515.0300412499</v>
      </c>
      <c r="CE85" s="31" t="n">
        <v>1088013.232597586</v>
      </c>
      <c r="CF85" s="31" t="n">
        <v>160395.0070600849</v>
      </c>
      <c r="CG85" s="31" t="n">
        <v>1772685.538286148</v>
      </c>
      <c r="CH85" s="31" t="n">
        <v>3414007.101129028</v>
      </c>
      <c r="CI85" s="31" t="n">
        <v>618256.173472068</v>
      </c>
      <c r="CJ85" s="31" t="n">
        <v>2258871.496591737</v>
      </c>
      <c r="CK85" s="31" t="n">
        <v>878011.6314092455</v>
      </c>
      <c r="CL85" s="31" t="n">
        <v>3914065.472636501</v>
      </c>
      <c r="CM85" s="31" t="n">
        <v>452323.8756716182</v>
      </c>
      <c r="CN85" s="31" t="n">
        <v>60943.42177393608</v>
      </c>
      <c r="CO85" s="31" t="n">
        <v>27373.68523887075</v>
      </c>
      <c r="CP85" s="31" t="n">
        <v>175282.0932991237</v>
      </c>
      <c r="CQ85" s="31" t="n">
        <v>141432.406849145</v>
      </c>
      <c r="CR85" s="31" t="n">
        <v>3750862.875290686</v>
      </c>
      <c r="CS85" s="31" t="n">
        <v>66176.6909220024</v>
      </c>
      <c r="CT85" s="31" t="n">
        <v>60426.59621152534</v>
      </c>
      <c r="CU85" s="31" t="n">
        <v>12786707.88966827</v>
      </c>
      <c r="CV85" s="31" t="n">
        <v>3259989.462955073</v>
      </c>
      <c r="CW85" s="31" t="n">
        <v>1489083.963695833</v>
      </c>
      <c r="CX85" s="31" t="n">
        <v>303063.5011726025</v>
      </c>
      <c r="CY85" s="31" t="n">
        <v>5103577.420688883</v>
      </c>
      <c r="CZ85" s="31" t="n">
        <v>837104.7948841478</v>
      </c>
      <c r="DA85" s="31" t="n">
        <v>337931.8610071841</v>
      </c>
      <c r="DB85" s="31" t="n">
        <v>1637104.957687913</v>
      </c>
      <c r="DC85" s="31" t="n">
        <v>2546194.212529844</v>
      </c>
      <c r="DD85" s="31" t="n">
        <v>342002.2092339669</v>
      </c>
      <c r="DE85" s="31" t="n">
        <v>0</v>
      </c>
      <c r="DF85" s="31">
        <f>SUM(C85:DE85)</f>
        <v/>
      </c>
      <c r="DG85" s="31" t="n">
        <v>0</v>
      </c>
      <c r="DH85" s="31" t="n">
        <v>0</v>
      </c>
      <c r="DI85" s="31" t="n">
        <v>1622428145.050314</v>
      </c>
      <c r="DJ85" s="31" t="n">
        <v>0</v>
      </c>
      <c r="DK85" s="31">
        <f>SUM(DG85:DJ85)</f>
        <v/>
      </c>
      <c r="DL85" s="31">
        <f>DF85+DK85</f>
        <v/>
      </c>
    </row>
    <row r="86">
      <c r="A86" s="28" t="inlineStr">
        <is>
          <t>526</t>
        </is>
      </c>
      <c r="B86" s="28" t="inlineStr">
        <is>
          <t>Reparación de efectos personales y enseres domésticos</t>
        </is>
      </c>
      <c r="C86" s="29" t="n">
        <v>5887828.426017191</v>
      </c>
      <c r="D86" s="29" t="n">
        <v>524965.2959975393</v>
      </c>
      <c r="E86" s="29" t="n">
        <v>21877.10435844044</v>
      </c>
      <c r="F86" s="29" t="n">
        <v>0</v>
      </c>
      <c r="G86" s="29" t="n">
        <v>171234.276102216</v>
      </c>
      <c r="H86" s="29" t="n">
        <v>399724.0041790419</v>
      </c>
      <c r="I86" s="29" t="n">
        <v>9923.918824602584</v>
      </c>
      <c r="J86" s="29" t="n">
        <v>718056.5315641685</v>
      </c>
      <c r="K86" s="29" t="n">
        <v>517418.4270323221</v>
      </c>
      <c r="L86" s="29" t="n">
        <v>230570.9458033872</v>
      </c>
      <c r="M86" s="29" t="n">
        <v>189226.2106625586</v>
      </c>
      <c r="N86" s="29" t="n">
        <v>136772.9944201763</v>
      </c>
      <c r="O86" s="29" t="n">
        <v>122701.4434772785</v>
      </c>
      <c r="P86" s="29" t="n">
        <v>60586.66549565413</v>
      </c>
      <c r="Q86" s="29" t="n">
        <v>506197.0412289714</v>
      </c>
      <c r="R86" s="29" t="n">
        <v>80493.36912598324</v>
      </c>
      <c r="S86" s="29" t="n">
        <v>128087.5612351741</v>
      </c>
      <c r="T86" s="29" t="n">
        <v>125851.8039764259</v>
      </c>
      <c r="U86" s="29" t="n">
        <v>132340.8109311888</v>
      </c>
      <c r="V86" s="29" t="n">
        <v>88308.22394299827</v>
      </c>
      <c r="W86" s="29" t="n">
        <v>47550.152029687</v>
      </c>
      <c r="X86" s="29" t="n">
        <v>24778.75508487176</v>
      </c>
      <c r="Y86" s="29" t="n">
        <v>210244.9246949957</v>
      </c>
      <c r="Z86" s="29" t="n">
        <v>13242.79463621142</v>
      </c>
      <c r="AA86" s="29" t="n">
        <v>44779.79952107249</v>
      </c>
      <c r="AB86" s="29" t="n">
        <v>93658.73174689541</v>
      </c>
      <c r="AC86" s="29" t="n">
        <v>198394.6641577342</v>
      </c>
      <c r="AD86" s="29" t="n">
        <v>26620.73623145379</v>
      </c>
      <c r="AE86" s="29" t="n">
        <v>155301.1327907959</v>
      </c>
      <c r="AF86" s="29" t="n">
        <v>33125.58623694193</v>
      </c>
      <c r="AG86" s="29" t="n">
        <v>18449.284755472</v>
      </c>
      <c r="AH86" s="29" t="n">
        <v>12922.54989140861</v>
      </c>
      <c r="AI86" s="29" t="n">
        <v>100888.470409981</v>
      </c>
      <c r="AJ86" s="29" t="n">
        <v>258321.8154452662</v>
      </c>
      <c r="AK86" s="29" t="n">
        <v>47605.06784712239</v>
      </c>
      <c r="AL86" s="29" t="n">
        <v>95946.39282101671</v>
      </c>
      <c r="AM86" s="29" t="n">
        <v>121837.4784565704</v>
      </c>
      <c r="AN86" s="29" t="n">
        <v>154578.1185579599</v>
      </c>
      <c r="AO86" s="29" t="n">
        <v>203078.0505229698</v>
      </c>
      <c r="AP86" s="29" t="n">
        <v>112386.1985659774</v>
      </c>
      <c r="AQ86" s="29" t="n">
        <v>273010.6966560165</v>
      </c>
      <c r="AR86" s="29" t="n">
        <v>85593.16545176871</v>
      </c>
      <c r="AS86" s="29" t="n">
        <v>174872.0289753001</v>
      </c>
      <c r="AT86" s="29" t="n">
        <v>55096.44373145093</v>
      </c>
      <c r="AU86" s="29" t="n">
        <v>289577.5944529223</v>
      </c>
      <c r="AV86" s="29" t="n">
        <v>308531.5502124011</v>
      </c>
      <c r="AW86" s="29" t="n">
        <v>46477.72004985176</v>
      </c>
      <c r="AX86" s="29" t="n">
        <v>96064.32699093415</v>
      </c>
      <c r="AY86" s="29" t="n">
        <v>58965.81545408983</v>
      </c>
      <c r="AZ86" s="29" t="n">
        <v>165355.4878171376</v>
      </c>
      <c r="BA86" s="29" t="n">
        <v>46709.38134329208</v>
      </c>
      <c r="BB86" s="29" t="n">
        <v>136859.491103847</v>
      </c>
      <c r="BC86" s="29" t="n">
        <v>18108.2374497344</v>
      </c>
      <c r="BD86" s="29" t="n">
        <v>311.1144233952932</v>
      </c>
      <c r="BE86" s="29" t="n">
        <v>16567.79771431505</v>
      </c>
      <c r="BF86" s="29" t="n">
        <v>16119.11228919961</v>
      </c>
      <c r="BG86" s="29" t="n">
        <v>14709.59279973043</v>
      </c>
      <c r="BH86" s="29" t="n">
        <v>23431.97240625874</v>
      </c>
      <c r="BI86" s="29" t="n">
        <v>7019.947209066394</v>
      </c>
      <c r="BJ86" s="29" t="n">
        <v>13365.35712839318</v>
      </c>
      <c r="BK86" s="29" t="n">
        <v>96594.59619821575</v>
      </c>
      <c r="BL86" s="29" t="n">
        <v>106608.8317113232</v>
      </c>
      <c r="BM86" s="29" t="n">
        <v>54126.13111508553</v>
      </c>
      <c r="BN86" s="29" t="n">
        <v>56883.91507842142</v>
      </c>
      <c r="BO86" s="29" t="n">
        <v>43128.14165568744</v>
      </c>
      <c r="BP86" s="29" t="n">
        <v>755164.2971534894</v>
      </c>
      <c r="BQ86" s="29" t="n">
        <v>181905.6772980057</v>
      </c>
      <c r="BR86" s="29" t="n">
        <v>243162.3144137266</v>
      </c>
      <c r="BS86" s="29" t="n">
        <v>1780.915008648849</v>
      </c>
      <c r="BT86" s="29" t="n">
        <v>232091.4489665813</v>
      </c>
      <c r="BU86" s="29" t="n">
        <v>1034025.646461255</v>
      </c>
      <c r="BV86" s="29" t="n">
        <v>1450030.81279046</v>
      </c>
      <c r="BW86" s="29" t="n">
        <v>140285.2031077483</v>
      </c>
      <c r="BX86" s="29" t="n">
        <v>357020.6177480513</v>
      </c>
      <c r="BY86" s="29" t="n">
        <v>364046.9043078995</v>
      </c>
      <c r="BZ86" s="29" t="n">
        <v>81763.30258300607</v>
      </c>
      <c r="CA86" s="29" t="n">
        <v>4418864.800432782</v>
      </c>
      <c r="CB86" s="29" t="n">
        <v>77448.90485788255</v>
      </c>
      <c r="CC86" s="29" t="n">
        <v>4407.669314460109</v>
      </c>
      <c r="CD86" s="29" t="n">
        <v>579968.608786299</v>
      </c>
      <c r="CE86" s="29" t="n">
        <v>561943.5482790557</v>
      </c>
      <c r="CF86" s="29" t="n">
        <v>62299.7419647306</v>
      </c>
      <c r="CG86" s="29" t="n">
        <v>200814.0423538201</v>
      </c>
      <c r="CH86" s="29" t="n">
        <v>785553.6537306184</v>
      </c>
      <c r="CI86" s="29" t="n">
        <v>236107.8436769234</v>
      </c>
      <c r="CJ86" s="29" t="n">
        <v>1419356.770995322</v>
      </c>
      <c r="CK86" s="29" t="n">
        <v>112464.3830022319</v>
      </c>
      <c r="CL86" s="29" t="n">
        <v>244742.7209927451</v>
      </c>
      <c r="CM86" s="29" t="n">
        <v>77257.70954260725</v>
      </c>
      <c r="CN86" s="29" t="n">
        <v>0</v>
      </c>
      <c r="CO86" s="29" t="n">
        <v>0</v>
      </c>
      <c r="CP86" s="29" t="n">
        <v>45099.83136112915</v>
      </c>
      <c r="CQ86" s="29" t="n">
        <v>198041.2226836055</v>
      </c>
      <c r="CR86" s="29" t="n">
        <v>435526.2696233726</v>
      </c>
      <c r="CS86" s="29" t="n">
        <v>48867.88200353378</v>
      </c>
      <c r="CT86" s="29" t="n">
        <v>44621.75023257637</v>
      </c>
      <c r="CU86" s="29" t="n">
        <v>1422606.475787094</v>
      </c>
      <c r="CV86" s="29" t="n">
        <v>2380594.719333127</v>
      </c>
      <c r="CW86" s="29" t="n">
        <v>363698.3343971956</v>
      </c>
      <c r="CX86" s="29" t="n">
        <v>57802.55192844677</v>
      </c>
      <c r="CY86" s="29" t="n">
        <v>1907671.692708703</v>
      </c>
      <c r="CZ86" s="29" t="n">
        <v>149668.2912999218</v>
      </c>
      <c r="DA86" s="29" t="n">
        <v>257877.727256996</v>
      </c>
      <c r="DB86" s="29" t="n">
        <v>1671553.090210346</v>
      </c>
      <c r="DC86" s="29" t="n">
        <v>141365.9453479368</v>
      </c>
      <c r="DD86" s="29" t="n">
        <v>67689.44557160807</v>
      </c>
      <c r="DE86" s="29" t="n">
        <v>0</v>
      </c>
      <c r="DF86" s="29">
        <f>SUM(C86:DE86)</f>
        <v/>
      </c>
      <c r="DG86" s="29" t="n">
        <v>0</v>
      </c>
      <c r="DH86" s="29" t="n">
        <v>0</v>
      </c>
      <c r="DI86" s="29" t="n">
        <v>14409150.10080101</v>
      </c>
      <c r="DJ86" s="29" t="n">
        <v>0</v>
      </c>
      <c r="DK86" s="29">
        <f>SUM(DG86:DJ86)</f>
        <v/>
      </c>
      <c r="DL86" s="29">
        <f>DF86+DK86</f>
        <v/>
      </c>
    </row>
    <row r="87">
      <c r="A87" s="30" t="inlineStr">
        <is>
          <t>551</t>
        </is>
      </c>
      <c r="B87" s="30" t="inlineStr">
        <is>
          <t>Hoteles ; campamentos y otros tipos de hospedaje temporal</t>
        </is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0</v>
      </c>
      <c r="H87" s="31" t="n">
        <v>183823.2828465824</v>
      </c>
      <c r="I87" s="31" t="n">
        <v>1456.46796937983</v>
      </c>
      <c r="J87" s="31" t="n">
        <v>979105.1122768788</v>
      </c>
      <c r="K87" s="31" t="n">
        <v>2527615.331816633</v>
      </c>
      <c r="L87" s="31" t="n">
        <v>24153.22491706194</v>
      </c>
      <c r="M87" s="31" t="n">
        <v>13949.0004951814</v>
      </c>
      <c r="N87" s="31" t="n">
        <v>39369.76542809512</v>
      </c>
      <c r="O87" s="31" t="n">
        <v>33982.7677306998</v>
      </c>
      <c r="P87" s="31" t="n">
        <v>14169.94192991517</v>
      </c>
      <c r="Q87" s="31" t="n">
        <v>17451.30203490007</v>
      </c>
      <c r="R87" s="31" t="n">
        <v>24381.09856674791</v>
      </c>
      <c r="S87" s="31" t="n">
        <v>22444.49010273584</v>
      </c>
      <c r="T87" s="31" t="n">
        <v>20123.73607369105</v>
      </c>
      <c r="U87" s="31" t="n">
        <v>28249.66094879989</v>
      </c>
      <c r="V87" s="31" t="n">
        <v>2679.301536548252</v>
      </c>
      <c r="W87" s="31" t="n">
        <v>21004.47186131686</v>
      </c>
      <c r="X87" s="31" t="n">
        <v>4634.520444443403</v>
      </c>
      <c r="Y87" s="31" t="n">
        <v>42200.26647106495</v>
      </c>
      <c r="Z87" s="31" t="n">
        <v>11500.73096179252</v>
      </c>
      <c r="AA87" s="31" t="n">
        <v>35521.25144724519</v>
      </c>
      <c r="AB87" s="31" t="n">
        <v>12622.03878582725</v>
      </c>
      <c r="AC87" s="31" t="n">
        <v>19723.5541292829</v>
      </c>
      <c r="AD87" s="31" t="n">
        <v>11949.67773362529</v>
      </c>
      <c r="AE87" s="31" t="n">
        <v>23763.46981335734</v>
      </c>
      <c r="AF87" s="31" t="n">
        <v>22580.66323979777</v>
      </c>
      <c r="AG87" s="31" t="n">
        <v>7006.065026691676</v>
      </c>
      <c r="AH87" s="31" t="n">
        <v>5842.560987027227</v>
      </c>
      <c r="AI87" s="31" t="n">
        <v>15006.84527147787</v>
      </c>
      <c r="AJ87" s="31" t="n">
        <v>35447.40202949306</v>
      </c>
      <c r="AK87" s="31" t="n">
        <v>108258.532281732</v>
      </c>
      <c r="AL87" s="31" t="n">
        <v>33039.5986631938</v>
      </c>
      <c r="AM87" s="31" t="n">
        <v>22300.52516669179</v>
      </c>
      <c r="AN87" s="31" t="n">
        <v>42280.10823259044</v>
      </c>
      <c r="AO87" s="31" t="n">
        <v>12692.51063802852</v>
      </c>
      <c r="AP87" s="31" t="n">
        <v>15033.51381585498</v>
      </c>
      <c r="AQ87" s="31" t="n">
        <v>340597.766392456</v>
      </c>
      <c r="AR87" s="31" t="n">
        <v>19878.58225284952</v>
      </c>
      <c r="AS87" s="31" t="n">
        <v>77870.28444580693</v>
      </c>
      <c r="AT87" s="31" t="n">
        <v>7361.809606685003</v>
      </c>
      <c r="AU87" s="31" t="n">
        <v>57601.17068525385</v>
      </c>
      <c r="AV87" s="31" t="n">
        <v>57202.22340407864</v>
      </c>
      <c r="AW87" s="31" t="n">
        <v>7724.733987311395</v>
      </c>
      <c r="AX87" s="31" t="n">
        <v>12040.63617367668</v>
      </c>
      <c r="AY87" s="31" t="n">
        <v>24422.40162855792</v>
      </c>
      <c r="AZ87" s="31" t="n">
        <v>51555.8751632036</v>
      </c>
      <c r="BA87" s="31" t="n">
        <v>33671.55755127074</v>
      </c>
      <c r="BB87" s="31" t="n">
        <v>67491.2007392896</v>
      </c>
      <c r="BC87" s="31" t="n">
        <v>19180.22993332685</v>
      </c>
      <c r="BD87" s="31" t="n">
        <v>3058.233751931275</v>
      </c>
      <c r="BE87" s="31" t="n">
        <v>25040.15695722293</v>
      </c>
      <c r="BF87" s="31" t="n">
        <v>7905.354699296809</v>
      </c>
      <c r="BG87" s="31" t="n">
        <v>9781.245280858951</v>
      </c>
      <c r="BH87" s="31" t="n">
        <v>169842.2784382044</v>
      </c>
      <c r="BI87" s="31" t="n">
        <v>2101.390881927879</v>
      </c>
      <c r="BJ87" s="31" t="n">
        <v>19164.10855873585</v>
      </c>
      <c r="BK87" s="31" t="n">
        <v>46818.98248572104</v>
      </c>
      <c r="BL87" s="31" t="n">
        <v>38622.22515802654</v>
      </c>
      <c r="BM87" s="31" t="n">
        <v>13723.00542647003</v>
      </c>
      <c r="BN87" s="31" t="n">
        <v>31511.44192456458</v>
      </c>
      <c r="BO87" s="31" t="n">
        <v>20099.9827694851</v>
      </c>
      <c r="BP87" s="31" t="n">
        <v>65299.00352216187</v>
      </c>
      <c r="BQ87" s="31" t="n">
        <v>38662.20108268215</v>
      </c>
      <c r="BR87" s="31" t="n">
        <v>2209.658227329766</v>
      </c>
      <c r="BS87" s="31" t="n">
        <v>0</v>
      </c>
      <c r="BT87" s="31" t="n">
        <v>72167.01842782729</v>
      </c>
      <c r="BU87" s="31" t="n">
        <v>776855.8336850073</v>
      </c>
      <c r="BV87" s="31" t="n">
        <v>646009.892205404</v>
      </c>
      <c r="BW87" s="31" t="n">
        <v>0</v>
      </c>
      <c r="BX87" s="31" t="n">
        <v>92143.19589579686</v>
      </c>
      <c r="BY87" s="31" t="n">
        <v>1149.863325865934</v>
      </c>
      <c r="BZ87" s="31" t="n">
        <v>850.8689719569558</v>
      </c>
      <c r="CA87" s="31" t="n">
        <v>0</v>
      </c>
      <c r="CB87" s="31" t="n">
        <v>0</v>
      </c>
      <c r="CC87" s="31" t="n">
        <v>3933.726676011979</v>
      </c>
      <c r="CD87" s="31" t="n">
        <v>760841.8963989732</v>
      </c>
      <c r="CE87" s="31" t="n">
        <v>16647.37654771345</v>
      </c>
      <c r="CF87" s="31" t="n">
        <v>30488.423017966</v>
      </c>
      <c r="CG87" s="31" t="n">
        <v>142302.3426988129</v>
      </c>
      <c r="CH87" s="31" t="n">
        <v>229938.3264051124</v>
      </c>
      <c r="CI87" s="31" t="n">
        <v>95002.75230981821</v>
      </c>
      <c r="CJ87" s="31" t="n">
        <v>2016299.931445895</v>
      </c>
      <c r="CK87" s="31" t="n">
        <v>90666.15510335428</v>
      </c>
      <c r="CL87" s="31" t="n">
        <v>370768.2765299498</v>
      </c>
      <c r="CM87" s="31" t="n">
        <v>63130.8662715141</v>
      </c>
      <c r="CN87" s="31" t="n">
        <v>0</v>
      </c>
      <c r="CO87" s="31" t="n">
        <v>0</v>
      </c>
      <c r="CP87" s="31" t="n">
        <v>4577.331908791361</v>
      </c>
      <c r="CQ87" s="31" t="n">
        <v>7269.343833021292</v>
      </c>
      <c r="CR87" s="31" t="n">
        <v>440478.9106762386</v>
      </c>
      <c r="CS87" s="31" t="n">
        <v>120270.1923034595</v>
      </c>
      <c r="CT87" s="31" t="n">
        <v>109819.9115934841</v>
      </c>
      <c r="CU87" s="31" t="n">
        <v>1230266.36679146</v>
      </c>
      <c r="CV87" s="31" t="n">
        <v>5858952.198298474</v>
      </c>
      <c r="CW87" s="31" t="n">
        <v>145513.5531705875</v>
      </c>
      <c r="CX87" s="31" t="n">
        <v>364277.5881189639</v>
      </c>
      <c r="CY87" s="31" t="n">
        <v>396607.574082231</v>
      </c>
      <c r="CZ87" s="31" t="n">
        <v>2549076.876934368</v>
      </c>
      <c r="DA87" s="31" t="n">
        <v>33372.63288731527</v>
      </c>
      <c r="DB87" s="31" t="n">
        <v>265356.6799330984</v>
      </c>
      <c r="DC87" s="31" t="n">
        <v>232963.1258856257</v>
      </c>
      <c r="DD87" s="31" t="n">
        <v>0</v>
      </c>
      <c r="DE87" s="31" t="n">
        <v>0</v>
      </c>
      <c r="DF87" s="31">
        <f>SUM(C87:DE87)</f>
        <v/>
      </c>
      <c r="DG87" s="31" t="n">
        <v>0</v>
      </c>
      <c r="DH87" s="31" t="n">
        <v>0</v>
      </c>
      <c r="DI87" s="31" t="n">
        <v>48415887.58321434</v>
      </c>
      <c r="DJ87" s="31" t="n">
        <v>0</v>
      </c>
      <c r="DK87" s="31">
        <f>SUM(DG87:DJ87)</f>
        <v/>
      </c>
      <c r="DL87" s="31">
        <f>DF87+DK87</f>
        <v/>
      </c>
    </row>
    <row r="88">
      <c r="A88" s="28" t="inlineStr">
        <is>
          <t>552</t>
        </is>
      </c>
      <c r="B88" s="28" t="inlineStr">
        <is>
          <t>Restaurantes, bares y cantinas</t>
        </is>
      </c>
      <c r="C88" s="29" t="n">
        <v>4788285.876205893</v>
      </c>
      <c r="D88" s="29" t="n">
        <v>746685.0692151079</v>
      </c>
      <c r="E88" s="29" t="n">
        <v>0</v>
      </c>
      <c r="F88" s="29" t="n">
        <v>486.6875695083195</v>
      </c>
      <c r="G88" s="29" t="n">
        <v>0</v>
      </c>
      <c r="H88" s="29" t="n">
        <v>639415.3633890878</v>
      </c>
      <c r="I88" s="29" t="n">
        <v>2544.30120477567</v>
      </c>
      <c r="J88" s="29" t="n">
        <v>3884897.843973796</v>
      </c>
      <c r="K88" s="29" t="n">
        <v>3020603.278957891</v>
      </c>
      <c r="L88" s="29" t="n">
        <v>23155.94947887346</v>
      </c>
      <c r="M88" s="29" t="n">
        <v>26337.95855637574</v>
      </c>
      <c r="N88" s="29" t="n">
        <v>1505071.477196648</v>
      </c>
      <c r="O88" s="29" t="n">
        <v>844037.7095530588</v>
      </c>
      <c r="P88" s="29" t="n">
        <v>541746.7536229717</v>
      </c>
      <c r="Q88" s="29" t="n">
        <v>2375769.126390668</v>
      </c>
      <c r="R88" s="29" t="n">
        <v>676425.6069755491</v>
      </c>
      <c r="S88" s="29" t="n">
        <v>1116170.854658403</v>
      </c>
      <c r="T88" s="29" t="n">
        <v>1141911.987387321</v>
      </c>
      <c r="U88" s="29" t="n">
        <v>1617542.788754216</v>
      </c>
      <c r="V88" s="29" t="n">
        <v>593415.6248033072</v>
      </c>
      <c r="W88" s="29" t="n">
        <v>533043.994535084</v>
      </c>
      <c r="X88" s="29" t="n">
        <v>79675.07512802721</v>
      </c>
      <c r="Y88" s="29" t="n">
        <v>2869337.032270948</v>
      </c>
      <c r="Z88" s="29" t="n">
        <v>181542.5021960566</v>
      </c>
      <c r="AA88" s="29" t="n">
        <v>749791.7099160601</v>
      </c>
      <c r="AB88" s="29" t="n">
        <v>1251978.953104183</v>
      </c>
      <c r="AC88" s="29" t="n">
        <v>961378.1880639319</v>
      </c>
      <c r="AD88" s="29" t="n">
        <v>291177.951401703</v>
      </c>
      <c r="AE88" s="29" t="n">
        <v>620476.9845008346</v>
      </c>
      <c r="AF88" s="29" t="n">
        <v>633067.7361981185</v>
      </c>
      <c r="AG88" s="29" t="n">
        <v>197518.0049913168</v>
      </c>
      <c r="AH88" s="29" t="n">
        <v>208721.4873699383</v>
      </c>
      <c r="AI88" s="29" t="n">
        <v>492831.8226753013</v>
      </c>
      <c r="AJ88" s="29" t="n">
        <v>1023035.351277711</v>
      </c>
      <c r="AK88" s="29" t="n">
        <v>1715626.933917228</v>
      </c>
      <c r="AL88" s="29" t="n">
        <v>844054.6002135021</v>
      </c>
      <c r="AM88" s="29" t="n">
        <v>1280010.801425543</v>
      </c>
      <c r="AN88" s="29" t="n">
        <v>1270111.389536721</v>
      </c>
      <c r="AO88" s="29" t="n">
        <v>416882.8370933709</v>
      </c>
      <c r="AP88" s="29" t="n">
        <v>1058920.555248105</v>
      </c>
      <c r="AQ88" s="29" t="n">
        <v>5366983.613949532</v>
      </c>
      <c r="AR88" s="29" t="n">
        <v>451542.6373506965</v>
      </c>
      <c r="AS88" s="29" t="n">
        <v>1157153.133954778</v>
      </c>
      <c r="AT88" s="29" t="n">
        <v>183172.1276735341</v>
      </c>
      <c r="AU88" s="29" t="n">
        <v>1575356.681905252</v>
      </c>
      <c r="AV88" s="29" t="n">
        <v>676750.507017069</v>
      </c>
      <c r="AW88" s="29" t="n">
        <v>227987.3669241291</v>
      </c>
      <c r="AX88" s="29" t="n">
        <v>888997.7508824904</v>
      </c>
      <c r="AY88" s="29" t="n">
        <v>719869.5196018686</v>
      </c>
      <c r="AZ88" s="29" t="n">
        <v>1430029.006717404</v>
      </c>
      <c r="BA88" s="29" t="n">
        <v>748529.3578742469</v>
      </c>
      <c r="BB88" s="29" t="n">
        <v>1459983.60132284</v>
      </c>
      <c r="BC88" s="29" t="n">
        <v>363183.7285542582</v>
      </c>
      <c r="BD88" s="29" t="n">
        <v>28123.19283438658</v>
      </c>
      <c r="BE88" s="29" t="n">
        <v>226504.3553705504</v>
      </c>
      <c r="BF88" s="29" t="n">
        <v>155766.4368864214</v>
      </c>
      <c r="BG88" s="29" t="n">
        <v>613307.9555759417</v>
      </c>
      <c r="BH88" s="29" t="n">
        <v>1272893.458277495</v>
      </c>
      <c r="BI88" s="29" t="n">
        <v>41976.01889734215</v>
      </c>
      <c r="BJ88" s="29" t="n">
        <v>222990.0419029112</v>
      </c>
      <c r="BK88" s="29" t="n">
        <v>3113577.632796654</v>
      </c>
      <c r="BL88" s="29" t="n">
        <v>1001115.085673285</v>
      </c>
      <c r="BM88" s="29" t="n">
        <v>552193.7756148787</v>
      </c>
      <c r="BN88" s="29" t="n">
        <v>439425.2111950705</v>
      </c>
      <c r="BO88" s="29" t="n">
        <v>445786.4452548548</v>
      </c>
      <c r="BP88" s="29" t="n">
        <v>94773.63659651174</v>
      </c>
      <c r="BQ88" s="29" t="n">
        <v>49150.89441922229</v>
      </c>
      <c r="BR88" s="29" t="n">
        <v>11019.11780952304</v>
      </c>
      <c r="BS88" s="29" t="n">
        <v>39871.59732268383</v>
      </c>
      <c r="BT88" s="29" t="n">
        <v>1014764.964342377</v>
      </c>
      <c r="BU88" s="29" t="n">
        <v>1408442.09522312</v>
      </c>
      <c r="BV88" s="29" t="n">
        <v>3371165.265209846</v>
      </c>
      <c r="BW88" s="29" t="n">
        <v>172.4300841314382</v>
      </c>
      <c r="BX88" s="29" t="n">
        <v>161997.8842142608</v>
      </c>
      <c r="BY88" s="29" t="n">
        <v>10486124.6565503</v>
      </c>
      <c r="BZ88" s="29" t="n">
        <v>55353.15382822233</v>
      </c>
      <c r="CA88" s="29" t="n">
        <v>1760045.985777794</v>
      </c>
      <c r="CB88" s="29" t="n">
        <v>25342.31940555783</v>
      </c>
      <c r="CC88" s="29" t="n">
        <v>49704.52931386256</v>
      </c>
      <c r="CD88" s="29" t="n">
        <v>622200.4421015475</v>
      </c>
      <c r="CE88" s="29" t="n">
        <v>203867.2897783962</v>
      </c>
      <c r="CF88" s="29" t="n">
        <v>83749.32340927368</v>
      </c>
      <c r="CG88" s="29" t="n">
        <v>533522.9294048001</v>
      </c>
      <c r="CH88" s="29" t="n">
        <v>3054697.184775285</v>
      </c>
      <c r="CI88" s="29" t="n">
        <v>204525.5584340064</v>
      </c>
      <c r="CJ88" s="29" t="n">
        <v>1372379.726227828</v>
      </c>
      <c r="CK88" s="29" t="n">
        <v>229616.9183938735</v>
      </c>
      <c r="CL88" s="29" t="n">
        <v>729502.8935077348</v>
      </c>
      <c r="CM88" s="29" t="n">
        <v>176260.5668113598</v>
      </c>
      <c r="CN88" s="29" t="n">
        <v>91.8597261678395</v>
      </c>
      <c r="CO88" s="29" t="n">
        <v>57.40425566268129</v>
      </c>
      <c r="CP88" s="29" t="n">
        <v>50312.13331838582</v>
      </c>
      <c r="CQ88" s="29" t="n">
        <v>37150.3682687475</v>
      </c>
      <c r="CR88" s="29" t="n">
        <v>983750.7571648945</v>
      </c>
      <c r="CS88" s="29" t="n">
        <v>198254.8998944693</v>
      </c>
      <c r="CT88" s="29" t="n">
        <v>181040.0412134037</v>
      </c>
      <c r="CU88" s="29" t="n">
        <v>2899041.542174141</v>
      </c>
      <c r="CV88" s="29" t="n">
        <v>9660099.330838852</v>
      </c>
      <c r="CW88" s="29" t="n">
        <v>3648395.647901063</v>
      </c>
      <c r="CX88" s="29" t="n">
        <v>1877070.812473472</v>
      </c>
      <c r="CY88" s="29" t="n">
        <v>3738798.893954758</v>
      </c>
      <c r="CZ88" s="29" t="n">
        <v>2283028.780702686</v>
      </c>
      <c r="DA88" s="29" t="n">
        <v>84738.13327039016</v>
      </c>
      <c r="DB88" s="29" t="n">
        <v>2296545.923793394</v>
      </c>
      <c r="DC88" s="29" t="n">
        <v>2766462.695526858</v>
      </c>
      <c r="DD88" s="29" t="n">
        <v>224336.147674325</v>
      </c>
      <c r="DE88" s="29" t="n">
        <v>0</v>
      </c>
      <c r="DF88" s="29">
        <f>SUM(C88:DE88)</f>
        <v/>
      </c>
      <c r="DG88" s="29" t="n">
        <v>0</v>
      </c>
      <c r="DH88" s="29" t="n">
        <v>0</v>
      </c>
      <c r="DI88" s="29" t="n">
        <v>617232027.2636973</v>
      </c>
      <c r="DJ88" s="29" t="n">
        <v>0</v>
      </c>
      <c r="DK88" s="29">
        <f>SUM(DG88:DJ88)</f>
        <v/>
      </c>
      <c r="DL88" s="29">
        <f>DF88+DK88</f>
        <v/>
      </c>
    </row>
    <row r="89">
      <c r="A89" s="30" t="inlineStr">
        <is>
          <t>601</t>
        </is>
      </c>
      <c r="B89" s="30" t="inlineStr">
        <is>
          <t>Servicio de transporte ferroviario</t>
        </is>
      </c>
      <c r="C89" s="31" t="n">
        <v>3832619.596293516</v>
      </c>
      <c r="D89" s="31" t="n">
        <v>0</v>
      </c>
      <c r="E89" s="31" t="n">
        <v>0</v>
      </c>
      <c r="F89" s="31" t="n">
        <v>0</v>
      </c>
      <c r="G89" s="31" t="n">
        <v>0</v>
      </c>
      <c r="H89" s="31" t="n">
        <v>385956.0184862702</v>
      </c>
      <c r="I89" s="31" t="n">
        <v>0</v>
      </c>
      <c r="J89" s="31" t="n">
        <v>0</v>
      </c>
      <c r="K89" s="31" t="n">
        <v>0</v>
      </c>
      <c r="L89" s="31" t="n">
        <v>0</v>
      </c>
      <c r="M89" s="31" t="n">
        <v>0</v>
      </c>
      <c r="N89" s="31" t="n">
        <v>0</v>
      </c>
      <c r="O89" s="31" t="n">
        <v>0</v>
      </c>
      <c r="P89" s="31" t="n">
        <v>0</v>
      </c>
      <c r="Q89" s="31" t="n">
        <v>0</v>
      </c>
      <c r="R89" s="31" t="n">
        <v>0</v>
      </c>
      <c r="S89" s="31" t="n">
        <v>0</v>
      </c>
      <c r="T89" s="31" t="n">
        <v>0</v>
      </c>
      <c r="U89" s="31" t="n">
        <v>0</v>
      </c>
      <c r="V89" s="31" t="n">
        <v>0</v>
      </c>
      <c r="W89" s="31" t="n">
        <v>0</v>
      </c>
      <c r="X89" s="31" t="n">
        <v>0</v>
      </c>
      <c r="Y89" s="31" t="n">
        <v>0</v>
      </c>
      <c r="Z89" s="31" t="n">
        <v>0</v>
      </c>
      <c r="AA89" s="31" t="n">
        <v>0</v>
      </c>
      <c r="AB89" s="31" t="n">
        <v>0</v>
      </c>
      <c r="AC89" s="31" t="n">
        <v>0</v>
      </c>
      <c r="AD89" s="31" t="n">
        <v>0</v>
      </c>
      <c r="AE89" s="31" t="n">
        <v>0</v>
      </c>
      <c r="AF89" s="31" t="n">
        <v>0</v>
      </c>
      <c r="AG89" s="31" t="n">
        <v>0</v>
      </c>
      <c r="AH89" s="31" t="n">
        <v>0</v>
      </c>
      <c r="AI89" s="31" t="n">
        <v>0</v>
      </c>
      <c r="AJ89" s="31" t="n">
        <v>0</v>
      </c>
      <c r="AK89" s="31" t="n">
        <v>0</v>
      </c>
      <c r="AL89" s="31" t="n">
        <v>0</v>
      </c>
      <c r="AM89" s="31" t="n">
        <v>0</v>
      </c>
      <c r="AN89" s="31" t="n">
        <v>0</v>
      </c>
      <c r="AO89" s="31" t="n">
        <v>0</v>
      </c>
      <c r="AP89" s="31" t="n">
        <v>0</v>
      </c>
      <c r="AQ89" s="31" t="n">
        <v>0</v>
      </c>
      <c r="AR89" s="31" t="n">
        <v>0</v>
      </c>
      <c r="AS89" s="31" t="n">
        <v>0</v>
      </c>
      <c r="AT89" s="31" t="n">
        <v>0</v>
      </c>
      <c r="AU89" s="31" t="n">
        <v>0</v>
      </c>
      <c r="AV89" s="31" t="n">
        <v>0</v>
      </c>
      <c r="AW89" s="31" t="n">
        <v>0</v>
      </c>
      <c r="AX89" s="31" t="n">
        <v>0</v>
      </c>
      <c r="AY89" s="31" t="n">
        <v>0</v>
      </c>
      <c r="AZ89" s="31" t="n">
        <v>0</v>
      </c>
      <c r="BA89" s="31" t="n">
        <v>0</v>
      </c>
      <c r="BB89" s="31" t="n">
        <v>0</v>
      </c>
      <c r="BC89" s="31" t="n">
        <v>0</v>
      </c>
      <c r="BD89" s="31" t="n">
        <v>0</v>
      </c>
      <c r="BE89" s="31" t="n">
        <v>0</v>
      </c>
      <c r="BF89" s="31" t="n">
        <v>0</v>
      </c>
      <c r="BG89" s="31" t="n">
        <v>0</v>
      </c>
      <c r="BH89" s="31" t="n">
        <v>0</v>
      </c>
      <c r="BI89" s="31" t="n">
        <v>0</v>
      </c>
      <c r="BJ89" s="31" t="n">
        <v>0</v>
      </c>
      <c r="BK89" s="31" t="n">
        <v>0</v>
      </c>
      <c r="BL89" s="31" t="n">
        <v>0</v>
      </c>
      <c r="BM89" s="31" t="n">
        <v>0</v>
      </c>
      <c r="BN89" s="31" t="n">
        <v>0</v>
      </c>
      <c r="BO89" s="31" t="n">
        <v>0</v>
      </c>
      <c r="BP89" s="31" t="n">
        <v>0</v>
      </c>
      <c r="BQ89" s="31" t="n">
        <v>0</v>
      </c>
      <c r="BR89" s="31" t="n">
        <v>0</v>
      </c>
      <c r="BS89" s="31" t="n">
        <v>0</v>
      </c>
      <c r="BT89" s="31" t="n">
        <v>0</v>
      </c>
      <c r="BU89" s="31" t="n">
        <v>0</v>
      </c>
      <c r="BV89" s="31" t="n">
        <v>0</v>
      </c>
      <c r="BW89" s="31" t="n">
        <v>0</v>
      </c>
      <c r="BX89" s="31" t="n">
        <v>26158.35545062491</v>
      </c>
      <c r="BY89" s="31" t="n">
        <v>0</v>
      </c>
      <c r="BZ89" s="31" t="n">
        <v>0</v>
      </c>
      <c r="CA89" s="31" t="n">
        <v>0</v>
      </c>
      <c r="CB89" s="31" t="n">
        <v>0</v>
      </c>
      <c r="CC89" s="31" t="n">
        <v>0</v>
      </c>
      <c r="CD89" s="31" t="n">
        <v>0</v>
      </c>
      <c r="CE89" s="31" t="n">
        <v>0</v>
      </c>
      <c r="CF89" s="31" t="n">
        <v>1521666.404096897</v>
      </c>
      <c r="CG89" s="31" t="n">
        <v>55081.14561182664</v>
      </c>
      <c r="CH89" s="31" t="n">
        <v>27735.33302897406</v>
      </c>
      <c r="CI89" s="31" t="n">
        <v>0</v>
      </c>
      <c r="CJ89" s="31" t="n">
        <v>0</v>
      </c>
      <c r="CK89" s="31" t="n">
        <v>0</v>
      </c>
      <c r="CL89" s="31" t="n">
        <v>320968.379305809</v>
      </c>
      <c r="CM89" s="31" t="n">
        <v>0</v>
      </c>
      <c r="CN89" s="31" t="n">
        <v>0</v>
      </c>
      <c r="CO89" s="31" t="n">
        <v>0</v>
      </c>
      <c r="CP89" s="31" t="n">
        <v>0</v>
      </c>
      <c r="CQ89" s="31" t="n">
        <v>21515.6222164097</v>
      </c>
      <c r="CR89" s="31" t="n">
        <v>1735.988008421782</v>
      </c>
      <c r="CS89" s="31" t="n">
        <v>0</v>
      </c>
      <c r="CT89" s="31" t="n">
        <v>0</v>
      </c>
      <c r="CU89" s="31" t="n">
        <v>76096.3951743217</v>
      </c>
      <c r="CV89" s="31" t="n">
        <v>0</v>
      </c>
      <c r="CW89" s="31" t="n">
        <v>0</v>
      </c>
      <c r="CX89" s="31" t="n">
        <v>0</v>
      </c>
      <c r="CY89" s="31" t="n">
        <v>0</v>
      </c>
      <c r="CZ89" s="31" t="n">
        <v>0</v>
      </c>
      <c r="DA89" s="31" t="n">
        <v>0</v>
      </c>
      <c r="DB89" s="31" t="n">
        <v>0</v>
      </c>
      <c r="DC89" s="31" t="n">
        <v>91261.85212075485</v>
      </c>
      <c r="DD89" s="31" t="n">
        <v>0</v>
      </c>
      <c r="DE89" s="31" t="n">
        <v>0</v>
      </c>
      <c r="DF89" s="31">
        <f>SUM(C89:DE89)</f>
        <v/>
      </c>
      <c r="DG89" s="31" t="n">
        <v>0</v>
      </c>
      <c r="DH89" s="31" t="n">
        <v>0</v>
      </c>
      <c r="DI89" s="31" t="n">
        <v>8533459.586322201</v>
      </c>
      <c r="DJ89" s="31" t="n">
        <v>0</v>
      </c>
      <c r="DK89" s="31">
        <f>SUM(DG89:DJ89)</f>
        <v/>
      </c>
      <c r="DL89" s="31">
        <f>DF89+DK89</f>
        <v/>
      </c>
    </row>
    <row r="90">
      <c r="A90" s="28" t="inlineStr">
        <is>
          <t>602</t>
        </is>
      </c>
      <c r="B90" s="28" t="inlineStr">
        <is>
          <t>Servicio de transporte automotor</t>
        </is>
      </c>
      <c r="C90" s="29" t="n">
        <v>141038353.8194771</v>
      </c>
      <c r="D90" s="29" t="n">
        <v>7092344.781568434</v>
      </c>
      <c r="E90" s="29" t="n">
        <v>0</v>
      </c>
      <c r="F90" s="29" t="n">
        <v>0</v>
      </c>
      <c r="G90" s="29" t="n">
        <v>0</v>
      </c>
      <c r="H90" s="29" t="n">
        <v>0</v>
      </c>
      <c r="I90" s="29" t="n">
        <v>365206.2184089003</v>
      </c>
      <c r="J90" s="29" t="n">
        <v>0</v>
      </c>
      <c r="K90" s="29" t="n">
        <v>0</v>
      </c>
      <c r="L90" s="29" t="n">
        <v>1096677.27784076</v>
      </c>
      <c r="M90" s="29" t="n">
        <v>2840373.242929942</v>
      </c>
      <c r="N90" s="29" t="n">
        <v>4997670.927949367</v>
      </c>
      <c r="O90" s="29" t="n">
        <v>1079260.938932863</v>
      </c>
      <c r="P90" s="29" t="n">
        <v>1945392.731934285</v>
      </c>
      <c r="Q90" s="29" t="n">
        <v>4271588.258525383</v>
      </c>
      <c r="R90" s="29" t="n">
        <v>10848992.70345841</v>
      </c>
      <c r="S90" s="29" t="n">
        <v>5482311.423843171</v>
      </c>
      <c r="T90" s="29" t="n">
        <v>1817133.981196524</v>
      </c>
      <c r="U90" s="29" t="n">
        <v>5535260.301835562</v>
      </c>
      <c r="V90" s="29" t="n">
        <v>2333195.286262962</v>
      </c>
      <c r="W90" s="29" t="n">
        <v>1294432.926039538</v>
      </c>
      <c r="X90" s="29" t="n">
        <v>356901.1739850224</v>
      </c>
      <c r="Y90" s="29" t="n">
        <v>4482654.656055088</v>
      </c>
      <c r="Z90" s="29" t="n">
        <v>479421.6648962609</v>
      </c>
      <c r="AA90" s="29" t="n">
        <v>2546392.390579655</v>
      </c>
      <c r="AB90" s="29" t="n">
        <v>4344698.391303869</v>
      </c>
      <c r="AC90" s="29" t="n">
        <v>6692940.974113922</v>
      </c>
      <c r="AD90" s="29" t="n">
        <v>684024.2109511772</v>
      </c>
      <c r="AE90" s="29" t="n">
        <v>1644694.419443646</v>
      </c>
      <c r="AF90" s="29" t="n">
        <v>269717.7481440649</v>
      </c>
      <c r="AG90" s="29" t="n">
        <v>364420.5276698379</v>
      </c>
      <c r="AH90" s="29" t="n">
        <v>263932.537459254</v>
      </c>
      <c r="AI90" s="29" t="n">
        <v>2543684.254516997</v>
      </c>
      <c r="AJ90" s="29" t="n">
        <v>4522720.930966727</v>
      </c>
      <c r="AK90" s="29" t="n">
        <v>1064877.429590414</v>
      </c>
      <c r="AL90" s="29" t="n">
        <v>611220.1848006978</v>
      </c>
      <c r="AM90" s="29" t="n">
        <v>21377414.33110684</v>
      </c>
      <c r="AN90" s="29" t="n">
        <v>5135613.764608314</v>
      </c>
      <c r="AO90" s="29" t="n">
        <v>517078.8081759966</v>
      </c>
      <c r="AP90" s="29" t="n">
        <v>2296417.116319127</v>
      </c>
      <c r="AQ90" s="29" t="n">
        <v>5771755.785024132</v>
      </c>
      <c r="AR90" s="29" t="n">
        <v>613605.6611606887</v>
      </c>
      <c r="AS90" s="29" t="n">
        <v>2399326.172734113</v>
      </c>
      <c r="AT90" s="29" t="n">
        <v>576474.884243522</v>
      </c>
      <c r="AU90" s="29" t="n">
        <v>7088921.50727177</v>
      </c>
      <c r="AV90" s="29" t="n">
        <v>8810968.011838136</v>
      </c>
      <c r="AW90" s="29" t="n">
        <v>292397.4740717089</v>
      </c>
      <c r="AX90" s="29" t="n">
        <v>422994.1333661067</v>
      </c>
      <c r="AY90" s="29" t="n">
        <v>685528.0154257576</v>
      </c>
      <c r="AZ90" s="29" t="n">
        <v>1169953.736567128</v>
      </c>
      <c r="BA90" s="29" t="n">
        <v>548529.205871642</v>
      </c>
      <c r="BB90" s="29" t="n">
        <v>1012371.214984662</v>
      </c>
      <c r="BC90" s="29" t="n">
        <v>638808.8965959438</v>
      </c>
      <c r="BD90" s="29" t="n">
        <v>34858.9088644508</v>
      </c>
      <c r="BE90" s="29" t="n">
        <v>267769.1101280008</v>
      </c>
      <c r="BF90" s="29" t="n">
        <v>222012.1656011418</v>
      </c>
      <c r="BG90" s="29" t="n">
        <v>174638.2373579576</v>
      </c>
      <c r="BH90" s="29" t="n">
        <v>1523712.115998074</v>
      </c>
      <c r="BI90" s="29" t="n">
        <v>251938.6446486738</v>
      </c>
      <c r="BJ90" s="29" t="n">
        <v>224939.4443669313</v>
      </c>
      <c r="BK90" s="29" t="n">
        <v>1921674.877215257</v>
      </c>
      <c r="BL90" s="29" t="n">
        <v>1070038.836224443</v>
      </c>
      <c r="BM90" s="29" t="n">
        <v>170150.4281394962</v>
      </c>
      <c r="BN90" s="29" t="n">
        <v>840819.3063474471</v>
      </c>
      <c r="BO90" s="29" t="n">
        <v>765271.6156865269</v>
      </c>
      <c r="BP90" s="29" t="n">
        <v>2968880.946040691</v>
      </c>
      <c r="BQ90" s="29" t="n">
        <v>2021474.989506077</v>
      </c>
      <c r="BR90" s="29" t="n">
        <v>4937.2657083691</v>
      </c>
      <c r="BS90" s="29" t="n">
        <v>0</v>
      </c>
      <c r="BT90" s="29" t="n">
        <v>927162.0804955956</v>
      </c>
      <c r="BU90" s="29" t="n">
        <v>10279372.64041583</v>
      </c>
      <c r="BV90" s="29" t="n">
        <v>6234499.202534045</v>
      </c>
      <c r="BW90" s="29" t="n">
        <v>0</v>
      </c>
      <c r="BX90" s="29" t="n">
        <v>163966.42019138</v>
      </c>
      <c r="BY90" s="29" t="n">
        <v>94400.52953628871</v>
      </c>
      <c r="BZ90" s="29" t="n">
        <v>1627.942874235208</v>
      </c>
      <c r="CA90" s="29" t="n">
        <v>0</v>
      </c>
      <c r="CB90" s="29" t="n">
        <v>0</v>
      </c>
      <c r="CC90" s="29" t="n">
        <v>0</v>
      </c>
      <c r="CD90" s="29" t="n">
        <v>375317.7462222301</v>
      </c>
      <c r="CE90" s="29" t="n">
        <v>2337.750477631877</v>
      </c>
      <c r="CF90" s="29" t="n">
        <v>2933606.894204346</v>
      </c>
      <c r="CG90" s="29" t="n">
        <v>288762.0629654075</v>
      </c>
      <c r="CH90" s="29" t="n">
        <v>97986.17654659327</v>
      </c>
      <c r="CI90" s="29" t="n">
        <v>60244.65780016084</v>
      </c>
      <c r="CJ90" s="29" t="n">
        <v>0</v>
      </c>
      <c r="CK90" s="29" t="n">
        <v>0</v>
      </c>
      <c r="CL90" s="29" t="n">
        <v>1711054.522969952</v>
      </c>
      <c r="CM90" s="29" t="n">
        <v>45046.1810023577</v>
      </c>
      <c r="CN90" s="29" t="n">
        <v>0</v>
      </c>
      <c r="CO90" s="29" t="n">
        <v>0</v>
      </c>
      <c r="CP90" s="29" t="n">
        <v>2178909.574671497</v>
      </c>
      <c r="CQ90" s="29" t="n">
        <v>444323.940438504</v>
      </c>
      <c r="CR90" s="29" t="n">
        <v>927149.4858498247</v>
      </c>
      <c r="CS90" s="29" t="n">
        <v>586.9781119133277</v>
      </c>
      <c r="CT90" s="29" t="n">
        <v>535.9755657077955</v>
      </c>
      <c r="CU90" s="29" t="n">
        <v>3986599.524848873</v>
      </c>
      <c r="CV90" s="29" t="n">
        <v>28594.58884434459</v>
      </c>
      <c r="CW90" s="29" t="n">
        <v>4266842.437171815</v>
      </c>
      <c r="CX90" s="29" t="n">
        <v>1736781.573535817</v>
      </c>
      <c r="CY90" s="29" t="n">
        <v>987278.4233915068</v>
      </c>
      <c r="CZ90" s="29" t="n">
        <v>428056.5020399606</v>
      </c>
      <c r="DA90" s="29" t="n">
        <v>678975.6176438284</v>
      </c>
      <c r="DB90" s="29" t="n">
        <v>808253.6064771402</v>
      </c>
      <c r="DC90" s="29" t="n">
        <v>1049474.430822107</v>
      </c>
      <c r="DD90" s="29" t="n">
        <v>0</v>
      </c>
      <c r="DE90" s="29" t="n">
        <v>0</v>
      </c>
      <c r="DF90" s="29">
        <f>SUM(C90:DE90)</f>
        <v/>
      </c>
      <c r="DG90" s="29" t="n">
        <v>0</v>
      </c>
      <c r="DH90" s="29" t="n">
        <v>0</v>
      </c>
      <c r="DI90" s="29" t="n">
        <v>379360199.1952859</v>
      </c>
      <c r="DJ90" s="29" t="n">
        <v>0</v>
      </c>
      <c r="DK90" s="29">
        <f>SUM(DG90:DJ90)</f>
        <v/>
      </c>
      <c r="DL90" s="29">
        <f>DF90+DK90</f>
        <v/>
      </c>
    </row>
    <row r="91">
      <c r="A91" s="30" t="inlineStr">
        <is>
          <t>603</t>
        </is>
      </c>
      <c r="B91" s="30" t="inlineStr">
        <is>
          <t>Transporte por tuberías</t>
        </is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  <c r="H91" s="31" t="n">
        <v>0</v>
      </c>
      <c r="I91" s="31" t="n">
        <v>0</v>
      </c>
      <c r="J91" s="31" t="n">
        <v>1382089.322385081</v>
      </c>
      <c r="K91" s="31" t="n">
        <v>0</v>
      </c>
      <c r="L91" s="31" t="n">
        <v>0</v>
      </c>
      <c r="M91" s="31" t="n">
        <v>0</v>
      </c>
      <c r="N91" s="31" t="n">
        <v>0</v>
      </c>
      <c r="O91" s="31" t="n">
        <v>0</v>
      </c>
      <c r="P91" s="31" t="n">
        <v>0</v>
      </c>
      <c r="Q91" s="31" t="n">
        <v>0</v>
      </c>
      <c r="R91" s="31" t="n">
        <v>0</v>
      </c>
      <c r="S91" s="31" t="n">
        <v>0</v>
      </c>
      <c r="T91" s="31" t="n">
        <v>0</v>
      </c>
      <c r="U91" s="31" t="n">
        <v>0</v>
      </c>
      <c r="V91" s="31" t="n">
        <v>0</v>
      </c>
      <c r="W91" s="31" t="n">
        <v>0</v>
      </c>
      <c r="X91" s="31" t="n">
        <v>0</v>
      </c>
      <c r="Y91" s="31" t="n">
        <v>0</v>
      </c>
      <c r="Z91" s="31" t="n">
        <v>0</v>
      </c>
      <c r="AA91" s="31" t="n">
        <v>0</v>
      </c>
      <c r="AB91" s="31" t="n">
        <v>0</v>
      </c>
      <c r="AC91" s="31" t="n">
        <v>0</v>
      </c>
      <c r="AD91" s="31" t="n">
        <v>0</v>
      </c>
      <c r="AE91" s="31" t="n">
        <v>0</v>
      </c>
      <c r="AF91" s="31" t="n">
        <v>0</v>
      </c>
      <c r="AG91" s="31" t="n">
        <v>0</v>
      </c>
      <c r="AH91" s="31" t="n">
        <v>0</v>
      </c>
      <c r="AI91" s="31" t="n">
        <v>0</v>
      </c>
      <c r="AJ91" s="31" t="n">
        <v>0</v>
      </c>
      <c r="AK91" s="31" t="n">
        <v>0</v>
      </c>
      <c r="AL91" s="31" t="n">
        <v>0</v>
      </c>
      <c r="AM91" s="31" t="n">
        <v>0</v>
      </c>
      <c r="AN91" s="31" t="n">
        <v>0</v>
      </c>
      <c r="AO91" s="31" t="n">
        <v>0</v>
      </c>
      <c r="AP91" s="31" t="n">
        <v>0</v>
      </c>
      <c r="AQ91" s="31" t="n">
        <v>0</v>
      </c>
      <c r="AR91" s="31" t="n">
        <v>0</v>
      </c>
      <c r="AS91" s="31" t="n">
        <v>0</v>
      </c>
      <c r="AT91" s="31" t="n">
        <v>0</v>
      </c>
      <c r="AU91" s="31" t="n">
        <v>0</v>
      </c>
      <c r="AV91" s="31" t="n">
        <v>0</v>
      </c>
      <c r="AW91" s="31" t="n">
        <v>0</v>
      </c>
      <c r="AX91" s="31" t="n">
        <v>0</v>
      </c>
      <c r="AY91" s="31" t="n">
        <v>0</v>
      </c>
      <c r="AZ91" s="31" t="n">
        <v>0</v>
      </c>
      <c r="BA91" s="31" t="n">
        <v>0</v>
      </c>
      <c r="BB91" s="31" t="n">
        <v>0</v>
      </c>
      <c r="BC91" s="31" t="n">
        <v>0</v>
      </c>
      <c r="BD91" s="31" t="n">
        <v>0</v>
      </c>
      <c r="BE91" s="31" t="n">
        <v>0</v>
      </c>
      <c r="BF91" s="31" t="n">
        <v>0</v>
      </c>
      <c r="BG91" s="31" t="n">
        <v>0</v>
      </c>
      <c r="BH91" s="31" t="n">
        <v>0</v>
      </c>
      <c r="BI91" s="31" t="n">
        <v>0</v>
      </c>
      <c r="BJ91" s="31" t="n">
        <v>0</v>
      </c>
      <c r="BK91" s="31" t="n">
        <v>0</v>
      </c>
      <c r="BL91" s="31" t="n">
        <v>0</v>
      </c>
      <c r="BM91" s="31" t="n">
        <v>0</v>
      </c>
      <c r="BN91" s="31" t="n">
        <v>0</v>
      </c>
      <c r="BO91" s="31" t="n">
        <v>0</v>
      </c>
      <c r="BP91" s="31" t="n">
        <v>0</v>
      </c>
      <c r="BQ91" s="31" t="n">
        <v>18033358.07277238</v>
      </c>
      <c r="BR91" s="31" t="n">
        <v>0</v>
      </c>
      <c r="BS91" s="31" t="n">
        <v>0</v>
      </c>
      <c r="BT91" s="31" t="n">
        <v>0</v>
      </c>
      <c r="BU91" s="31" t="n">
        <v>0</v>
      </c>
      <c r="BV91" s="31" t="n">
        <v>0</v>
      </c>
      <c r="BW91" s="31" t="n">
        <v>0</v>
      </c>
      <c r="BX91" s="31" t="n">
        <v>0</v>
      </c>
      <c r="BY91" s="31" t="n">
        <v>0</v>
      </c>
      <c r="BZ91" s="31" t="n">
        <v>0</v>
      </c>
      <c r="CA91" s="31" t="n">
        <v>0</v>
      </c>
      <c r="CB91" s="31" t="n">
        <v>0</v>
      </c>
      <c r="CC91" s="31" t="n">
        <v>0</v>
      </c>
      <c r="CD91" s="31" t="n">
        <v>0</v>
      </c>
      <c r="CE91" s="31" t="n">
        <v>0</v>
      </c>
      <c r="CF91" s="31" t="n">
        <v>0</v>
      </c>
      <c r="CG91" s="31" t="n">
        <v>0</v>
      </c>
      <c r="CH91" s="31" t="n">
        <v>0</v>
      </c>
      <c r="CI91" s="31" t="n">
        <v>0</v>
      </c>
      <c r="CJ91" s="31" t="n">
        <v>0</v>
      </c>
      <c r="CK91" s="31" t="n">
        <v>0</v>
      </c>
      <c r="CL91" s="31" t="n">
        <v>0</v>
      </c>
      <c r="CM91" s="31" t="n">
        <v>0</v>
      </c>
      <c r="CN91" s="31" t="n">
        <v>0</v>
      </c>
      <c r="CO91" s="31" t="n">
        <v>0</v>
      </c>
      <c r="CP91" s="31" t="n">
        <v>0</v>
      </c>
      <c r="CQ91" s="31" t="n">
        <v>0</v>
      </c>
      <c r="CR91" s="31" t="n">
        <v>0</v>
      </c>
      <c r="CS91" s="31" t="n">
        <v>0</v>
      </c>
      <c r="CT91" s="31" t="n">
        <v>0</v>
      </c>
      <c r="CU91" s="31" t="n">
        <v>0</v>
      </c>
      <c r="CV91" s="31" t="n">
        <v>0</v>
      </c>
      <c r="CW91" s="31" t="n">
        <v>0</v>
      </c>
      <c r="CX91" s="31" t="n">
        <v>0</v>
      </c>
      <c r="CY91" s="31" t="n">
        <v>0</v>
      </c>
      <c r="CZ91" s="31" t="n">
        <v>0</v>
      </c>
      <c r="DA91" s="31" t="n">
        <v>0</v>
      </c>
      <c r="DB91" s="31" t="n">
        <v>0</v>
      </c>
      <c r="DC91" s="31" t="n">
        <v>0</v>
      </c>
      <c r="DD91" s="31" t="n">
        <v>0</v>
      </c>
      <c r="DE91" s="31" t="n">
        <v>0</v>
      </c>
      <c r="DF91" s="31">
        <f>SUM(C91:DE91)</f>
        <v/>
      </c>
      <c r="DG91" s="31" t="n">
        <v>0</v>
      </c>
      <c r="DH91" s="31" t="n">
        <v>0</v>
      </c>
      <c r="DI91" s="31" t="n">
        <v>0</v>
      </c>
      <c r="DJ91" s="31" t="n">
        <v>0</v>
      </c>
      <c r="DK91" s="31">
        <f>SUM(DG91:DJ91)</f>
        <v/>
      </c>
      <c r="DL91" s="31">
        <f>DF91+DK91</f>
        <v/>
      </c>
    </row>
    <row r="92">
      <c r="A92" s="28" t="inlineStr">
        <is>
          <t>61</t>
        </is>
      </c>
      <c r="B92" s="28" t="inlineStr">
        <is>
          <t>TRANSPORTE POR VÍA ACUÁTICA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34105.31934571347</v>
      </c>
      <c r="I92" s="29" t="n">
        <v>6.421276227747267</v>
      </c>
      <c r="J92" s="29" t="n">
        <v>0</v>
      </c>
      <c r="K92" s="29" t="n">
        <v>0</v>
      </c>
      <c r="L92" s="29" t="n">
        <v>0</v>
      </c>
      <c r="M92" s="29" t="n">
        <v>61.49835572334951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0</v>
      </c>
      <c r="BG92" s="29" t="n">
        <v>0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148460.7102067713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0</v>
      </c>
      <c r="CA92" s="29" t="n">
        <v>0</v>
      </c>
      <c r="CB92" s="29" t="n">
        <v>0</v>
      </c>
      <c r="CC92" s="29" t="n">
        <v>0</v>
      </c>
      <c r="CD92" s="29" t="n">
        <v>0</v>
      </c>
      <c r="CE92" s="29" t="n">
        <v>361917.9635715795</v>
      </c>
      <c r="CF92" s="29" t="n">
        <v>106099.8195502022</v>
      </c>
      <c r="CG92" s="29" t="n">
        <v>190.767021222637</v>
      </c>
      <c r="CH92" s="29" t="n">
        <v>795.5273841536116</v>
      </c>
      <c r="CI92" s="29" t="n">
        <v>489.1126148411578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10284.62912920841</v>
      </c>
      <c r="CS92" s="29" t="n">
        <v>0</v>
      </c>
      <c r="CT92" s="29" t="n">
        <v>0</v>
      </c>
      <c r="CU92" s="29" t="n">
        <v>25.70536944492614</v>
      </c>
      <c r="CV92" s="29" t="n">
        <v>0</v>
      </c>
      <c r="CW92" s="29" t="n">
        <v>0</v>
      </c>
      <c r="CX92" s="29" t="n">
        <v>0</v>
      </c>
      <c r="CY92" s="29" t="n">
        <v>0</v>
      </c>
      <c r="CZ92" s="29" t="n">
        <v>0</v>
      </c>
      <c r="DA92" s="29" t="n">
        <v>0</v>
      </c>
      <c r="DB92" s="29" t="n">
        <v>0</v>
      </c>
      <c r="DC92" s="29" t="n">
        <v>0</v>
      </c>
      <c r="DD92" s="29" t="n">
        <v>0</v>
      </c>
      <c r="DE92" s="29" t="n">
        <v>0</v>
      </c>
      <c r="DF92" s="29">
        <f>SUM(C92:DE92)</f>
        <v/>
      </c>
      <c r="DG92" s="29" t="n">
        <v>0</v>
      </c>
      <c r="DH92" s="29" t="n">
        <v>0</v>
      </c>
      <c r="DI92" s="29" t="n">
        <v>2749124.369293509</v>
      </c>
      <c r="DJ92" s="29" t="n">
        <v>0</v>
      </c>
      <c r="DK92" s="29">
        <f>SUM(DG92:DJ92)</f>
        <v/>
      </c>
      <c r="DL92" s="29">
        <f>DF92+DK92</f>
        <v/>
      </c>
    </row>
    <row r="93">
      <c r="A93" s="30" t="inlineStr">
        <is>
          <t>62</t>
        </is>
      </c>
      <c r="B93" s="30" t="inlineStr">
        <is>
          <t>TRANSPORTE POR VÍA AÉREA</t>
        </is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0</v>
      </c>
      <c r="H93" s="31" t="n">
        <v>30507.11159067244</v>
      </c>
      <c r="I93" s="31" t="n">
        <v>2663.854656668445</v>
      </c>
      <c r="J93" s="31" t="n">
        <v>424136.7681367378</v>
      </c>
      <c r="K93" s="31" t="n">
        <v>471922.1468387443</v>
      </c>
      <c r="L93" s="31" t="n">
        <v>63673.46574184697</v>
      </c>
      <c r="M93" s="31" t="n">
        <v>25512.47999005542</v>
      </c>
      <c r="N93" s="31" t="n">
        <v>122565.7095466224</v>
      </c>
      <c r="O93" s="31" t="n">
        <v>105794.9875846136</v>
      </c>
      <c r="P93" s="31" t="n">
        <v>44113.89047064656</v>
      </c>
      <c r="Q93" s="31" t="n">
        <v>54329.57247940144</v>
      </c>
      <c r="R93" s="31" t="n">
        <v>75902.84921423333</v>
      </c>
      <c r="S93" s="31" t="n">
        <v>69874.23856968943</v>
      </c>
      <c r="T93" s="31" t="n">
        <v>62649.41093498723</v>
      </c>
      <c r="U93" s="31" t="n">
        <v>87945.90322516952</v>
      </c>
      <c r="V93" s="31" t="n">
        <v>8341.188541228938</v>
      </c>
      <c r="W93" s="31" t="n">
        <v>65390.97111361911</v>
      </c>
      <c r="X93" s="31" t="n">
        <v>14428.18050005289</v>
      </c>
      <c r="Y93" s="31" t="n">
        <v>131376.9360563026</v>
      </c>
      <c r="Z93" s="31" t="n">
        <v>35804.0198184812</v>
      </c>
      <c r="AA93" s="31" t="n">
        <v>110584.2689072447</v>
      </c>
      <c r="AB93" s="31" t="n">
        <v>39294.86989468372</v>
      </c>
      <c r="AC93" s="31" t="n">
        <v>61402.7938722073</v>
      </c>
      <c r="AD93" s="31" t="n">
        <v>37201.6615859591</v>
      </c>
      <c r="AE93" s="31" t="n">
        <v>73980.20161984669</v>
      </c>
      <c r="AF93" s="31" t="n">
        <v>70298.4392013906</v>
      </c>
      <c r="AG93" s="31" t="n">
        <v>21811.18693373003</v>
      </c>
      <c r="AH93" s="31" t="n">
        <v>18188.61455626068</v>
      </c>
      <c r="AI93" s="31" t="n">
        <v>46719.28127871637</v>
      </c>
      <c r="AJ93" s="31" t="n">
        <v>110354.3752220547</v>
      </c>
      <c r="AK93" s="31" t="n">
        <v>227189.6425765127</v>
      </c>
      <c r="AL93" s="31" t="n">
        <v>102858.9929852119</v>
      </c>
      <c r="AM93" s="31" t="n">
        <v>69425.94628829313</v>
      </c>
      <c r="AN93" s="31" t="n">
        <v>131626.4600917039</v>
      </c>
      <c r="AO93" s="31" t="n">
        <v>39514.23111001951</v>
      </c>
      <c r="AP93" s="31" t="n">
        <v>46802.1646893252</v>
      </c>
      <c r="AQ93" s="31" t="n">
        <v>1060347.525780712</v>
      </c>
      <c r="AR93" s="31" t="n">
        <v>61885.85983130453</v>
      </c>
      <c r="AS93" s="31" t="n">
        <v>242425.2112670779</v>
      </c>
      <c r="AT93" s="31" t="n">
        <v>22918.70895178382</v>
      </c>
      <c r="AU93" s="31" t="n">
        <v>179323.7287302548</v>
      </c>
      <c r="AV93" s="31" t="n">
        <v>178081.7798305462</v>
      </c>
      <c r="AW93" s="31" t="n">
        <v>24048.69948040474</v>
      </c>
      <c r="AX93" s="31" t="n">
        <v>37484.88479861509</v>
      </c>
      <c r="AY93" s="31" t="n">
        <v>76031.35610023323</v>
      </c>
      <c r="AZ93" s="31" t="n">
        <v>160502.5443754984</v>
      </c>
      <c r="BA93" s="31" t="n">
        <v>104825.7693208516</v>
      </c>
      <c r="BB93" s="31" t="n">
        <v>210113.5461418252</v>
      </c>
      <c r="BC93" s="31" t="n">
        <v>59711.99697843834</v>
      </c>
      <c r="BD93" s="31" t="n">
        <v>9520.804858983181</v>
      </c>
      <c r="BE93" s="31" t="n">
        <v>77955.03410375261</v>
      </c>
      <c r="BF93" s="31" t="n">
        <v>24611.0405599283</v>
      </c>
      <c r="BG93" s="31" t="n">
        <v>30450.72941916951</v>
      </c>
      <c r="BH93" s="31" t="n">
        <v>528751.3320726069</v>
      </c>
      <c r="BI93" s="31" t="n">
        <v>6542.010080833743</v>
      </c>
      <c r="BJ93" s="31" t="n">
        <v>59661.32969569178</v>
      </c>
      <c r="BK93" s="31" t="n">
        <v>145756.4163282435</v>
      </c>
      <c r="BL93" s="31" t="n">
        <v>120238.5275086758</v>
      </c>
      <c r="BM93" s="31" t="n">
        <v>42721.94553751899</v>
      </c>
      <c r="BN93" s="31" t="n">
        <v>98101.55577148516</v>
      </c>
      <c r="BO93" s="31" t="n">
        <v>62575.11331117627</v>
      </c>
      <c r="BP93" s="31" t="n">
        <v>146633.8257370202</v>
      </c>
      <c r="BQ93" s="31" t="n">
        <v>151853.2904815691</v>
      </c>
      <c r="BR93" s="31" t="n">
        <v>8678.861090761733</v>
      </c>
      <c r="BS93" s="31" t="n">
        <v>0</v>
      </c>
      <c r="BT93" s="31" t="n">
        <v>131117.7510509887</v>
      </c>
      <c r="BU93" s="31" t="n">
        <v>319107.0893157187</v>
      </c>
      <c r="BV93" s="31" t="n">
        <v>413634.2104659269</v>
      </c>
      <c r="BW93" s="31" t="n">
        <v>0</v>
      </c>
      <c r="BX93" s="31" t="n">
        <v>32530.74841172769</v>
      </c>
      <c r="BY93" s="31" t="n">
        <v>0</v>
      </c>
      <c r="BZ93" s="31" t="n">
        <v>0</v>
      </c>
      <c r="CA93" s="31" t="n">
        <v>0</v>
      </c>
      <c r="CB93" s="31" t="n">
        <v>0</v>
      </c>
      <c r="CC93" s="31" t="n">
        <v>0</v>
      </c>
      <c r="CD93" s="31" t="n">
        <v>3025376.11502543</v>
      </c>
      <c r="CE93" s="31" t="n">
        <v>791209.0261110975</v>
      </c>
      <c r="CF93" s="31" t="n">
        <v>978524.9024029743</v>
      </c>
      <c r="CG93" s="31" t="n">
        <v>421964.3023169705</v>
      </c>
      <c r="CH93" s="31" t="n">
        <v>393263.9869167347</v>
      </c>
      <c r="CI93" s="31" t="n">
        <v>241789.762106494</v>
      </c>
      <c r="CJ93" s="31" t="n">
        <v>323362.3552101277</v>
      </c>
      <c r="CK93" s="31" t="n">
        <v>30018.24317051498</v>
      </c>
      <c r="CL93" s="31" t="n">
        <v>339396.0724225963</v>
      </c>
      <c r="CM93" s="31" t="n">
        <v>14685.53944407767</v>
      </c>
      <c r="CN93" s="31" t="n">
        <v>0</v>
      </c>
      <c r="CO93" s="31" t="n">
        <v>0</v>
      </c>
      <c r="CP93" s="31" t="n">
        <v>129709.2999463657</v>
      </c>
      <c r="CQ93" s="31" t="n">
        <v>94626.74144913822</v>
      </c>
      <c r="CR93" s="31" t="n">
        <v>638205.3913882342</v>
      </c>
      <c r="CS93" s="31" t="n">
        <v>138138.9221519762</v>
      </c>
      <c r="CT93" s="31" t="n">
        <v>126136.0269556407</v>
      </c>
      <c r="CU93" s="31" t="n">
        <v>2566530.654739629</v>
      </c>
      <c r="CV93" s="31" t="n">
        <v>6729425.854502643</v>
      </c>
      <c r="CW93" s="31" t="n">
        <v>822839.6506499161</v>
      </c>
      <c r="CX93" s="31" t="n">
        <v>143743.9211285713</v>
      </c>
      <c r="CY93" s="31" t="n">
        <v>28595.09991044787</v>
      </c>
      <c r="CZ93" s="31" t="n">
        <v>22496.00105107589</v>
      </c>
      <c r="DA93" s="31" t="n">
        <v>34871.07624645632</v>
      </c>
      <c r="DB93" s="31" t="n">
        <v>386727.8191427055</v>
      </c>
      <c r="DC93" s="31" t="n">
        <v>2268070.488347435</v>
      </c>
      <c r="DD93" s="31" t="n">
        <v>0</v>
      </c>
      <c r="DE93" s="31" t="n">
        <v>0</v>
      </c>
      <c r="DF93" s="31">
        <f>SUM(C93:DE93)</f>
        <v/>
      </c>
      <c r="DG93" s="31" t="n">
        <v>0</v>
      </c>
      <c r="DH93" s="31" t="n">
        <v>0</v>
      </c>
      <c r="DI93" s="31" t="n">
        <v>127047854.0121692</v>
      </c>
      <c r="DJ93" s="31" t="n">
        <v>0</v>
      </c>
      <c r="DK93" s="31">
        <f>SUM(DG93:DJ93)</f>
        <v/>
      </c>
      <c r="DL93" s="31">
        <f>DF93+DK93</f>
        <v/>
      </c>
    </row>
    <row r="94">
      <c r="A94" s="28" t="inlineStr">
        <is>
          <t>63</t>
        </is>
      </c>
      <c r="B94" s="28" t="inlineStr">
        <is>
          <t>ACTIVIDADES DE TRANSPORTE COMPLEMENTARIAS Y AUXILIARES; ACTIVIDADES DE AGENCIAS DE VIAJES</t>
        </is>
      </c>
      <c r="C94" s="29" t="n">
        <v>2805128.080238568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0</v>
      </c>
      <c r="I94" s="29" t="n">
        <v>15629.08929896573</v>
      </c>
      <c r="J94" s="29" t="n">
        <v>972579.889773795</v>
      </c>
      <c r="K94" s="29" t="n">
        <v>2366185.495848016</v>
      </c>
      <c r="L94" s="29" t="n">
        <v>364535.6922037564</v>
      </c>
      <c r="M94" s="29" t="n">
        <v>370222.7776951869</v>
      </c>
      <c r="N94" s="29" t="n">
        <v>0</v>
      </c>
      <c r="O94" s="29" t="n">
        <v>0</v>
      </c>
      <c r="P94" s="29" t="n">
        <v>0</v>
      </c>
      <c r="Q94" s="29" t="n">
        <v>1777329.373150523</v>
      </c>
      <c r="R94" s="29" t="n">
        <v>0</v>
      </c>
      <c r="S94" s="29" t="n">
        <v>0</v>
      </c>
      <c r="T94" s="29" t="n">
        <v>0</v>
      </c>
      <c r="U94" s="29" t="n">
        <v>0</v>
      </c>
      <c r="V94" s="29" t="n">
        <v>0</v>
      </c>
      <c r="W94" s="29" t="n">
        <v>0</v>
      </c>
      <c r="X94" s="29" t="n">
        <v>0</v>
      </c>
      <c r="Y94" s="29" t="n">
        <v>0</v>
      </c>
      <c r="Z94" s="29" t="n">
        <v>0</v>
      </c>
      <c r="AA94" s="29" t="n">
        <v>0</v>
      </c>
      <c r="AB94" s="29" t="n">
        <v>0</v>
      </c>
      <c r="AC94" s="29" t="n">
        <v>0</v>
      </c>
      <c r="AD94" s="29" t="n">
        <v>0</v>
      </c>
      <c r="AE94" s="29" t="n">
        <v>0</v>
      </c>
      <c r="AF94" s="29" t="n">
        <v>0</v>
      </c>
      <c r="AG94" s="29" t="n">
        <v>0</v>
      </c>
      <c r="AH94" s="29" t="n">
        <v>93543.65121844856</v>
      </c>
      <c r="AI94" s="29" t="n">
        <v>0</v>
      </c>
      <c r="AJ94" s="29" t="n">
        <v>0</v>
      </c>
      <c r="AK94" s="29" t="n">
        <v>0</v>
      </c>
      <c r="AL94" s="29" t="n">
        <v>0</v>
      </c>
      <c r="AM94" s="29" t="n">
        <v>0</v>
      </c>
      <c r="AN94" s="29" t="n">
        <v>0</v>
      </c>
      <c r="AO94" s="29" t="n">
        <v>0</v>
      </c>
      <c r="AP94" s="29" t="n">
        <v>0</v>
      </c>
      <c r="AQ94" s="29" t="n">
        <v>0</v>
      </c>
      <c r="AR94" s="29" t="n">
        <v>0</v>
      </c>
      <c r="AS94" s="29" t="n">
        <v>0</v>
      </c>
      <c r="AT94" s="29" t="n">
        <v>0</v>
      </c>
      <c r="AU94" s="29" t="n">
        <v>13551.95402563095</v>
      </c>
      <c r="AV94" s="29" t="n">
        <v>381089.7205915247</v>
      </c>
      <c r="AW94" s="29" t="n">
        <v>0</v>
      </c>
      <c r="AX94" s="29" t="n">
        <v>0</v>
      </c>
      <c r="AY94" s="29" t="n">
        <v>476320.4726980447</v>
      </c>
      <c r="AZ94" s="29" t="n">
        <v>476320.4726980447</v>
      </c>
      <c r="BA94" s="29" t="n">
        <v>0</v>
      </c>
      <c r="BB94" s="29" t="n">
        <v>0</v>
      </c>
      <c r="BC94" s="29" t="n">
        <v>0</v>
      </c>
      <c r="BD94" s="29" t="n">
        <v>0</v>
      </c>
      <c r="BE94" s="29" t="n">
        <v>0</v>
      </c>
      <c r="BF94" s="29" t="n">
        <v>0</v>
      </c>
      <c r="BG94" s="29" t="n">
        <v>0</v>
      </c>
      <c r="BH94" s="29" t="n">
        <v>0</v>
      </c>
      <c r="BI94" s="29" t="n">
        <v>0</v>
      </c>
      <c r="BJ94" s="29" t="n">
        <v>0</v>
      </c>
      <c r="BK94" s="29" t="n">
        <v>0</v>
      </c>
      <c r="BL94" s="29" t="n">
        <v>0</v>
      </c>
      <c r="BM94" s="29" t="n">
        <v>0</v>
      </c>
      <c r="BN94" s="29" t="n">
        <v>0</v>
      </c>
      <c r="BO94" s="29" t="n">
        <v>0</v>
      </c>
      <c r="BP94" s="29" t="n">
        <v>763478.9821314259</v>
      </c>
      <c r="BQ94" s="29" t="n">
        <v>409088.592634958</v>
      </c>
      <c r="BR94" s="29" t="n">
        <v>65994.86252297345</v>
      </c>
      <c r="BS94" s="29" t="n">
        <v>0</v>
      </c>
      <c r="BT94" s="29" t="n">
        <v>122005.7866377044</v>
      </c>
      <c r="BU94" s="29" t="n">
        <v>10713558.17003742</v>
      </c>
      <c r="BV94" s="29" t="n">
        <v>6644690.423324943</v>
      </c>
      <c r="BW94" s="29" t="n">
        <v>0</v>
      </c>
      <c r="BX94" s="29" t="n">
        <v>20440.64168896104</v>
      </c>
      <c r="BY94" s="29" t="n">
        <v>1370821.872327736</v>
      </c>
      <c r="BZ94" s="29" t="n">
        <v>104873.0936270189</v>
      </c>
      <c r="CA94" s="29" t="n">
        <v>102842899.9382821</v>
      </c>
      <c r="CB94" s="29" t="n">
        <v>443059.9773924483</v>
      </c>
      <c r="CC94" s="29" t="n">
        <v>440679.9047004964</v>
      </c>
      <c r="CD94" s="29" t="n">
        <v>27944938.71489971</v>
      </c>
      <c r="CE94" s="29" t="n">
        <v>14398033.47476798</v>
      </c>
      <c r="CF94" s="29" t="n">
        <v>1679154.920431406</v>
      </c>
      <c r="CG94" s="29" t="n">
        <v>292252.1098840387</v>
      </c>
      <c r="CH94" s="29" t="n">
        <v>1064389.162372066</v>
      </c>
      <c r="CI94" s="29" t="n">
        <v>194164.7602675465</v>
      </c>
      <c r="CJ94" s="29" t="n">
        <v>504216.4277127199</v>
      </c>
      <c r="CK94" s="29" t="n">
        <v>733658.1793237312</v>
      </c>
      <c r="CL94" s="29" t="n">
        <v>3639448.151513049</v>
      </c>
      <c r="CM94" s="29" t="n">
        <v>1964.395649780595</v>
      </c>
      <c r="CN94" s="29" t="n">
        <v>0</v>
      </c>
      <c r="CO94" s="29" t="n">
        <v>0</v>
      </c>
      <c r="CP94" s="29" t="n">
        <v>182865.7093847847</v>
      </c>
      <c r="CQ94" s="29" t="n">
        <v>52154.97664829175</v>
      </c>
      <c r="CR94" s="29" t="n">
        <v>777941.7538266175</v>
      </c>
      <c r="CS94" s="29" t="n">
        <v>5122.378204042369</v>
      </c>
      <c r="CT94" s="29" t="n">
        <v>4677.294604276963</v>
      </c>
      <c r="CU94" s="29" t="n">
        <v>871716.6776182496</v>
      </c>
      <c r="CV94" s="29" t="n">
        <v>249536.2189441433</v>
      </c>
      <c r="CW94" s="29" t="n">
        <v>718079.2851040259</v>
      </c>
      <c r="CX94" s="29" t="n">
        <v>367698.8023064756</v>
      </c>
      <c r="CY94" s="29" t="n">
        <v>48704.96906895732</v>
      </c>
      <c r="CZ94" s="29" t="n">
        <v>103.8394020942142</v>
      </c>
      <c r="DA94" s="29" t="n">
        <v>0</v>
      </c>
      <c r="DB94" s="29" t="n">
        <v>714440.4035865662</v>
      </c>
      <c r="DC94" s="29" t="n">
        <v>254921.3424142416</v>
      </c>
      <c r="DD94" s="29" t="n">
        <v>12492.71128494387</v>
      </c>
      <c r="DE94" s="29" t="n">
        <v>0</v>
      </c>
      <c r="DF94" s="29">
        <f>SUM(C94:DE94)</f>
        <v/>
      </c>
      <c r="DG94" s="29" t="n">
        <v>0</v>
      </c>
      <c r="DH94" s="29" t="n">
        <v>0</v>
      </c>
      <c r="DI94" s="29" t="n">
        <v>88315537.52132568</v>
      </c>
      <c r="DJ94" s="29" t="n">
        <v>0</v>
      </c>
      <c r="DK94" s="29">
        <f>SUM(DG94:DJ94)</f>
        <v/>
      </c>
      <c r="DL94" s="29">
        <f>DF94+DK94</f>
        <v/>
      </c>
    </row>
    <row r="95">
      <c r="A95" s="30" t="inlineStr">
        <is>
          <t>641</t>
        </is>
      </c>
      <c r="B95" s="30" t="inlineStr">
        <is>
          <t>Servicios de correos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24065.74359744652</v>
      </c>
      <c r="I95" s="31" t="n">
        <v>377843.0108410246</v>
      </c>
      <c r="J95" s="31" t="n">
        <v>257231.7865571447</v>
      </c>
      <c r="K95" s="31" t="n">
        <v>1638414.993535973</v>
      </c>
      <c r="L95" s="31" t="n">
        <v>483.7427203648651</v>
      </c>
      <c r="M95" s="31" t="n">
        <v>28448.2645347981</v>
      </c>
      <c r="N95" s="31" t="n">
        <v>33422.15685863562</v>
      </c>
      <c r="O95" s="31" t="n">
        <v>22243.34416529107</v>
      </c>
      <c r="P95" s="31" t="n">
        <v>17965.5727038489</v>
      </c>
      <c r="Q95" s="31" t="n">
        <v>29428.3060332405</v>
      </c>
      <c r="R95" s="31" t="n">
        <v>31566.64426351406</v>
      </c>
      <c r="S95" s="31" t="n">
        <v>28351.32630627172</v>
      </c>
      <c r="T95" s="31" t="n">
        <v>20253.30620714337</v>
      </c>
      <c r="U95" s="31" t="n">
        <v>127033.101893113</v>
      </c>
      <c r="V95" s="31" t="n">
        <v>844.8177786881392</v>
      </c>
      <c r="W95" s="31" t="n">
        <v>60140.0493822463</v>
      </c>
      <c r="X95" s="31" t="n">
        <v>6840.129942171201</v>
      </c>
      <c r="Y95" s="31" t="n">
        <v>77660.34925004245</v>
      </c>
      <c r="Z95" s="31" t="n">
        <v>16156.57396341114</v>
      </c>
      <c r="AA95" s="31" t="n">
        <v>44320.10053487273</v>
      </c>
      <c r="AB95" s="31" t="n">
        <v>14139.94603098838</v>
      </c>
      <c r="AC95" s="31" t="n">
        <v>28156.47997235165</v>
      </c>
      <c r="AD95" s="31" t="n">
        <v>6708.755845497645</v>
      </c>
      <c r="AE95" s="31" t="n">
        <v>22925.88799421037</v>
      </c>
      <c r="AF95" s="31" t="n">
        <v>21823.6149504686</v>
      </c>
      <c r="AG95" s="31" t="n">
        <v>8962.31466662393</v>
      </c>
      <c r="AH95" s="31" t="n">
        <v>4872.917091346369</v>
      </c>
      <c r="AI95" s="31" t="n">
        <v>14917.605254435</v>
      </c>
      <c r="AJ95" s="31" t="n">
        <v>35683.05996869123</v>
      </c>
      <c r="AK95" s="31" t="n">
        <v>162221.20043671</v>
      </c>
      <c r="AL95" s="31" t="n">
        <v>65184.5394274361</v>
      </c>
      <c r="AM95" s="31" t="n">
        <v>26537.80091264514</v>
      </c>
      <c r="AN95" s="31" t="n">
        <v>58806.46555269093</v>
      </c>
      <c r="AO95" s="31" t="n">
        <v>8417.4694256902</v>
      </c>
      <c r="AP95" s="31" t="n">
        <v>12099.71034369919</v>
      </c>
      <c r="AQ95" s="31" t="n">
        <v>225049.0806465133</v>
      </c>
      <c r="AR95" s="31" t="n">
        <v>32956.64506239335</v>
      </c>
      <c r="AS95" s="31" t="n">
        <v>77621.50446505615</v>
      </c>
      <c r="AT95" s="31" t="n">
        <v>4696.876339529859</v>
      </c>
      <c r="AU95" s="31" t="n">
        <v>38556.29961119081</v>
      </c>
      <c r="AV95" s="31" t="n">
        <v>41153.65223058581</v>
      </c>
      <c r="AW95" s="31" t="n">
        <v>11182.03379560729</v>
      </c>
      <c r="AX95" s="31" t="n">
        <v>17598.41983979247</v>
      </c>
      <c r="AY95" s="31" t="n">
        <v>14949.13443956954</v>
      </c>
      <c r="AZ95" s="31" t="n">
        <v>59094.57832580334</v>
      </c>
      <c r="BA95" s="31" t="n">
        <v>44094.98243474406</v>
      </c>
      <c r="BB95" s="31" t="n">
        <v>39293.85193677911</v>
      </c>
      <c r="BC95" s="31" t="n">
        <v>19501.19748750707</v>
      </c>
      <c r="BD95" s="31" t="n">
        <v>823.5995182160871</v>
      </c>
      <c r="BE95" s="31" t="n">
        <v>15203.93975296008</v>
      </c>
      <c r="BF95" s="31" t="n">
        <v>5606.937468305807</v>
      </c>
      <c r="BG95" s="31" t="n">
        <v>7589.228045631227</v>
      </c>
      <c r="BH95" s="31" t="n">
        <v>62557.65470481957</v>
      </c>
      <c r="BI95" s="31" t="n">
        <v>1308.470001973419</v>
      </c>
      <c r="BJ95" s="31" t="n">
        <v>14420.79091445557</v>
      </c>
      <c r="BK95" s="31" t="n">
        <v>79883.25196798239</v>
      </c>
      <c r="BL95" s="31" t="n">
        <v>210956.4858277578</v>
      </c>
      <c r="BM95" s="31" t="n">
        <v>10542.25473532103</v>
      </c>
      <c r="BN95" s="31" t="n">
        <v>31675.17786731014</v>
      </c>
      <c r="BO95" s="31" t="n">
        <v>17814.1507957265</v>
      </c>
      <c r="BP95" s="31" t="n">
        <v>220831.1941882314</v>
      </c>
      <c r="BQ95" s="31" t="n">
        <v>148250.0922261091</v>
      </c>
      <c r="BR95" s="31" t="n">
        <v>87932.6838382463</v>
      </c>
      <c r="BS95" s="31" t="n">
        <v>270305.0617346861</v>
      </c>
      <c r="BT95" s="31" t="n">
        <v>614711.4255544879</v>
      </c>
      <c r="BU95" s="31" t="n">
        <v>1650874.429773589</v>
      </c>
      <c r="BV95" s="31" t="n">
        <v>2277715.282587481</v>
      </c>
      <c r="BW95" s="31" t="n">
        <v>0</v>
      </c>
      <c r="BX95" s="31" t="n">
        <v>102316.4334724436</v>
      </c>
      <c r="BY95" s="31" t="n">
        <v>95376.99598165171</v>
      </c>
      <c r="BZ95" s="31" t="n">
        <v>7140.975582024878</v>
      </c>
      <c r="CA95" s="31" t="n">
        <v>957993.9919915824</v>
      </c>
      <c r="CB95" s="31" t="n">
        <v>0</v>
      </c>
      <c r="CC95" s="31" t="n">
        <v>659.7685460552476</v>
      </c>
      <c r="CD95" s="31" t="n">
        <v>300825.9127583908</v>
      </c>
      <c r="CE95" s="31" t="n">
        <v>1580712.074429022</v>
      </c>
      <c r="CF95" s="31" t="n">
        <v>220054.7995692218</v>
      </c>
      <c r="CG95" s="31" t="n">
        <v>400488.4750371742</v>
      </c>
      <c r="CH95" s="31" t="n">
        <v>1198956.459350377</v>
      </c>
      <c r="CI95" s="31" t="n">
        <v>351269.564952494</v>
      </c>
      <c r="CJ95" s="31" t="n">
        <v>3144755.111831229</v>
      </c>
      <c r="CK95" s="31" t="n">
        <v>1697971.474463044</v>
      </c>
      <c r="CL95" s="31" t="n">
        <v>4755627.523429393</v>
      </c>
      <c r="CM95" s="31" t="n">
        <v>452663.7271306983</v>
      </c>
      <c r="CN95" s="31" t="n">
        <v>0</v>
      </c>
      <c r="CO95" s="31" t="n">
        <v>0</v>
      </c>
      <c r="CP95" s="31" t="n">
        <v>42891.10202403255</v>
      </c>
      <c r="CQ95" s="31" t="n">
        <v>31047.6476915363</v>
      </c>
      <c r="CR95" s="31" t="n">
        <v>412105.7174019106</v>
      </c>
      <c r="CS95" s="31" t="n">
        <v>71932.04720423347</v>
      </c>
      <c r="CT95" s="31" t="n">
        <v>65681.86940930034</v>
      </c>
      <c r="CU95" s="31" t="n">
        <v>3253410.57766453</v>
      </c>
      <c r="CV95" s="31" t="n">
        <v>3504163.567245177</v>
      </c>
      <c r="CW95" s="31" t="n">
        <v>1551525.341111173</v>
      </c>
      <c r="CX95" s="31" t="n">
        <v>15778.86667667552</v>
      </c>
      <c r="CY95" s="31" t="n">
        <v>465297.7867637995</v>
      </c>
      <c r="CZ95" s="31" t="n">
        <v>92119.10062979767</v>
      </c>
      <c r="DA95" s="31" t="n">
        <v>130131.779931628</v>
      </c>
      <c r="DB95" s="31" t="n">
        <v>2568850.452420103</v>
      </c>
      <c r="DC95" s="31" t="n">
        <v>216962.235882951</v>
      </c>
      <c r="DD95" s="31" t="n">
        <v>26340.1149952365</v>
      </c>
      <c r="DE95" s="31" t="n">
        <v>0</v>
      </c>
      <c r="DF95" s="31">
        <f>SUM(C95:DE95)</f>
        <v/>
      </c>
      <c r="DG95" s="31" t="n">
        <v>0</v>
      </c>
      <c r="DH95" s="31" t="n">
        <v>0</v>
      </c>
      <c r="DI95" s="31" t="n">
        <v>1822397.208891437</v>
      </c>
      <c r="DJ95" s="31" t="n">
        <v>0</v>
      </c>
      <c r="DK95" s="31">
        <f>SUM(DG95:DJ95)</f>
        <v/>
      </c>
      <c r="DL95" s="31">
        <f>DF95+DK95</f>
        <v/>
      </c>
    </row>
    <row r="96">
      <c r="A96" s="28" t="inlineStr">
        <is>
          <t>642</t>
        </is>
      </c>
      <c r="B96" s="28" t="inlineStr">
        <is>
          <t>Servicios de transmisión de radio y televisión</t>
        </is>
      </c>
      <c r="C96" s="29" t="n">
        <v>0</v>
      </c>
      <c r="D96" s="29" t="n">
        <v>0</v>
      </c>
      <c r="E96" s="29" t="n">
        <v>0</v>
      </c>
      <c r="F96" s="29" t="n">
        <v>0</v>
      </c>
      <c r="G96" s="29" t="n">
        <v>0</v>
      </c>
      <c r="H96" s="29" t="n">
        <v>47309.68204696365</v>
      </c>
      <c r="I96" s="29" t="n">
        <v>798.5946841225732</v>
      </c>
      <c r="J96" s="29" t="n">
        <v>237053.6985551136</v>
      </c>
      <c r="K96" s="29" t="n">
        <v>62710.08810686007</v>
      </c>
      <c r="L96" s="29" t="n">
        <v>75938.39837037455</v>
      </c>
      <c r="M96" s="29" t="n">
        <v>17781.2354590736</v>
      </c>
      <c r="N96" s="29" t="n">
        <v>231872.8643759898</v>
      </c>
      <c r="O96" s="29" t="n">
        <v>84251.37776242323</v>
      </c>
      <c r="P96" s="29" t="n">
        <v>76967.9111443436</v>
      </c>
      <c r="Q96" s="29" t="n">
        <v>265156.0550620513</v>
      </c>
      <c r="R96" s="29" t="n">
        <v>663766.9459129904</v>
      </c>
      <c r="S96" s="29" t="n">
        <v>93613.3050387187</v>
      </c>
      <c r="T96" s="29" t="n">
        <v>222019.7272396029</v>
      </c>
      <c r="U96" s="29" t="n">
        <v>1695432.838288775</v>
      </c>
      <c r="V96" s="29" t="n">
        <v>3593.404735947116</v>
      </c>
      <c r="W96" s="29" t="n">
        <v>467144.0846414343</v>
      </c>
      <c r="X96" s="29" t="n">
        <v>116272.9615240097</v>
      </c>
      <c r="Y96" s="29" t="n">
        <v>403007.9839857328</v>
      </c>
      <c r="Z96" s="29" t="n">
        <v>298875.6900951729</v>
      </c>
      <c r="AA96" s="29" t="n">
        <v>514804.2567431744</v>
      </c>
      <c r="AB96" s="29" t="n">
        <v>1043075.514146504</v>
      </c>
      <c r="AC96" s="29" t="n">
        <v>1489497.518998189</v>
      </c>
      <c r="AD96" s="29" t="n">
        <v>873670.4869929537</v>
      </c>
      <c r="AE96" s="29" t="n">
        <v>41358.25087310513</v>
      </c>
      <c r="AF96" s="29" t="n">
        <v>163885.6151045549</v>
      </c>
      <c r="AG96" s="29" t="n">
        <v>6441.287574138851</v>
      </c>
      <c r="AH96" s="29" t="n">
        <v>102020.7809452558</v>
      </c>
      <c r="AI96" s="29" t="n">
        <v>50043.62049538288</v>
      </c>
      <c r="AJ96" s="29" t="n">
        <v>174414.9404704525</v>
      </c>
      <c r="AK96" s="29" t="n">
        <v>441353.8361211144</v>
      </c>
      <c r="AL96" s="29" t="n">
        <v>143560.9640459258</v>
      </c>
      <c r="AM96" s="29" t="n">
        <v>38672.52613798362</v>
      </c>
      <c r="AN96" s="29" t="n">
        <v>101134.7192037408</v>
      </c>
      <c r="AO96" s="29" t="n">
        <v>79647.06560221009</v>
      </c>
      <c r="AP96" s="29" t="n">
        <v>27959.4811613182</v>
      </c>
      <c r="AQ96" s="29" t="n">
        <v>4642447.882655333</v>
      </c>
      <c r="AR96" s="29" t="n">
        <v>140550.5086369691</v>
      </c>
      <c r="AS96" s="29" t="n">
        <v>216294.0926264646</v>
      </c>
      <c r="AT96" s="29" t="n">
        <v>15881.22602511716</v>
      </c>
      <c r="AU96" s="29" t="n">
        <v>237050.5536030898</v>
      </c>
      <c r="AV96" s="29" t="n">
        <v>201797.6559254296</v>
      </c>
      <c r="AW96" s="29" t="n">
        <v>14912.20371406796</v>
      </c>
      <c r="AX96" s="29" t="n">
        <v>27214.32098949161</v>
      </c>
      <c r="AY96" s="29" t="n">
        <v>77606.24211500572</v>
      </c>
      <c r="AZ96" s="29" t="n">
        <v>200342.614037426</v>
      </c>
      <c r="BA96" s="29" t="n">
        <v>102632.3810982722</v>
      </c>
      <c r="BB96" s="29" t="n">
        <v>254804.8670170317</v>
      </c>
      <c r="BC96" s="29" t="n">
        <v>130311.5204391494</v>
      </c>
      <c r="BD96" s="29" t="n">
        <v>11096.17635969479</v>
      </c>
      <c r="BE96" s="29" t="n">
        <v>53529.90329157889</v>
      </c>
      <c r="BF96" s="29" t="n">
        <v>23682.04525458538</v>
      </c>
      <c r="BG96" s="29" t="n">
        <v>59377.36467984574</v>
      </c>
      <c r="BH96" s="29" t="n">
        <v>234001.7984436276</v>
      </c>
      <c r="BI96" s="29" t="n">
        <v>49081.6064844878</v>
      </c>
      <c r="BJ96" s="29" t="n">
        <v>48410.17439375114</v>
      </c>
      <c r="BK96" s="29" t="n">
        <v>689578.2832283606</v>
      </c>
      <c r="BL96" s="29" t="n">
        <v>62045.92232445189</v>
      </c>
      <c r="BM96" s="29" t="n">
        <v>68394.05814971903</v>
      </c>
      <c r="BN96" s="29" t="n">
        <v>134021.483626749</v>
      </c>
      <c r="BO96" s="29" t="n">
        <v>35842.25055415147</v>
      </c>
      <c r="BP96" s="29" t="n">
        <v>116133.1604323279</v>
      </c>
      <c r="BQ96" s="29" t="n">
        <v>129966.8419143761</v>
      </c>
      <c r="BR96" s="29" t="n">
        <v>53669.58350699516</v>
      </c>
      <c r="BS96" s="29" t="n">
        <v>5809.248413874312</v>
      </c>
      <c r="BT96" s="29" t="n">
        <v>1651730.250495657</v>
      </c>
      <c r="BU96" s="29" t="n">
        <v>8037526.110048996</v>
      </c>
      <c r="BV96" s="29" t="n">
        <v>14000144.46954453</v>
      </c>
      <c r="BW96" s="29" t="n">
        <v>2236.086936239587</v>
      </c>
      <c r="BX96" s="29" t="n">
        <v>936456.3940440862</v>
      </c>
      <c r="BY96" s="29" t="n">
        <v>1778675.155570739</v>
      </c>
      <c r="BZ96" s="29" t="n">
        <v>23938.61597664522</v>
      </c>
      <c r="CA96" s="29" t="n">
        <v>1699356.898597914</v>
      </c>
      <c r="CB96" s="29" t="n">
        <v>25521.79157667674</v>
      </c>
      <c r="CC96" s="29" t="n">
        <v>5456.211505778889</v>
      </c>
      <c r="CD96" s="29" t="n">
        <v>670657.7046069655</v>
      </c>
      <c r="CE96" s="29" t="n">
        <v>836739.4347691451</v>
      </c>
      <c r="CF96" s="29" t="n">
        <v>228736.4788169191</v>
      </c>
      <c r="CG96" s="29" t="n">
        <v>3227712.866054585</v>
      </c>
      <c r="CH96" s="29" t="n">
        <v>14342108.27715912</v>
      </c>
      <c r="CI96" s="29" t="n">
        <v>2224270.360715908</v>
      </c>
      <c r="CJ96" s="29" t="n">
        <v>3077346.865853121</v>
      </c>
      <c r="CK96" s="29" t="n">
        <v>896515.5434419329</v>
      </c>
      <c r="CL96" s="29" t="n">
        <v>2207301.053797729</v>
      </c>
      <c r="CM96" s="29" t="n">
        <v>626167.5508639793</v>
      </c>
      <c r="CN96" s="29" t="n">
        <v>0</v>
      </c>
      <c r="CO96" s="29" t="n">
        <v>0</v>
      </c>
      <c r="CP96" s="29" t="n">
        <v>33538.61018832734</v>
      </c>
      <c r="CQ96" s="29" t="n">
        <v>219603.1202081302</v>
      </c>
      <c r="CR96" s="29" t="n">
        <v>3440950.482674401</v>
      </c>
      <c r="CS96" s="29" t="n">
        <v>63006.54366820196</v>
      </c>
      <c r="CT96" s="29" t="n">
        <v>66830.64572210811</v>
      </c>
      <c r="CU96" s="29" t="n">
        <v>9641139.06701286</v>
      </c>
      <c r="CV96" s="29" t="n">
        <v>3769123.926216539</v>
      </c>
      <c r="CW96" s="29" t="n">
        <v>2052678.148989371</v>
      </c>
      <c r="CX96" s="29" t="n">
        <v>275428.4195889584</v>
      </c>
      <c r="CY96" s="29" t="n">
        <v>1582790.317799559</v>
      </c>
      <c r="CZ96" s="29" t="n">
        <v>116205.2425973299</v>
      </c>
      <c r="DA96" s="29" t="n">
        <v>386224.8878552775</v>
      </c>
      <c r="DB96" s="29" t="n">
        <v>578712.6687856434</v>
      </c>
      <c r="DC96" s="29" t="n">
        <v>2701964.249517153</v>
      </c>
      <c r="DD96" s="29" t="n">
        <v>482903.0445225159</v>
      </c>
      <c r="DE96" s="29" t="n">
        <v>0</v>
      </c>
      <c r="DF96" s="29">
        <f>SUM(C96:DE96)</f>
        <v/>
      </c>
      <c r="DG96" s="29" t="n">
        <v>0</v>
      </c>
      <c r="DH96" s="29" t="n">
        <v>0</v>
      </c>
      <c r="DI96" s="29" t="n">
        <v>48899672.82268982</v>
      </c>
      <c r="DJ96" s="29" t="n">
        <v>0</v>
      </c>
      <c r="DK96" s="29">
        <f>SUM(DG96:DJ96)</f>
        <v/>
      </c>
      <c r="DL96" s="29">
        <f>DF96+DK96</f>
        <v/>
      </c>
    </row>
    <row r="97">
      <c r="A97" s="30" t="inlineStr">
        <is>
          <t>643</t>
        </is>
      </c>
      <c r="B97" s="30" t="inlineStr">
        <is>
          <t>Servicios de Telecomunicaciones</t>
        </is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0</v>
      </c>
      <c r="H97" s="31" t="n">
        <v>296899.1134084219</v>
      </c>
      <c r="I97" s="31" t="n">
        <v>5330.457364723447</v>
      </c>
      <c r="J97" s="31" t="n">
        <v>630927.7025664436</v>
      </c>
      <c r="K97" s="31" t="n">
        <v>358948.0577363949</v>
      </c>
      <c r="L97" s="31" t="n">
        <v>124037.1571841898</v>
      </c>
      <c r="M97" s="31" t="n">
        <v>118686.1362730444</v>
      </c>
      <c r="N97" s="31" t="n">
        <v>309535.4851782054</v>
      </c>
      <c r="O97" s="31" t="n">
        <v>115796.0373467364</v>
      </c>
      <c r="P97" s="31" t="n">
        <v>57026.66834507576</v>
      </c>
      <c r="Q97" s="31" t="n">
        <v>876307.1733113222</v>
      </c>
      <c r="R97" s="31" t="n">
        <v>831797.2144884127</v>
      </c>
      <c r="S97" s="31" t="n">
        <v>129841.1047060837</v>
      </c>
      <c r="T97" s="31" t="n">
        <v>258844.8550607705</v>
      </c>
      <c r="U97" s="31" t="n">
        <v>646358.3910445139</v>
      </c>
      <c r="V97" s="31" t="n">
        <v>12668.90704615498</v>
      </c>
      <c r="W97" s="31" t="n">
        <v>62191.39761763635</v>
      </c>
      <c r="X97" s="31" t="n">
        <v>47482.44039177681</v>
      </c>
      <c r="Y97" s="31" t="n">
        <v>205391.6910352716</v>
      </c>
      <c r="Z97" s="31" t="n">
        <v>19823.88410539475</v>
      </c>
      <c r="AA97" s="31" t="n">
        <v>144353.3599134113</v>
      </c>
      <c r="AB97" s="31" t="n">
        <v>35510.76979029701</v>
      </c>
      <c r="AC97" s="31" t="n">
        <v>191056.2934519772</v>
      </c>
      <c r="AD97" s="31" t="n">
        <v>51615.30348760472</v>
      </c>
      <c r="AE97" s="31" t="n">
        <v>117546.5744776499</v>
      </c>
      <c r="AF97" s="31" t="n">
        <v>205185.415499558</v>
      </c>
      <c r="AG97" s="31" t="n">
        <v>20853.75027691799</v>
      </c>
      <c r="AH97" s="31" t="n">
        <v>50000.75076189609</v>
      </c>
      <c r="AI97" s="31" t="n">
        <v>146407.5479523302</v>
      </c>
      <c r="AJ97" s="31" t="n">
        <v>149457.7311790345</v>
      </c>
      <c r="AK97" s="31" t="n">
        <v>421731.6979020156</v>
      </c>
      <c r="AL97" s="31" t="n">
        <v>270189.1315771069</v>
      </c>
      <c r="AM97" s="31" t="n">
        <v>160263.5874101516</v>
      </c>
      <c r="AN97" s="31" t="n">
        <v>463563.184826053</v>
      </c>
      <c r="AO97" s="31" t="n">
        <v>60211.84306975318</v>
      </c>
      <c r="AP97" s="31" t="n">
        <v>55128.79355213363</v>
      </c>
      <c r="AQ97" s="31" t="n">
        <v>671614.9401167032</v>
      </c>
      <c r="AR97" s="31" t="n">
        <v>85014.08819816218</v>
      </c>
      <c r="AS97" s="31" t="n">
        <v>378857.1090819321</v>
      </c>
      <c r="AT97" s="31" t="n">
        <v>42144.16180415972</v>
      </c>
      <c r="AU97" s="31" t="n">
        <v>367783.7582004702</v>
      </c>
      <c r="AV97" s="31" t="n">
        <v>1104138.504855725</v>
      </c>
      <c r="AW97" s="31" t="n">
        <v>36667.70386120432</v>
      </c>
      <c r="AX97" s="31" t="n">
        <v>76493.41689544512</v>
      </c>
      <c r="AY97" s="31" t="n">
        <v>131479.5263641467</v>
      </c>
      <c r="AZ97" s="31" t="n">
        <v>335664.0693580264</v>
      </c>
      <c r="BA97" s="31" t="n">
        <v>99586.97596001047</v>
      </c>
      <c r="BB97" s="31" t="n">
        <v>90544.39447067927</v>
      </c>
      <c r="BC97" s="31" t="n">
        <v>55477.02319514832</v>
      </c>
      <c r="BD97" s="31" t="n">
        <v>21900.6465020696</v>
      </c>
      <c r="BE97" s="31" t="n">
        <v>77973.20695919589</v>
      </c>
      <c r="BF97" s="31" t="n">
        <v>25088.62432582205</v>
      </c>
      <c r="BG97" s="31" t="n">
        <v>62090.88548025219</v>
      </c>
      <c r="BH97" s="31" t="n">
        <v>405573.0221727248</v>
      </c>
      <c r="BI97" s="31" t="n">
        <v>3419.437758322702</v>
      </c>
      <c r="BJ97" s="31" t="n">
        <v>68605.01888467328</v>
      </c>
      <c r="BK97" s="31" t="n">
        <v>593206.7846597552</v>
      </c>
      <c r="BL97" s="31" t="n">
        <v>18270.63030293447</v>
      </c>
      <c r="BM97" s="31" t="n">
        <v>62976.67541430137</v>
      </c>
      <c r="BN97" s="31" t="n">
        <v>242436.0458196181</v>
      </c>
      <c r="BO97" s="31" t="n">
        <v>110171.4414951102</v>
      </c>
      <c r="BP97" s="31" t="n">
        <v>116381.7194816484</v>
      </c>
      <c r="BQ97" s="31" t="n">
        <v>253028.4153843462</v>
      </c>
      <c r="BR97" s="31" t="n">
        <v>72322.57609924556</v>
      </c>
      <c r="BS97" s="31" t="n">
        <v>38775.55361549525</v>
      </c>
      <c r="BT97" s="31" t="n">
        <v>2701018.986538742</v>
      </c>
      <c r="BU97" s="31" t="n">
        <v>8540371.361438975</v>
      </c>
      <c r="BV97" s="31" t="n">
        <v>13553041.68527761</v>
      </c>
      <c r="BW97" s="31" t="n">
        <v>14925.42626994338</v>
      </c>
      <c r="BX97" s="31" t="n">
        <v>3927243.400707016</v>
      </c>
      <c r="BY97" s="31" t="n">
        <v>715980.2081517347</v>
      </c>
      <c r="BZ97" s="31" t="n">
        <v>110304.8775266563</v>
      </c>
      <c r="CA97" s="31" t="n">
        <v>8586895.119226398</v>
      </c>
      <c r="CB97" s="31" t="n">
        <v>170352.7766658069</v>
      </c>
      <c r="CC97" s="31" t="n">
        <v>28317.81161576881</v>
      </c>
      <c r="CD97" s="31" t="n">
        <v>1569815.91108422</v>
      </c>
      <c r="CE97" s="31" t="n">
        <v>2250523.071747043</v>
      </c>
      <c r="CF97" s="31" t="n">
        <v>497856.4928106359</v>
      </c>
      <c r="CG97" s="31" t="n">
        <v>10772181.0967504</v>
      </c>
      <c r="CH97" s="31" t="n">
        <v>69231612.87013462</v>
      </c>
      <c r="CI97" s="31" t="n">
        <v>11950327.35071454</v>
      </c>
      <c r="CJ97" s="31" t="n">
        <v>4774731.208568908</v>
      </c>
      <c r="CK97" s="31" t="n">
        <v>530557.5841803002</v>
      </c>
      <c r="CL97" s="31" t="n">
        <v>2207655.992948366</v>
      </c>
      <c r="CM97" s="31" t="n">
        <v>2674453.281754886</v>
      </c>
      <c r="CN97" s="31" t="n">
        <v>0</v>
      </c>
      <c r="CO97" s="31" t="n">
        <v>0</v>
      </c>
      <c r="CP97" s="31" t="n">
        <v>94652.29090954944</v>
      </c>
      <c r="CQ97" s="31" t="n">
        <v>804069.2426600656</v>
      </c>
      <c r="CR97" s="31" t="n">
        <v>18974147.1117474</v>
      </c>
      <c r="CS97" s="31" t="n">
        <v>163324.3419911171</v>
      </c>
      <c r="CT97" s="31" t="n">
        <v>211200.3034813727</v>
      </c>
      <c r="CU97" s="31" t="n">
        <v>30518758.12510116</v>
      </c>
      <c r="CV97" s="31" t="n">
        <v>12627124.10486324</v>
      </c>
      <c r="CW97" s="31" t="n">
        <v>4829953.439080216</v>
      </c>
      <c r="CX97" s="31" t="n">
        <v>1441612.797563421</v>
      </c>
      <c r="CY97" s="31" t="n">
        <v>4242513.865578036</v>
      </c>
      <c r="CZ97" s="31" t="n">
        <v>591610.4125723147</v>
      </c>
      <c r="DA97" s="31" t="n">
        <v>330165.5632472617</v>
      </c>
      <c r="DB97" s="31" t="n">
        <v>24272.02153566666</v>
      </c>
      <c r="DC97" s="31" t="n">
        <v>2159754.234150639</v>
      </c>
      <c r="DD97" s="31" t="n">
        <v>307122.4700641761</v>
      </c>
      <c r="DE97" s="31" t="n">
        <v>0</v>
      </c>
      <c r="DF97" s="31">
        <f>SUM(C97:DE97)</f>
        <v/>
      </c>
      <c r="DG97" s="31" t="n">
        <v>0</v>
      </c>
      <c r="DH97" s="31" t="n">
        <v>0</v>
      </c>
      <c r="DI97" s="31" t="n">
        <v>340562684.9112305</v>
      </c>
      <c r="DJ97" s="31" t="n">
        <v>0</v>
      </c>
      <c r="DK97" s="31">
        <f>SUM(DG97:DJ97)</f>
        <v/>
      </c>
      <c r="DL97" s="31">
        <f>DF97+DK97</f>
        <v/>
      </c>
    </row>
    <row r="98">
      <c r="A98" s="28" t="inlineStr">
        <is>
          <t>644</t>
        </is>
      </c>
      <c r="B98" s="28" t="inlineStr">
        <is>
          <t>Servicios de Internet</t>
        </is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37118.29070919671</v>
      </c>
      <c r="I98" s="29" t="n">
        <v>666.4131253386595</v>
      </c>
      <c r="J98" s="29" t="n">
        <v>78878.50391837023</v>
      </c>
      <c r="K98" s="29" t="n">
        <v>44875.6421115776</v>
      </c>
      <c r="L98" s="29" t="n">
        <v>15507.11016361858</v>
      </c>
      <c r="M98" s="29" t="n">
        <v>14838.12618623075</v>
      </c>
      <c r="N98" s="29" t="n">
        <v>38698.0883565379</v>
      </c>
      <c r="O98" s="29" t="n">
        <v>14476.80637326968</v>
      </c>
      <c r="P98" s="29" t="n">
        <v>7129.467075563939</v>
      </c>
      <c r="Q98" s="29" t="n">
        <v>109555.8152266325</v>
      </c>
      <c r="R98" s="29" t="n">
        <v>103991.1856389031</v>
      </c>
      <c r="S98" s="29" t="n">
        <v>16232.71897027819</v>
      </c>
      <c r="T98" s="29" t="n">
        <v>32360.7520023434</v>
      </c>
      <c r="U98" s="29" t="n">
        <v>80807.64669753428</v>
      </c>
      <c r="V98" s="29" t="n">
        <v>1583.865203598927</v>
      </c>
      <c r="W98" s="29" t="n">
        <v>7775.160895166178</v>
      </c>
      <c r="X98" s="29" t="n">
        <v>5936.24886854944</v>
      </c>
      <c r="Y98" s="29" t="n">
        <v>25678.04399810804</v>
      </c>
      <c r="Z98" s="29" t="n">
        <v>2478.379557156986</v>
      </c>
      <c r="AA98" s="29" t="n">
        <v>18047.03933468638</v>
      </c>
      <c r="AB98" s="29" t="n">
        <v>4439.552079666856</v>
      </c>
      <c r="AC98" s="29" t="n">
        <v>23885.83435214435</v>
      </c>
      <c r="AD98" s="29" t="n">
        <v>6452.938905414667</v>
      </c>
      <c r="AE98" s="29" t="n">
        <v>14695.65831047001</v>
      </c>
      <c r="AF98" s="29" t="n">
        <v>25652.25545595674</v>
      </c>
      <c r="AG98" s="29" t="n">
        <v>2607.133299488245</v>
      </c>
      <c r="AH98" s="29" t="n">
        <v>6251.087721858796</v>
      </c>
      <c r="AI98" s="29" t="n">
        <v>18303.85367112753</v>
      </c>
      <c r="AJ98" s="29" t="n">
        <v>18685.18720367123</v>
      </c>
      <c r="AK98" s="29" t="n">
        <v>52724.84509738552</v>
      </c>
      <c r="AL98" s="29" t="n">
        <v>33779.01205972403</v>
      </c>
      <c r="AM98" s="29" t="n">
        <v>20036.13402309345</v>
      </c>
      <c r="AN98" s="29" t="n">
        <v>57954.61245714328</v>
      </c>
      <c r="AO98" s="29" t="n">
        <v>7527.677228611868</v>
      </c>
      <c r="AP98" s="29" t="n">
        <v>6892.19500194486</v>
      </c>
      <c r="AQ98" s="29" t="n">
        <v>83965.21736189323</v>
      </c>
      <c r="AR98" s="29" t="n">
        <v>10628.4508696925</v>
      </c>
      <c r="AS98" s="29" t="n">
        <v>47364.66926664155</v>
      </c>
      <c r="AT98" s="29" t="n">
        <v>5268.857934884797</v>
      </c>
      <c r="AU98" s="29" t="n">
        <v>45980.28029887247</v>
      </c>
      <c r="AV98" s="29" t="n">
        <v>138039.2603263667</v>
      </c>
      <c r="AW98" s="29" t="n">
        <v>4584.191835179489</v>
      </c>
      <c r="AX98" s="29" t="n">
        <v>9563.197589475763</v>
      </c>
      <c r="AY98" s="29" t="n">
        <v>16437.55424482671</v>
      </c>
      <c r="AZ98" s="29" t="n">
        <v>41964.68074299669</v>
      </c>
      <c r="BA98" s="29" t="n">
        <v>12450.35150862326</v>
      </c>
      <c r="BB98" s="29" t="n">
        <v>11319.84908094886</v>
      </c>
      <c r="BC98" s="29" t="n">
        <v>6935.730629163788</v>
      </c>
      <c r="BD98" s="29" t="n">
        <v>2738.01613703341</v>
      </c>
      <c r="BE98" s="29" t="n">
        <v>9748.20076157794</v>
      </c>
      <c r="BF98" s="29" t="n">
        <v>3136.576733183574</v>
      </c>
      <c r="BG98" s="29" t="n">
        <v>7762.594880089886</v>
      </c>
      <c r="BH98" s="29" t="n">
        <v>50704.68944144599</v>
      </c>
      <c r="BI98" s="29" t="n">
        <v>427.4976887547205</v>
      </c>
      <c r="BJ98" s="29" t="n">
        <v>8576.991038596341</v>
      </c>
      <c r="BK98" s="29" t="n">
        <v>74162.63939252321</v>
      </c>
      <c r="BL98" s="29" t="n">
        <v>2284.191957460198</v>
      </c>
      <c r="BM98" s="29" t="n">
        <v>7873.336228899805</v>
      </c>
      <c r="BN98" s="29" t="n">
        <v>30309.32468545883</v>
      </c>
      <c r="BO98" s="29" t="n">
        <v>13773.62009040866</v>
      </c>
      <c r="BP98" s="29" t="n">
        <v>14550.02828187452</v>
      </c>
      <c r="BQ98" s="29" t="n">
        <v>31633.58142805802</v>
      </c>
      <c r="BR98" s="29" t="n">
        <v>9041.759585172444</v>
      </c>
      <c r="BS98" s="29" t="n">
        <v>4847.714952688604</v>
      </c>
      <c r="BT98" s="29" t="n">
        <v>337681.0621037072</v>
      </c>
      <c r="BU98" s="29" t="n">
        <v>1067716.17913965</v>
      </c>
      <c r="BV98" s="29" t="n">
        <v>1694399.607640343</v>
      </c>
      <c r="BW98" s="29" t="n">
        <v>1865.974959933057</v>
      </c>
      <c r="BX98" s="29" t="n">
        <v>490983.4878243268</v>
      </c>
      <c r="BY98" s="29" t="n">
        <v>89511.75772508523</v>
      </c>
      <c r="BZ98" s="29" t="n">
        <v>13790.30224669114</v>
      </c>
      <c r="CA98" s="29" t="n">
        <v>1073532.573626697</v>
      </c>
      <c r="CB98" s="29" t="n">
        <v>21297.48322522582</v>
      </c>
      <c r="CC98" s="29" t="n">
        <v>3540.289331738228</v>
      </c>
      <c r="CD98" s="29" t="n">
        <v>196258.1924836886</v>
      </c>
      <c r="CE98" s="29" t="n">
        <v>281360.118142042</v>
      </c>
      <c r="CF98" s="29" t="n">
        <v>62241.95761132271</v>
      </c>
      <c r="CG98" s="29" t="n">
        <v>1346736.758257873</v>
      </c>
      <c r="CH98" s="29" t="n">
        <v>8655327.741734264</v>
      </c>
      <c r="CI98" s="29" t="n">
        <v>1494028.458292137</v>
      </c>
      <c r="CJ98" s="29" t="n">
        <v>596936.3095205106</v>
      </c>
      <c r="CK98" s="29" t="n">
        <v>66330.24403977511</v>
      </c>
      <c r="CL98" s="29" t="n">
        <v>276000.8812132523</v>
      </c>
      <c r="CM98" s="29" t="n">
        <v>334359.8209529955</v>
      </c>
      <c r="CN98" s="29" t="n">
        <v>0</v>
      </c>
      <c r="CO98" s="29" t="n">
        <v>0</v>
      </c>
      <c r="CP98" s="29" t="n">
        <v>11833.41778942629</v>
      </c>
      <c r="CQ98" s="29" t="n">
        <v>100524.6380049761</v>
      </c>
      <c r="CR98" s="29" t="n">
        <v>2372145.542530027</v>
      </c>
      <c r="CS98" s="29" t="n">
        <v>20418.78918504909</v>
      </c>
      <c r="CT98" s="29" t="n">
        <v>26404.23601301933</v>
      </c>
      <c r="CU98" s="29" t="n">
        <v>3815451.394133503</v>
      </c>
      <c r="CV98" s="29" t="n">
        <v>1578641.50540816</v>
      </c>
      <c r="CW98" s="29" t="n">
        <v>603840.1859996206</v>
      </c>
      <c r="CX98" s="29" t="n">
        <v>180230.2549703051</v>
      </c>
      <c r="CY98" s="29" t="n">
        <v>530398.5626379998</v>
      </c>
      <c r="CZ98" s="29" t="n">
        <v>73963.06115013166</v>
      </c>
      <c r="DA98" s="29" t="n">
        <v>41277.25818405864</v>
      </c>
      <c r="DB98" s="29" t="n">
        <v>3034.485152609425</v>
      </c>
      <c r="DC98" s="29" t="n">
        <v>270012.209209069</v>
      </c>
      <c r="DD98" s="29" t="n">
        <v>38396.41350321824</v>
      </c>
      <c r="DE98" s="29" t="n">
        <v>0</v>
      </c>
      <c r="DF98" s="29">
        <f>SUM(C98:DE98)</f>
        <v/>
      </c>
      <c r="DG98" s="29" t="n">
        <v>0</v>
      </c>
      <c r="DH98" s="29" t="n">
        <v>0</v>
      </c>
      <c r="DI98" s="29" t="n">
        <v>38251126.43146282</v>
      </c>
      <c r="DJ98" s="29" t="n">
        <v>0</v>
      </c>
      <c r="DK98" s="29">
        <f>SUM(DG98:DJ98)</f>
        <v/>
      </c>
      <c r="DL98" s="29">
        <f>DF98+DK98</f>
        <v/>
      </c>
    </row>
    <row r="99">
      <c r="A99" s="30" t="inlineStr">
        <is>
          <t>651 2</t>
        </is>
      </c>
      <c r="B99" s="30" t="inlineStr">
        <is>
          <t>651 2 - Intermediación monetaria</t>
        </is>
      </c>
      <c r="C99" s="31" t="n">
        <v>6579434.59223241</v>
      </c>
      <c r="D99" s="31" t="n">
        <v>2676381.244739978</v>
      </c>
      <c r="E99" s="31" t="n">
        <v>23191.79291799218</v>
      </c>
      <c r="F99" s="31" t="n">
        <v>101390.6999113361</v>
      </c>
      <c r="G99" s="31" t="n">
        <v>186541.4253122615</v>
      </c>
      <c r="H99" s="31" t="n">
        <v>851068.1927623348</v>
      </c>
      <c r="I99" s="31" t="n">
        <v>23540.10943386787</v>
      </c>
      <c r="J99" s="31" t="n">
        <v>5531512.084729831</v>
      </c>
      <c r="K99" s="31" t="n">
        <v>1265761.955283786</v>
      </c>
      <c r="L99" s="31" t="n">
        <v>805285.2815847935</v>
      </c>
      <c r="M99" s="31" t="n">
        <v>450665.9735033939</v>
      </c>
      <c r="N99" s="31" t="n">
        <v>1029763.637108278</v>
      </c>
      <c r="O99" s="31" t="n">
        <v>239224.8757283114</v>
      </c>
      <c r="P99" s="31" t="n">
        <v>254425.0044443643</v>
      </c>
      <c r="Q99" s="31" t="n">
        <v>3579116.431791315</v>
      </c>
      <c r="R99" s="31" t="n">
        <v>865001.9199323821</v>
      </c>
      <c r="S99" s="31" t="n">
        <v>480282.0408453297</v>
      </c>
      <c r="T99" s="31" t="n">
        <v>433585.0636416672</v>
      </c>
      <c r="U99" s="31" t="n">
        <v>960378.7685948649</v>
      </c>
      <c r="V99" s="31" t="n">
        <v>174456.1133502868</v>
      </c>
      <c r="W99" s="31" t="n">
        <v>248645.6966573681</v>
      </c>
      <c r="X99" s="31" t="n">
        <v>181563.1512133692</v>
      </c>
      <c r="Y99" s="31" t="n">
        <v>783566.2960184515</v>
      </c>
      <c r="Z99" s="31" t="n">
        <v>109300.9760117945</v>
      </c>
      <c r="AA99" s="31" t="n">
        <v>716159.7821776597</v>
      </c>
      <c r="AB99" s="31" t="n">
        <v>301760.0395877144</v>
      </c>
      <c r="AC99" s="31" t="n">
        <v>1136858.155554619</v>
      </c>
      <c r="AD99" s="31" t="n">
        <v>207930.2774834177</v>
      </c>
      <c r="AE99" s="31" t="n">
        <v>494544.4085741763</v>
      </c>
      <c r="AF99" s="31" t="n">
        <v>747871.2172236848</v>
      </c>
      <c r="AG99" s="31" t="n">
        <v>96949.78919995548</v>
      </c>
      <c r="AH99" s="31" t="n">
        <v>207056.2873217293</v>
      </c>
      <c r="AI99" s="31" t="n">
        <v>615277.1547494321</v>
      </c>
      <c r="AJ99" s="31" t="n">
        <v>805332.4997695297</v>
      </c>
      <c r="AK99" s="31" t="n">
        <v>542426.3691796802</v>
      </c>
      <c r="AL99" s="31" t="n">
        <v>528259.4756052078</v>
      </c>
      <c r="AM99" s="31" t="n">
        <v>900592.8050325877</v>
      </c>
      <c r="AN99" s="31" t="n">
        <v>545111.8695223392</v>
      </c>
      <c r="AO99" s="31" t="n">
        <v>314608.8604191337</v>
      </c>
      <c r="AP99" s="31" t="n">
        <v>416715.9689889346</v>
      </c>
      <c r="AQ99" s="31" t="n">
        <v>2376381.01627645</v>
      </c>
      <c r="AR99" s="31" t="n">
        <v>333547.6819887303</v>
      </c>
      <c r="AS99" s="31" t="n">
        <v>1074792.662432581</v>
      </c>
      <c r="AT99" s="31" t="n">
        <v>163876.4499908416</v>
      </c>
      <c r="AU99" s="31" t="n">
        <v>1161253.00253375</v>
      </c>
      <c r="AV99" s="31" t="n">
        <v>1140822.749253266</v>
      </c>
      <c r="AW99" s="31" t="n">
        <v>377977.64684022</v>
      </c>
      <c r="AX99" s="31" t="n">
        <v>376144.8747330822</v>
      </c>
      <c r="AY99" s="31" t="n">
        <v>415686.7663429859</v>
      </c>
      <c r="AZ99" s="31" t="n">
        <v>1023004.44186588</v>
      </c>
      <c r="BA99" s="31" t="n">
        <v>448302.44538812</v>
      </c>
      <c r="BB99" s="31" t="n">
        <v>704298.7216208213</v>
      </c>
      <c r="BC99" s="31" t="n">
        <v>273946.3778540912</v>
      </c>
      <c r="BD99" s="31" t="n">
        <v>50218.01774015886</v>
      </c>
      <c r="BE99" s="31" t="n">
        <v>235141.8400849239</v>
      </c>
      <c r="BF99" s="31" t="n">
        <v>134654.5465676195</v>
      </c>
      <c r="BG99" s="31" t="n">
        <v>164785.411961012</v>
      </c>
      <c r="BH99" s="31" t="n">
        <v>280557.8344144848</v>
      </c>
      <c r="BI99" s="31" t="n">
        <v>75236.47716380165</v>
      </c>
      <c r="BJ99" s="31" t="n">
        <v>190161.0687493887</v>
      </c>
      <c r="BK99" s="31" t="n">
        <v>1061359.424118424</v>
      </c>
      <c r="BL99" s="31" t="n">
        <v>585693.1072348964</v>
      </c>
      <c r="BM99" s="31" t="n">
        <v>202435.2963537217</v>
      </c>
      <c r="BN99" s="31" t="n">
        <v>741741.9870135043</v>
      </c>
      <c r="BO99" s="31" t="n">
        <v>325295.9562612387</v>
      </c>
      <c r="BP99" s="31" t="n">
        <v>3120946.211077285</v>
      </c>
      <c r="BQ99" s="31" t="n">
        <v>1033919.376548705</v>
      </c>
      <c r="BR99" s="31" t="n">
        <v>840885.9301546281</v>
      </c>
      <c r="BS99" s="31" t="n">
        <v>7503075.184281247</v>
      </c>
      <c r="BT99" s="31" t="n">
        <v>3740568.29774801</v>
      </c>
      <c r="BU99" s="31" t="n">
        <v>16270558.84709005</v>
      </c>
      <c r="BV99" s="31" t="n">
        <v>23305611.55852286</v>
      </c>
      <c r="BW99" s="31" t="n">
        <v>692372.6725340388</v>
      </c>
      <c r="BX99" s="31" t="n">
        <v>980535.1982616019</v>
      </c>
      <c r="BY99" s="31" t="n">
        <v>5649378.828238133</v>
      </c>
      <c r="BZ99" s="31" t="n">
        <v>145611.894873508</v>
      </c>
      <c r="CA99" s="31" t="n">
        <v>8441742.18299149</v>
      </c>
      <c r="CB99" s="31" t="n">
        <v>641265.3192467924</v>
      </c>
      <c r="CC99" s="31" t="n">
        <v>49501.2108597819</v>
      </c>
      <c r="CD99" s="31" t="n">
        <v>527782.6499925298</v>
      </c>
      <c r="CE99" s="31" t="n">
        <v>2949957.725056688</v>
      </c>
      <c r="CF99" s="31" t="n">
        <v>352308.7949401204</v>
      </c>
      <c r="CG99" s="31" t="n">
        <v>1312321.095779022</v>
      </c>
      <c r="CH99" s="31" t="n">
        <v>4107550.28542352</v>
      </c>
      <c r="CI99" s="31" t="n">
        <v>655875.3589450046</v>
      </c>
      <c r="CJ99" s="31" t="n">
        <v>11628554.01729807</v>
      </c>
      <c r="CK99" s="31" t="n">
        <v>2796663.13351259</v>
      </c>
      <c r="CL99" s="31" t="n">
        <v>3783917.736540294</v>
      </c>
      <c r="CM99" s="31" t="n">
        <v>1436849.163647308</v>
      </c>
      <c r="CN99" s="31" t="n">
        <v>6417420.059817329</v>
      </c>
      <c r="CO99" s="31" t="n">
        <v>1453692.819780149</v>
      </c>
      <c r="CP99" s="31" t="n">
        <v>249930.7907503354</v>
      </c>
      <c r="CQ99" s="31" t="n">
        <v>706601.0436001089</v>
      </c>
      <c r="CR99" s="31" t="n">
        <v>2218473.895178538</v>
      </c>
      <c r="CS99" s="31" t="n">
        <v>198159.8641231368</v>
      </c>
      <c r="CT99" s="31" t="n">
        <v>82260.77601277154</v>
      </c>
      <c r="CU99" s="31" t="n">
        <v>10529675.69619247</v>
      </c>
      <c r="CV99" s="31" t="n">
        <v>71391175.60394929</v>
      </c>
      <c r="CW99" s="31" t="n">
        <v>4718774.128084857</v>
      </c>
      <c r="CX99" s="31" t="n">
        <v>7048.038298654371</v>
      </c>
      <c r="CY99" s="31" t="n">
        <v>9492314.25056182</v>
      </c>
      <c r="CZ99" s="31" t="n">
        <v>2735.653533225534</v>
      </c>
      <c r="DA99" s="31" t="n">
        <v>1235591.700497643</v>
      </c>
      <c r="DB99" s="31" t="n">
        <v>2693700.426815283</v>
      </c>
      <c r="DC99" s="31" t="n">
        <v>2481360.839175538</v>
      </c>
      <c r="DD99" s="31" t="n">
        <v>740447.329674088</v>
      </c>
      <c r="DE99" s="31" t="n">
        <v>0</v>
      </c>
      <c r="DF99" s="31">
        <f>SUM(C99:DE99)</f>
        <v/>
      </c>
      <c r="DG99" s="31" t="n">
        <v>0</v>
      </c>
      <c r="DH99" s="31" t="n">
        <v>0</v>
      </c>
      <c r="DI99" s="31" t="n">
        <v>188347510.7971719</v>
      </c>
      <c r="DJ99" s="31" t="n">
        <v>0</v>
      </c>
      <c r="DK99" s="31">
        <f>SUM(DG99:DJ99)</f>
        <v/>
      </c>
      <c r="DL99" s="31">
        <f>DF99+DK99</f>
        <v/>
      </c>
    </row>
    <row r="100">
      <c r="A100" s="28" t="inlineStr">
        <is>
          <t>659</t>
        </is>
      </c>
      <c r="B100" s="28" t="inlineStr">
        <is>
          <t>Otros tipos de intermediación financiera</t>
        </is>
      </c>
      <c r="C100" s="29" t="n">
        <v>1087578.257511256</v>
      </c>
      <c r="D100" s="29" t="n">
        <v>144645.1102413049</v>
      </c>
      <c r="E100" s="29" t="n">
        <v>0</v>
      </c>
      <c r="F100" s="29" t="n">
        <v>0</v>
      </c>
      <c r="G100" s="29" t="n">
        <v>0</v>
      </c>
      <c r="H100" s="29" t="n">
        <v>107644.3721121908</v>
      </c>
      <c r="I100" s="29" t="n">
        <v>5656.129347499669</v>
      </c>
      <c r="J100" s="29" t="n">
        <v>550206.9443446905</v>
      </c>
      <c r="K100" s="29" t="n">
        <v>77194.61818903402</v>
      </c>
      <c r="L100" s="29" t="n">
        <v>26180.05988820583</v>
      </c>
      <c r="M100" s="29" t="n">
        <v>48969.20691445813</v>
      </c>
      <c r="N100" s="29" t="n">
        <v>122385.2141598665</v>
      </c>
      <c r="O100" s="29" t="n">
        <v>44749.42413639559</v>
      </c>
      <c r="P100" s="29" t="n">
        <v>32520.56232699858</v>
      </c>
      <c r="Q100" s="29" t="n">
        <v>769550.7009944433</v>
      </c>
      <c r="R100" s="29" t="n">
        <v>122999.162427759</v>
      </c>
      <c r="S100" s="29" t="n">
        <v>60205.86772034472</v>
      </c>
      <c r="T100" s="29" t="n">
        <v>55245.51622395461</v>
      </c>
      <c r="U100" s="29" t="n">
        <v>49539.64767791225</v>
      </c>
      <c r="V100" s="29" t="n">
        <v>22126.13918697925</v>
      </c>
      <c r="W100" s="29" t="n">
        <v>46937.67471245772</v>
      </c>
      <c r="X100" s="29" t="n">
        <v>12186.79442233536</v>
      </c>
      <c r="Y100" s="29" t="n">
        <v>128122.5367477051</v>
      </c>
      <c r="Z100" s="29" t="n">
        <v>20979.60384183552</v>
      </c>
      <c r="AA100" s="29" t="n">
        <v>59703.87901891286</v>
      </c>
      <c r="AB100" s="29" t="n">
        <v>751.145557612117</v>
      </c>
      <c r="AC100" s="29" t="n">
        <v>286303.0048940268</v>
      </c>
      <c r="AD100" s="29" t="n">
        <v>29668.62544950687</v>
      </c>
      <c r="AE100" s="29" t="n">
        <v>43265.17470767684</v>
      </c>
      <c r="AF100" s="29" t="n">
        <v>64661.52536170332</v>
      </c>
      <c r="AG100" s="29" t="n">
        <v>11463.12846737802</v>
      </c>
      <c r="AH100" s="29" t="n">
        <v>18643.79029929782</v>
      </c>
      <c r="AI100" s="29" t="n">
        <v>96147.17238978221</v>
      </c>
      <c r="AJ100" s="29" t="n">
        <v>77986.01164446381</v>
      </c>
      <c r="AK100" s="29" t="n">
        <v>64080.5201524614</v>
      </c>
      <c r="AL100" s="29" t="n">
        <v>63814.58585862195</v>
      </c>
      <c r="AM100" s="29" t="n">
        <v>5148.039194692062</v>
      </c>
      <c r="AN100" s="29" t="n">
        <v>55340.13736706434</v>
      </c>
      <c r="AO100" s="29" t="n">
        <v>32646.44416171507</v>
      </c>
      <c r="AP100" s="29" t="n">
        <v>13747.6787967268</v>
      </c>
      <c r="AQ100" s="29" t="n">
        <v>306950.3060930316</v>
      </c>
      <c r="AR100" s="29" t="n">
        <v>46928.71600053829</v>
      </c>
      <c r="AS100" s="29" t="n">
        <v>144761.9173741815</v>
      </c>
      <c r="AT100" s="29" t="n">
        <v>23416.65307314162</v>
      </c>
      <c r="AU100" s="29" t="n">
        <v>94756.15130227398</v>
      </c>
      <c r="AV100" s="29" t="n">
        <v>35084.91501077703</v>
      </c>
      <c r="AW100" s="29" t="n">
        <v>14227.31378324846</v>
      </c>
      <c r="AX100" s="29" t="n">
        <v>31198.32263926173</v>
      </c>
      <c r="AY100" s="29" t="n">
        <v>42191.34779067565</v>
      </c>
      <c r="AZ100" s="29" t="n">
        <v>117392.6099471986</v>
      </c>
      <c r="BA100" s="29" t="n">
        <v>65489.96093118877</v>
      </c>
      <c r="BB100" s="29" t="n">
        <v>81146.31885736615</v>
      </c>
      <c r="BC100" s="29" t="n">
        <v>42407.74737428264</v>
      </c>
      <c r="BD100" s="29" t="n">
        <v>9069.964912864565</v>
      </c>
      <c r="BE100" s="29" t="n">
        <v>30692.75450084851</v>
      </c>
      <c r="BF100" s="29" t="n">
        <v>15633.04830601743</v>
      </c>
      <c r="BG100" s="29" t="n">
        <v>19280.51014713461</v>
      </c>
      <c r="BH100" s="29" t="n">
        <v>73476.50692931579</v>
      </c>
      <c r="BI100" s="29" t="n">
        <v>12009.50483177371</v>
      </c>
      <c r="BJ100" s="29" t="n">
        <v>33245.3905687965</v>
      </c>
      <c r="BK100" s="29" t="n">
        <v>36594.91933962694</v>
      </c>
      <c r="BL100" s="29" t="n">
        <v>80843.14763758684</v>
      </c>
      <c r="BM100" s="29" t="n">
        <v>20535.58332089039</v>
      </c>
      <c r="BN100" s="29" t="n">
        <v>62553.54704533648</v>
      </c>
      <c r="BO100" s="29" t="n">
        <v>42014.73071250577</v>
      </c>
      <c r="BP100" s="29" t="n">
        <v>369978.0102026318</v>
      </c>
      <c r="BQ100" s="29" t="n">
        <v>383276.5398464869</v>
      </c>
      <c r="BR100" s="29" t="n">
        <v>251741.4036766424</v>
      </c>
      <c r="BS100" s="29" t="n">
        <v>208804.4231204867</v>
      </c>
      <c r="BT100" s="29" t="n">
        <v>1014764.398850493</v>
      </c>
      <c r="BU100" s="29" t="n">
        <v>4100484.706496336</v>
      </c>
      <c r="BV100" s="29" t="n">
        <v>4967768.015326892</v>
      </c>
      <c r="BW100" s="29" t="n">
        <v>132144.3166789478</v>
      </c>
      <c r="BX100" s="29" t="n">
        <v>262731.5525055293</v>
      </c>
      <c r="BY100" s="29" t="n">
        <v>1497538.115334772</v>
      </c>
      <c r="BZ100" s="29" t="n">
        <v>21646.15404260896</v>
      </c>
      <c r="CA100" s="29" t="n">
        <v>2200865.450744751</v>
      </c>
      <c r="CB100" s="29" t="n">
        <v>216308.4826192486</v>
      </c>
      <c r="CC100" s="29" t="n">
        <v>6785.420683345632</v>
      </c>
      <c r="CD100" s="29" t="n">
        <v>24182.27500090812</v>
      </c>
      <c r="CE100" s="29" t="n">
        <v>646669.5836514358</v>
      </c>
      <c r="CF100" s="29" t="n">
        <v>41868.59601290963</v>
      </c>
      <c r="CG100" s="29" t="n">
        <v>483935.0647402962</v>
      </c>
      <c r="CH100" s="29" t="n">
        <v>653981.8926093166</v>
      </c>
      <c r="CI100" s="29" t="n">
        <v>172294.1879017109</v>
      </c>
      <c r="CJ100" s="29" t="n">
        <v>6757688.423633303</v>
      </c>
      <c r="CK100" s="29" t="n">
        <v>1292486.96067827</v>
      </c>
      <c r="CL100" s="29" t="n">
        <v>1442499.780521202</v>
      </c>
      <c r="CM100" s="29" t="n">
        <v>447603.8212649591</v>
      </c>
      <c r="CN100" s="29" t="n">
        <v>0</v>
      </c>
      <c r="CO100" s="29" t="n">
        <v>0</v>
      </c>
      <c r="CP100" s="29" t="n">
        <v>1453.714649317902</v>
      </c>
      <c r="CQ100" s="29" t="n">
        <v>80387.83463526888</v>
      </c>
      <c r="CR100" s="29" t="n">
        <v>310597.1601605403</v>
      </c>
      <c r="CS100" s="29" t="n">
        <v>52353.07158276835</v>
      </c>
      <c r="CT100" s="29" t="n">
        <v>47804.11158203158</v>
      </c>
      <c r="CU100" s="29" t="n">
        <v>1740927.054808892</v>
      </c>
      <c r="CV100" s="29" t="n">
        <v>2550375.433537208</v>
      </c>
      <c r="CW100" s="29" t="n">
        <v>1405747.060400086</v>
      </c>
      <c r="CX100" s="29" t="n">
        <v>4095.81851271371</v>
      </c>
      <c r="CY100" s="29" t="n">
        <v>1753119.512132647</v>
      </c>
      <c r="CZ100" s="29" t="n">
        <v>1589.767238906044</v>
      </c>
      <c r="DA100" s="29" t="n">
        <v>221992.8328428312</v>
      </c>
      <c r="DB100" s="29" t="n">
        <v>493061.1706722048</v>
      </c>
      <c r="DC100" s="29" t="n">
        <v>654747.922978292</v>
      </c>
      <c r="DD100" s="29" t="n">
        <v>38253.9948455252</v>
      </c>
      <c r="DE100" s="29" t="n">
        <v>0</v>
      </c>
      <c r="DF100" s="29">
        <f>SUM(C100:DE100)</f>
        <v/>
      </c>
      <c r="DG100" s="29" t="n">
        <v>0</v>
      </c>
      <c r="DH100" s="29" t="n">
        <v>0</v>
      </c>
      <c r="DI100" s="29" t="n">
        <v>38219055.42022815</v>
      </c>
      <c r="DJ100" s="29" t="n">
        <v>0</v>
      </c>
      <c r="DK100" s="29">
        <f>SUM(DG100:DJ100)</f>
        <v/>
      </c>
      <c r="DL100" s="29">
        <f>DF100+DK100</f>
        <v/>
      </c>
    </row>
    <row r="101">
      <c r="A101" s="30" t="inlineStr">
        <is>
          <t>66</t>
        </is>
      </c>
      <c r="B101" s="30" t="inlineStr">
        <is>
          <t>Financiación de planes de seguros y de pensiones, excepto los planes</t>
        </is>
      </c>
      <c r="C101" s="31" t="n">
        <v>1377430.199234535</v>
      </c>
      <c r="D101" s="31" t="n">
        <v>189557.8421825291</v>
      </c>
      <c r="E101" s="31" t="n">
        <v>0</v>
      </c>
      <c r="F101" s="31" t="n">
        <v>0</v>
      </c>
      <c r="G101" s="31" t="n">
        <v>0</v>
      </c>
      <c r="H101" s="31" t="n">
        <v>259296.0486947999</v>
      </c>
      <c r="I101" s="31" t="n">
        <v>0</v>
      </c>
      <c r="J101" s="31" t="n">
        <v>0</v>
      </c>
      <c r="K101" s="31" t="n">
        <v>180954.5682140842</v>
      </c>
      <c r="L101" s="31" t="n">
        <v>0</v>
      </c>
      <c r="M101" s="31" t="n">
        <v>0</v>
      </c>
      <c r="N101" s="31" t="n">
        <v>177675.6225114962</v>
      </c>
      <c r="O101" s="31" t="n">
        <v>173030.4885533953</v>
      </c>
      <c r="P101" s="31" t="n">
        <v>71753.07196872671</v>
      </c>
      <c r="Q101" s="31" t="n">
        <v>386584.4494568158</v>
      </c>
      <c r="R101" s="31" t="n">
        <v>158278.1843069896</v>
      </c>
      <c r="S101" s="31" t="n">
        <v>117357.6497871964</v>
      </c>
      <c r="T101" s="31" t="n">
        <v>79075.18599637302</v>
      </c>
      <c r="U101" s="31" t="n">
        <v>165661.8852225601</v>
      </c>
      <c r="V101" s="31" t="n">
        <v>43323.56613888276</v>
      </c>
      <c r="W101" s="31" t="n">
        <v>64669.76763204941</v>
      </c>
      <c r="X101" s="31" t="n">
        <v>33124.58536138172</v>
      </c>
      <c r="Y101" s="31" t="n">
        <v>150091.6170773423</v>
      </c>
      <c r="Z101" s="31" t="n">
        <v>31155.37664325704</v>
      </c>
      <c r="AA101" s="31" t="n">
        <v>90419.11364037136</v>
      </c>
      <c r="AB101" s="31" t="n">
        <v>58324.92842452169</v>
      </c>
      <c r="AC101" s="31" t="n">
        <v>160587.7706025627</v>
      </c>
      <c r="AD101" s="31" t="n">
        <v>40584.25663142132</v>
      </c>
      <c r="AE101" s="31" t="n">
        <v>181327.5192606053</v>
      </c>
      <c r="AF101" s="31" t="n">
        <v>113906.2228235157</v>
      </c>
      <c r="AG101" s="31" t="n">
        <v>27042.59835066558</v>
      </c>
      <c r="AH101" s="31" t="n">
        <v>36701.16299307028</v>
      </c>
      <c r="AI101" s="31" t="n">
        <v>120658.0851718972</v>
      </c>
      <c r="AJ101" s="31" t="n">
        <v>220039.7799914934</v>
      </c>
      <c r="AK101" s="31" t="n">
        <v>84582.32152471114</v>
      </c>
      <c r="AL101" s="31" t="n">
        <v>155782.2616620099</v>
      </c>
      <c r="AM101" s="31" t="n">
        <v>560844.1686999332</v>
      </c>
      <c r="AN101" s="31" t="n">
        <v>270694.4162492934</v>
      </c>
      <c r="AO101" s="31" t="n">
        <v>106539.0851324694</v>
      </c>
      <c r="AP101" s="31" t="n">
        <v>278153.1886267444</v>
      </c>
      <c r="AQ101" s="31" t="n">
        <v>671423.5529794979</v>
      </c>
      <c r="AR101" s="31" t="n">
        <v>132740.5573483804</v>
      </c>
      <c r="AS101" s="31" t="n">
        <v>279706.1543389742</v>
      </c>
      <c r="AT101" s="31" t="n">
        <v>35556.43828071377</v>
      </c>
      <c r="AU101" s="31" t="n">
        <v>288617.6691907339</v>
      </c>
      <c r="AV101" s="31" t="n">
        <v>109409.3471834298</v>
      </c>
      <c r="AW101" s="31" t="n">
        <v>146602.5699049535</v>
      </c>
      <c r="AX101" s="31" t="n">
        <v>70569.93220289881</v>
      </c>
      <c r="AY101" s="31" t="n">
        <v>83437.1417412077</v>
      </c>
      <c r="AZ101" s="31" t="n">
        <v>193277.3859934083</v>
      </c>
      <c r="BA101" s="31" t="n">
        <v>108971.9777032976</v>
      </c>
      <c r="BB101" s="31" t="n">
        <v>93523.82137744564</v>
      </c>
      <c r="BC101" s="31" t="n">
        <v>60128.10304540666</v>
      </c>
      <c r="BD101" s="31" t="n">
        <v>6741.396610256364</v>
      </c>
      <c r="BE101" s="31" t="n">
        <v>55906.07188507533</v>
      </c>
      <c r="BF101" s="31" t="n">
        <v>36524.96364925292</v>
      </c>
      <c r="BG101" s="31" t="n">
        <v>44385.9768942899</v>
      </c>
      <c r="BH101" s="31" t="n">
        <v>224432.9183310709</v>
      </c>
      <c r="BI101" s="31" t="n">
        <v>19621.58970371602</v>
      </c>
      <c r="BJ101" s="31" t="n">
        <v>42001.09035496044</v>
      </c>
      <c r="BK101" s="31" t="n">
        <v>201944.569257126</v>
      </c>
      <c r="BL101" s="31" t="n">
        <v>126316.5195183855</v>
      </c>
      <c r="BM101" s="31" t="n">
        <v>96224.32253664656</v>
      </c>
      <c r="BN101" s="31" t="n">
        <v>130785.2399065573</v>
      </c>
      <c r="BO101" s="31" t="n">
        <v>89847.70710105167</v>
      </c>
      <c r="BP101" s="31" t="n">
        <v>1166841.804507087</v>
      </c>
      <c r="BQ101" s="31" t="n">
        <v>198225.1094526409</v>
      </c>
      <c r="BR101" s="31" t="n">
        <v>51195.28241018165</v>
      </c>
      <c r="BS101" s="31" t="n">
        <v>3383683.918724768</v>
      </c>
      <c r="BT101" s="31" t="n">
        <v>252939.0044647119</v>
      </c>
      <c r="BU101" s="31" t="n">
        <v>799794.7687524571</v>
      </c>
      <c r="BV101" s="31" t="n">
        <v>1351464.458732212</v>
      </c>
      <c r="BW101" s="31" t="n">
        <v>692.8316587796068</v>
      </c>
      <c r="BX101" s="31" t="n">
        <v>182272.8928714163</v>
      </c>
      <c r="BY101" s="31" t="n">
        <v>0</v>
      </c>
      <c r="BZ101" s="31" t="n">
        <v>151809.6631387553</v>
      </c>
      <c r="CA101" s="31" t="n">
        <v>15863832.44685448</v>
      </c>
      <c r="CB101" s="31" t="n">
        <v>18278.7632670454</v>
      </c>
      <c r="CC101" s="31" t="n">
        <v>33483.35684677834</v>
      </c>
      <c r="CD101" s="31" t="n">
        <v>2225050.25710718</v>
      </c>
      <c r="CE101" s="31" t="n">
        <v>5393069.242740919</v>
      </c>
      <c r="CF101" s="31" t="n">
        <v>126365.4269634918</v>
      </c>
      <c r="CG101" s="31" t="n">
        <v>296085.9172849933</v>
      </c>
      <c r="CH101" s="31" t="n">
        <v>1402614.09202914</v>
      </c>
      <c r="CI101" s="31" t="n">
        <v>219241.219735739</v>
      </c>
      <c r="CJ101" s="31" t="n">
        <v>0</v>
      </c>
      <c r="CK101" s="31" t="n">
        <v>77218.54704836475</v>
      </c>
      <c r="CL101" s="31" t="n">
        <v>10367918.6630512</v>
      </c>
      <c r="CM101" s="31" t="n">
        <v>678115.1016090799</v>
      </c>
      <c r="CN101" s="31" t="n">
        <v>0</v>
      </c>
      <c r="CO101" s="31" t="n">
        <v>0</v>
      </c>
      <c r="CP101" s="31" t="n">
        <v>10855.68705928908</v>
      </c>
      <c r="CQ101" s="31" t="n">
        <v>150954.0860267544</v>
      </c>
      <c r="CR101" s="31" t="n">
        <v>389142.3978651523</v>
      </c>
      <c r="CS101" s="31" t="n">
        <v>144592.3073724932</v>
      </c>
      <c r="CT101" s="31" t="n">
        <v>132028.6773357754</v>
      </c>
      <c r="CU101" s="31" t="n">
        <v>3591551.772252644</v>
      </c>
      <c r="CV101" s="31" t="n">
        <v>7043801.967154156</v>
      </c>
      <c r="CW101" s="31" t="n">
        <v>854100.468806023</v>
      </c>
      <c r="CX101" s="31" t="n">
        <v>17755.32372799375</v>
      </c>
      <c r="CY101" s="31" t="n">
        <v>450020.0988206537</v>
      </c>
      <c r="CZ101" s="31" t="n">
        <v>16598.11874107127</v>
      </c>
      <c r="DA101" s="31" t="n">
        <v>868649.5945744552</v>
      </c>
      <c r="DB101" s="31" t="n">
        <v>1003527.085530538</v>
      </c>
      <c r="DC101" s="31" t="n">
        <v>698023.6580881439</v>
      </c>
      <c r="DD101" s="31" t="n">
        <v>2238.03348061249</v>
      </c>
      <c r="DE101" s="31" t="n">
        <v>0</v>
      </c>
      <c r="DF101" s="31">
        <f>SUM(C101:DE101)</f>
        <v/>
      </c>
      <c r="DG101" s="31" t="n">
        <v>0</v>
      </c>
      <c r="DH101" s="31" t="n">
        <v>0</v>
      </c>
      <c r="DI101" s="31" t="n">
        <v>189589682.4895163</v>
      </c>
      <c r="DJ101" s="31" t="n">
        <v>0</v>
      </c>
      <c r="DK101" s="31">
        <f>SUM(DG101:DJ101)</f>
        <v/>
      </c>
      <c r="DL101" s="31">
        <f>DF101+DK101</f>
        <v/>
      </c>
    </row>
    <row r="102">
      <c r="A102" s="28" t="inlineStr">
        <is>
          <t>67</t>
        </is>
      </c>
      <c r="B102" s="28" t="inlineStr">
        <is>
          <t>ACTIVIDADES AUXILIARES DE LA INTERMEDIACIÓN</t>
        </is>
      </c>
      <c r="C102" s="29" t="n">
        <v>380881.1344447909</v>
      </c>
      <c r="D102" s="29" t="n">
        <v>50656.21098997549</v>
      </c>
      <c r="E102" s="29" t="n">
        <v>0</v>
      </c>
      <c r="F102" s="29" t="n">
        <v>0</v>
      </c>
      <c r="G102" s="29" t="n">
        <v>0</v>
      </c>
      <c r="H102" s="29" t="n">
        <v>37698.17048431029</v>
      </c>
      <c r="I102" s="29" t="n">
        <v>1980.834894007481</v>
      </c>
      <c r="J102" s="29" t="n">
        <v>192688.1525022017</v>
      </c>
      <c r="K102" s="29" t="n">
        <v>27034.3522829827</v>
      </c>
      <c r="L102" s="29" t="n">
        <v>9168.527267978418</v>
      </c>
      <c r="M102" s="29" t="n">
        <v>17149.52184233738</v>
      </c>
      <c r="N102" s="29" t="n">
        <v>42860.56556072354</v>
      </c>
      <c r="O102" s="29" t="n">
        <v>15671.71034645758</v>
      </c>
      <c r="P102" s="29" t="n">
        <v>11389.0366843432</v>
      </c>
      <c r="Q102" s="29" t="n">
        <v>269504.6006880237</v>
      </c>
      <c r="R102" s="29" t="n">
        <v>43075.57658282726</v>
      </c>
      <c r="S102" s="29" t="n">
        <v>21084.71646907725</v>
      </c>
      <c r="T102" s="29" t="n">
        <v>19347.55016206285</v>
      </c>
      <c r="U102" s="29" t="n">
        <v>17349.29608719507</v>
      </c>
      <c r="V102" s="29" t="n">
        <v>7748.802383843886</v>
      </c>
      <c r="W102" s="29" t="n">
        <v>16438.05829071242</v>
      </c>
      <c r="X102" s="29" t="n">
        <v>4267.941228842102</v>
      </c>
      <c r="Y102" s="29" t="n">
        <v>44869.83516577454</v>
      </c>
      <c r="Z102" s="29" t="n">
        <v>7347.273868609779</v>
      </c>
      <c r="AA102" s="29" t="n">
        <v>20908.91484307071</v>
      </c>
      <c r="AB102" s="29" t="n">
        <v>263.0589294522626</v>
      </c>
      <c r="AC102" s="29" t="n">
        <v>100266.2682394245</v>
      </c>
      <c r="AD102" s="29" t="n">
        <v>10390.25894512131</v>
      </c>
      <c r="AE102" s="29" t="n">
        <v>15151.91087243805</v>
      </c>
      <c r="AF102" s="29" t="n">
        <v>22645.13377736524</v>
      </c>
      <c r="AG102" s="29" t="n">
        <v>4014.505939951757</v>
      </c>
      <c r="AH102" s="29" t="n">
        <v>6529.247849986416</v>
      </c>
      <c r="AI102" s="29" t="n">
        <v>33671.73243907933</v>
      </c>
      <c r="AJ102" s="29" t="n">
        <v>27311.50644178875</v>
      </c>
      <c r="AK102" s="29" t="n">
        <v>22441.65975452041</v>
      </c>
      <c r="AL102" s="29" t="n">
        <v>22348.52681918836</v>
      </c>
      <c r="AM102" s="29" t="n">
        <v>1802.896476734932</v>
      </c>
      <c r="AN102" s="29" t="n">
        <v>19380.68746329262</v>
      </c>
      <c r="AO102" s="29" t="n">
        <v>11433.12180252359</v>
      </c>
      <c r="AP102" s="29" t="n">
        <v>4814.579052051075</v>
      </c>
      <c r="AQ102" s="29" t="n">
        <v>107497.1662916677</v>
      </c>
      <c r="AR102" s="29" t="n">
        <v>16434.92085730433</v>
      </c>
      <c r="AS102" s="29" t="n">
        <v>50697.11805388009</v>
      </c>
      <c r="AT102" s="29" t="n">
        <v>8200.753670644224</v>
      </c>
      <c r="AU102" s="29" t="n">
        <v>33184.58249268452</v>
      </c>
      <c r="AV102" s="29" t="n">
        <v>12287.09946977358</v>
      </c>
      <c r="AW102" s="29" t="n">
        <v>4982.552176305896</v>
      </c>
      <c r="AX102" s="29" t="n">
        <v>10925.97469427953</v>
      </c>
      <c r="AY102" s="29" t="n">
        <v>14775.84559941513</v>
      </c>
      <c r="AZ102" s="29" t="n">
        <v>41112.10401947659</v>
      </c>
      <c r="BA102" s="29" t="n">
        <v>22935.26046695362</v>
      </c>
      <c r="BB102" s="29" t="n">
        <v>28418.27865623037</v>
      </c>
      <c r="BC102" s="29" t="n">
        <v>14851.63096780436</v>
      </c>
      <c r="BD102" s="29" t="n">
        <v>3176.395355026258</v>
      </c>
      <c r="BE102" s="29" t="n">
        <v>10748.91951248635</v>
      </c>
      <c r="BF102" s="29" t="n">
        <v>5474.854919637369</v>
      </c>
      <c r="BG102" s="29" t="n">
        <v>6752.233714491051</v>
      </c>
      <c r="BH102" s="29" t="n">
        <v>25732.23133231743</v>
      </c>
      <c r="BI102" s="29" t="n">
        <v>4205.852583807127</v>
      </c>
      <c r="BJ102" s="29" t="n">
        <v>11642.87901808511</v>
      </c>
      <c r="BK102" s="29" t="n">
        <v>12815.91857572463</v>
      </c>
      <c r="BL102" s="29" t="n">
        <v>28312.10496498282</v>
      </c>
      <c r="BM102" s="29" t="n">
        <v>7191.773297900181</v>
      </c>
      <c r="BN102" s="29" t="n">
        <v>21906.89800722388</v>
      </c>
      <c r="BO102" s="29" t="n">
        <v>14713.99247516308</v>
      </c>
      <c r="BP102" s="29" t="n">
        <v>129570.1189982151</v>
      </c>
      <c r="BQ102" s="29" t="n">
        <v>134227.4013797055</v>
      </c>
      <c r="BR102" s="29" t="n">
        <v>88162.43866303226</v>
      </c>
      <c r="BS102" s="29" t="n">
        <v>73125.46477088616</v>
      </c>
      <c r="BT102" s="29" t="n">
        <v>355380.9693776099</v>
      </c>
      <c r="BU102" s="29" t="n">
        <v>1436032.079528471</v>
      </c>
      <c r="BV102" s="29" t="n">
        <v>1739763.648517653</v>
      </c>
      <c r="BW102" s="29" t="n">
        <v>46278.30402042443</v>
      </c>
      <c r="BX102" s="29" t="n">
        <v>92011.30225032242</v>
      </c>
      <c r="BY102" s="29" t="n">
        <v>524453.3092710514</v>
      </c>
      <c r="BZ102" s="29" t="n">
        <v>7580.706630695279</v>
      </c>
      <c r="CA102" s="29" t="n">
        <v>770765.8036105336</v>
      </c>
      <c r="CB102" s="29" t="n">
        <v>75753.46388275703</v>
      </c>
      <c r="CC102" s="29" t="n">
        <v>2376.32437915033</v>
      </c>
      <c r="CD102" s="29" t="n">
        <v>8468.882374385337</v>
      </c>
      <c r="CE102" s="29" t="n">
        <v>226470.3647126288</v>
      </c>
      <c r="CF102" s="29" t="n">
        <v>14662.81459460183</v>
      </c>
      <c r="CG102" s="29" t="n">
        <v>169479.056042999</v>
      </c>
      <c r="CH102" s="29" t="n">
        <v>229031.2108053612</v>
      </c>
      <c r="CI102" s="29" t="n">
        <v>60339.20344860191</v>
      </c>
      <c r="CJ102" s="29" t="n">
        <v>2366612.25547831</v>
      </c>
      <c r="CK102" s="29" t="n">
        <v>452642.277866744</v>
      </c>
      <c r="CL102" s="29" t="n">
        <v>52462876.65395558</v>
      </c>
      <c r="CM102" s="29" t="n">
        <v>156755.4794772611</v>
      </c>
      <c r="CN102" s="29" t="n">
        <v>0</v>
      </c>
      <c r="CO102" s="29" t="n">
        <v>0</v>
      </c>
      <c r="CP102" s="29" t="n">
        <v>509.1058790180745</v>
      </c>
      <c r="CQ102" s="29" t="n">
        <v>28152.64965070763</v>
      </c>
      <c r="CR102" s="29" t="n">
        <v>108774.3322379288</v>
      </c>
      <c r="CS102" s="29" t="n">
        <v>18334.58618577411</v>
      </c>
      <c r="CT102" s="29" t="n">
        <v>16741.49342793488</v>
      </c>
      <c r="CU102" s="29" t="n">
        <v>609690.6287356308</v>
      </c>
      <c r="CV102" s="29" t="n">
        <v>893167.8080882597</v>
      </c>
      <c r="CW102" s="29" t="n">
        <v>492307.134139332</v>
      </c>
      <c r="CX102" s="29" t="n">
        <v>1434.397930289838</v>
      </c>
      <c r="CY102" s="29" t="n">
        <v>613960.5531710164</v>
      </c>
      <c r="CZ102" s="29" t="n">
        <v>556.7529005621283</v>
      </c>
      <c r="DA102" s="29" t="n">
        <v>77744.18201893421</v>
      </c>
      <c r="DB102" s="29" t="n">
        <v>172675.1125625205</v>
      </c>
      <c r="DC102" s="29" t="n">
        <v>229299.4825494307</v>
      </c>
      <c r="DD102" s="29" t="n">
        <v>13396.94394695825</v>
      </c>
      <c r="DE102" s="29" t="n">
        <v>0</v>
      </c>
      <c r="DF102" s="29">
        <f>SUM(C102:DE102)</f>
        <v/>
      </c>
      <c r="DG102" s="29" t="n">
        <v>0</v>
      </c>
      <c r="DH102" s="29" t="n">
        <v>0</v>
      </c>
      <c r="DI102" s="29" t="n">
        <v>14350229.06230329</v>
      </c>
      <c r="DJ102" s="29" t="n">
        <v>0</v>
      </c>
      <c r="DK102" s="29">
        <f>SUM(DG102:DJ102)</f>
        <v/>
      </c>
      <c r="DL102" s="29">
        <f>DF102+DK102</f>
        <v/>
      </c>
    </row>
    <row r="103">
      <c r="A103" s="30" t="inlineStr">
        <is>
          <t>701 A</t>
        </is>
      </c>
      <c r="B103" s="30" t="inlineStr">
        <is>
          <t>701 A - Propiedad de la vivienda.</t>
        </is>
      </c>
      <c r="C103" s="31" t="n">
        <v>0</v>
      </c>
      <c r="D103" s="31" t="n">
        <v>0</v>
      </c>
      <c r="E103" s="31" t="n">
        <v>0</v>
      </c>
      <c r="F103" s="31" t="n">
        <v>0</v>
      </c>
      <c r="G103" s="31" t="n">
        <v>0</v>
      </c>
      <c r="H103" s="31" t="n">
        <v>0</v>
      </c>
      <c r="I103" s="31" t="n">
        <v>0</v>
      </c>
      <c r="J103" s="31" t="n">
        <v>0</v>
      </c>
      <c r="K103" s="31" t="n">
        <v>0</v>
      </c>
      <c r="L103" s="31" t="n">
        <v>0</v>
      </c>
      <c r="M103" s="31" t="n">
        <v>0</v>
      </c>
      <c r="N103" s="31" t="n">
        <v>0</v>
      </c>
      <c r="O103" s="31" t="n">
        <v>0</v>
      </c>
      <c r="P103" s="31" t="n">
        <v>0</v>
      </c>
      <c r="Q103" s="31" t="n">
        <v>0</v>
      </c>
      <c r="R103" s="31" t="n">
        <v>0</v>
      </c>
      <c r="S103" s="31" t="n">
        <v>0</v>
      </c>
      <c r="T103" s="31" t="n">
        <v>0</v>
      </c>
      <c r="U103" s="31" t="n">
        <v>0</v>
      </c>
      <c r="V103" s="31" t="n">
        <v>0</v>
      </c>
      <c r="W103" s="31" t="n">
        <v>0</v>
      </c>
      <c r="X103" s="31" t="n">
        <v>0</v>
      </c>
      <c r="Y103" s="31" t="n">
        <v>0</v>
      </c>
      <c r="Z103" s="31" t="n">
        <v>0</v>
      </c>
      <c r="AA103" s="31" t="n">
        <v>0</v>
      </c>
      <c r="AB103" s="31" t="n">
        <v>0</v>
      </c>
      <c r="AC103" s="31" t="n">
        <v>0</v>
      </c>
      <c r="AD103" s="31" t="n">
        <v>0</v>
      </c>
      <c r="AE103" s="31" t="n">
        <v>0</v>
      </c>
      <c r="AF103" s="31" t="n">
        <v>0</v>
      </c>
      <c r="AG103" s="31" t="n">
        <v>0</v>
      </c>
      <c r="AH103" s="31" t="n">
        <v>0</v>
      </c>
      <c r="AI103" s="31" t="n">
        <v>0</v>
      </c>
      <c r="AJ103" s="31" t="n">
        <v>0</v>
      </c>
      <c r="AK103" s="31" t="n">
        <v>0</v>
      </c>
      <c r="AL103" s="31" t="n">
        <v>0</v>
      </c>
      <c r="AM103" s="31" t="n">
        <v>0</v>
      </c>
      <c r="AN103" s="31" t="n">
        <v>0</v>
      </c>
      <c r="AO103" s="31" t="n">
        <v>0</v>
      </c>
      <c r="AP103" s="31" t="n">
        <v>0</v>
      </c>
      <c r="AQ103" s="31" t="n">
        <v>0</v>
      </c>
      <c r="AR103" s="31" t="n">
        <v>0</v>
      </c>
      <c r="AS103" s="31" t="n">
        <v>0</v>
      </c>
      <c r="AT103" s="31" t="n">
        <v>0</v>
      </c>
      <c r="AU103" s="31" t="n">
        <v>0</v>
      </c>
      <c r="AV103" s="31" t="n">
        <v>0</v>
      </c>
      <c r="AW103" s="31" t="n">
        <v>0</v>
      </c>
      <c r="AX103" s="31" t="n">
        <v>0</v>
      </c>
      <c r="AY103" s="31" t="n">
        <v>0</v>
      </c>
      <c r="AZ103" s="31" t="n">
        <v>0</v>
      </c>
      <c r="BA103" s="31" t="n">
        <v>0</v>
      </c>
      <c r="BB103" s="31" t="n">
        <v>0</v>
      </c>
      <c r="BC103" s="31" t="n">
        <v>0</v>
      </c>
      <c r="BD103" s="31" t="n">
        <v>0</v>
      </c>
      <c r="BE103" s="31" t="n">
        <v>0</v>
      </c>
      <c r="BF103" s="31" t="n">
        <v>0</v>
      </c>
      <c r="BG103" s="31" t="n">
        <v>0</v>
      </c>
      <c r="BH103" s="31" t="n">
        <v>0</v>
      </c>
      <c r="BI103" s="31" t="n">
        <v>0</v>
      </c>
      <c r="BJ103" s="31" t="n">
        <v>0</v>
      </c>
      <c r="BK103" s="31" t="n">
        <v>0</v>
      </c>
      <c r="BL103" s="31" t="n">
        <v>0</v>
      </c>
      <c r="BM103" s="31" t="n">
        <v>0</v>
      </c>
      <c r="BN103" s="31" t="n">
        <v>0</v>
      </c>
      <c r="BO103" s="31" t="n">
        <v>0</v>
      </c>
      <c r="BP103" s="31" t="n">
        <v>0</v>
      </c>
      <c r="BQ103" s="31" t="n">
        <v>0</v>
      </c>
      <c r="BR103" s="31" t="n">
        <v>0</v>
      </c>
      <c r="BS103" s="31" t="n">
        <v>0</v>
      </c>
      <c r="BT103" s="31" t="n">
        <v>0</v>
      </c>
      <c r="BU103" s="31" t="n">
        <v>0</v>
      </c>
      <c r="BV103" s="31" t="n">
        <v>0</v>
      </c>
      <c r="BW103" s="31" t="n">
        <v>0</v>
      </c>
      <c r="BX103" s="31" t="n">
        <v>0</v>
      </c>
      <c r="BY103" s="31" t="n">
        <v>0</v>
      </c>
      <c r="BZ103" s="31" t="n">
        <v>0</v>
      </c>
      <c r="CA103" s="31" t="n">
        <v>0</v>
      </c>
      <c r="CB103" s="31" t="n">
        <v>0</v>
      </c>
      <c r="CC103" s="31" t="n">
        <v>0</v>
      </c>
      <c r="CD103" s="31" t="n">
        <v>0</v>
      </c>
      <c r="CE103" s="31" t="n">
        <v>0</v>
      </c>
      <c r="CF103" s="31" t="n">
        <v>0</v>
      </c>
      <c r="CG103" s="31" t="n">
        <v>0</v>
      </c>
      <c r="CH103" s="31" t="n">
        <v>0</v>
      </c>
      <c r="CI103" s="31" t="n">
        <v>0</v>
      </c>
      <c r="CJ103" s="31" t="n">
        <v>0</v>
      </c>
      <c r="CK103" s="31" t="n">
        <v>0</v>
      </c>
      <c r="CL103" s="31" t="n">
        <v>0</v>
      </c>
      <c r="CM103" s="31" t="n">
        <v>0</v>
      </c>
      <c r="CN103" s="31" t="n">
        <v>0</v>
      </c>
      <c r="CO103" s="31" t="n">
        <v>0</v>
      </c>
      <c r="CP103" s="31" t="n">
        <v>0</v>
      </c>
      <c r="CQ103" s="31" t="n">
        <v>0</v>
      </c>
      <c r="CR103" s="31" t="n">
        <v>0</v>
      </c>
      <c r="CS103" s="31" t="n">
        <v>0</v>
      </c>
      <c r="CT103" s="31" t="n">
        <v>0</v>
      </c>
      <c r="CU103" s="31" t="n">
        <v>0</v>
      </c>
      <c r="CV103" s="31" t="n">
        <v>0</v>
      </c>
      <c r="CW103" s="31" t="n">
        <v>0</v>
      </c>
      <c r="CX103" s="31" t="n">
        <v>0</v>
      </c>
      <c r="CY103" s="31" t="n">
        <v>0</v>
      </c>
      <c r="CZ103" s="31" t="n">
        <v>0</v>
      </c>
      <c r="DA103" s="31" t="n">
        <v>0</v>
      </c>
      <c r="DB103" s="31" t="n">
        <v>0</v>
      </c>
      <c r="DC103" s="31" t="n">
        <v>0</v>
      </c>
      <c r="DD103" s="31" t="n">
        <v>0</v>
      </c>
      <c r="DE103" s="31" t="n">
        <v>0</v>
      </c>
      <c r="DF103" s="31">
        <f>SUM(C103:DE103)</f>
        <v/>
      </c>
      <c r="DG103" s="31" t="n">
        <v>0</v>
      </c>
      <c r="DH103" s="31" t="n">
        <v>0</v>
      </c>
      <c r="DI103" s="31" t="n">
        <v>607600635.89763</v>
      </c>
      <c r="DJ103" s="31" t="n">
        <v>0</v>
      </c>
      <c r="DK103" s="31">
        <f>SUM(DG103:DJ103)</f>
        <v/>
      </c>
      <c r="DL103" s="31">
        <f>DF103+DK103</f>
        <v/>
      </c>
    </row>
    <row r="104">
      <c r="A104" s="28" t="inlineStr">
        <is>
          <t>701 B</t>
        </is>
      </c>
      <c r="B104" s="28" t="inlineStr">
        <is>
          <t>701 B - Alquiler de los sectores productores.</t>
        </is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200688.981929122</v>
      </c>
      <c r="I104" s="29" t="n">
        <v>1842.140406285664</v>
      </c>
      <c r="J104" s="29" t="n">
        <v>683041.144900532</v>
      </c>
      <c r="K104" s="29" t="n">
        <v>652688.5905280636</v>
      </c>
      <c r="L104" s="29" t="n">
        <v>80254.00065140142</v>
      </c>
      <c r="M104" s="29" t="n">
        <v>132595.5031200001</v>
      </c>
      <c r="N104" s="29" t="n">
        <v>232467.5616356048</v>
      </c>
      <c r="O104" s="29" t="n">
        <v>134713.9412423004</v>
      </c>
      <c r="P104" s="29" t="n">
        <v>67330.72287794959</v>
      </c>
      <c r="Q104" s="29" t="n">
        <v>229245.5691384283</v>
      </c>
      <c r="R104" s="29" t="n">
        <v>491164.7487038144</v>
      </c>
      <c r="S104" s="29" t="n">
        <v>93265.75435372055</v>
      </c>
      <c r="T104" s="29" t="n">
        <v>152872.4034568701</v>
      </c>
      <c r="U104" s="29" t="n">
        <v>625597.3346669067</v>
      </c>
      <c r="V104" s="29" t="n">
        <v>38124.97463678684</v>
      </c>
      <c r="W104" s="29" t="n">
        <v>93935.86498926325</v>
      </c>
      <c r="X104" s="29" t="n">
        <v>100057.6026464368</v>
      </c>
      <c r="Y104" s="29" t="n">
        <v>223644.775976974</v>
      </c>
      <c r="Z104" s="29" t="n">
        <v>1474.689843644408</v>
      </c>
      <c r="AA104" s="29" t="n">
        <v>146344.6591171004</v>
      </c>
      <c r="AB104" s="29" t="n">
        <v>95298.12572811094</v>
      </c>
      <c r="AC104" s="29" t="n">
        <v>336549.4962933915</v>
      </c>
      <c r="AD104" s="29" t="n">
        <v>16394.38063278962</v>
      </c>
      <c r="AE104" s="29" t="n">
        <v>181086.6658333527</v>
      </c>
      <c r="AF104" s="29" t="n">
        <v>602892.138578883</v>
      </c>
      <c r="AG104" s="29" t="n">
        <v>38652.6024399261</v>
      </c>
      <c r="AH104" s="29" t="n">
        <v>259186.3345439505</v>
      </c>
      <c r="AI104" s="29" t="n">
        <v>184908.2697466595</v>
      </c>
      <c r="AJ104" s="29" t="n">
        <v>384928.386289302</v>
      </c>
      <c r="AK104" s="29" t="n">
        <v>293247.6552797247</v>
      </c>
      <c r="AL104" s="29" t="n">
        <v>340757.941169516</v>
      </c>
      <c r="AM104" s="29" t="n">
        <v>252421.1071189104</v>
      </c>
      <c r="AN104" s="29" t="n">
        <v>84159.03521680261</v>
      </c>
      <c r="AO104" s="29" t="n">
        <v>31406.17416260363</v>
      </c>
      <c r="AP104" s="29" t="n">
        <v>47715.59990960984</v>
      </c>
      <c r="AQ104" s="29" t="n">
        <v>811273.1048694301</v>
      </c>
      <c r="AR104" s="29" t="n">
        <v>84085.15376621751</v>
      </c>
      <c r="AS104" s="29" t="n">
        <v>384548.0187224459</v>
      </c>
      <c r="AT104" s="29" t="n">
        <v>33944.69710803989</v>
      </c>
      <c r="AU104" s="29" t="n">
        <v>286979.8298023763</v>
      </c>
      <c r="AV104" s="29" t="n">
        <v>97598.68021022578</v>
      </c>
      <c r="AW104" s="29" t="n">
        <v>35334.54926263787</v>
      </c>
      <c r="AX104" s="29" t="n">
        <v>93835.03208595277</v>
      </c>
      <c r="AY104" s="29" t="n">
        <v>191976.7527782367</v>
      </c>
      <c r="AZ104" s="29" t="n">
        <v>376197.6790371407</v>
      </c>
      <c r="BA104" s="29" t="n">
        <v>158872.558868984</v>
      </c>
      <c r="BB104" s="29" t="n">
        <v>177082.3770361912</v>
      </c>
      <c r="BC104" s="29" t="n">
        <v>53382.43514016292</v>
      </c>
      <c r="BD104" s="29" t="n">
        <v>23593.99498971451</v>
      </c>
      <c r="BE104" s="29" t="n">
        <v>87689.40023361196</v>
      </c>
      <c r="BF104" s="29" t="n">
        <v>29473.83512949245</v>
      </c>
      <c r="BG104" s="29" t="n">
        <v>78079.79329154591</v>
      </c>
      <c r="BH104" s="29" t="n">
        <v>277285.5611548749</v>
      </c>
      <c r="BI104" s="29" t="n">
        <v>12410.16966497208</v>
      </c>
      <c r="BJ104" s="29" t="n">
        <v>87211.05671957298</v>
      </c>
      <c r="BK104" s="29" t="n">
        <v>100937.3380983764</v>
      </c>
      <c r="BL104" s="29" t="n">
        <v>200537.8850549843</v>
      </c>
      <c r="BM104" s="29" t="n">
        <v>209098.349603148</v>
      </c>
      <c r="BN104" s="29" t="n">
        <v>396167.1035508838</v>
      </c>
      <c r="BO104" s="29" t="n">
        <v>120534.2300922288</v>
      </c>
      <c r="BP104" s="29" t="n">
        <v>768971.8748202223</v>
      </c>
      <c r="BQ104" s="29" t="n">
        <v>426717.0608987019</v>
      </c>
      <c r="BR104" s="29" t="n">
        <v>213466.8949243799</v>
      </c>
      <c r="BS104" s="29" t="n">
        <v>0</v>
      </c>
      <c r="BT104" s="29" t="n">
        <v>3305726.555576317</v>
      </c>
      <c r="BU104" s="29" t="n">
        <v>7043456.856283874</v>
      </c>
      <c r="BV104" s="29" t="n">
        <v>70302769.83722623</v>
      </c>
      <c r="BW104" s="29" t="n">
        <v>0</v>
      </c>
      <c r="BX104" s="29" t="n">
        <v>653534.7113729144</v>
      </c>
      <c r="BY104" s="29" t="n">
        <v>15356353.59839796</v>
      </c>
      <c r="BZ104" s="29" t="n">
        <v>226837.9982605066</v>
      </c>
      <c r="CA104" s="29" t="n">
        <v>4261515.544553543</v>
      </c>
      <c r="CB104" s="29" t="n">
        <v>573549.0483658203</v>
      </c>
      <c r="CC104" s="29" t="n">
        <v>18935.86610159991</v>
      </c>
      <c r="CD104" s="29" t="n">
        <v>754065.5254906099</v>
      </c>
      <c r="CE104" s="29" t="n">
        <v>6631708.030993479</v>
      </c>
      <c r="CF104" s="29" t="n">
        <v>577714.5851216123</v>
      </c>
      <c r="CG104" s="29" t="n">
        <v>1060138.171053563</v>
      </c>
      <c r="CH104" s="29" t="n">
        <v>1696975.093454255</v>
      </c>
      <c r="CI104" s="29" t="n">
        <v>1229747.347528165</v>
      </c>
      <c r="CJ104" s="29" t="n">
        <v>5737592.735562264</v>
      </c>
      <c r="CK104" s="29" t="n">
        <v>1351535.709266169</v>
      </c>
      <c r="CL104" s="29" t="n">
        <v>2633945.903187188</v>
      </c>
      <c r="CM104" s="29" t="n">
        <v>1281235.146714053</v>
      </c>
      <c r="CN104" s="29" t="n">
        <v>0</v>
      </c>
      <c r="CO104" s="29" t="n">
        <v>0</v>
      </c>
      <c r="CP104" s="29" t="n">
        <v>226956.6697288693</v>
      </c>
      <c r="CQ104" s="29" t="n">
        <v>494699.597899676</v>
      </c>
      <c r="CR104" s="29" t="n">
        <v>1432008.638598781</v>
      </c>
      <c r="CS104" s="29" t="n">
        <v>181882.7599769049</v>
      </c>
      <c r="CT104" s="29" t="n">
        <v>166078.9613659589</v>
      </c>
      <c r="CU104" s="29" t="n">
        <v>3915489.847240886</v>
      </c>
      <c r="CV104" s="29" t="n">
        <v>8860403.197082337</v>
      </c>
      <c r="CW104" s="29" t="n">
        <v>4031089.948846788</v>
      </c>
      <c r="CX104" s="29" t="n">
        <v>1320125.158536969</v>
      </c>
      <c r="CY104" s="29" t="n">
        <v>4084561.445392598</v>
      </c>
      <c r="CZ104" s="29" t="n">
        <v>282949.2680186994</v>
      </c>
      <c r="DA104" s="29" t="n">
        <v>975721.6776523723</v>
      </c>
      <c r="DB104" s="29" t="n">
        <v>828835.6191581012</v>
      </c>
      <c r="DC104" s="29" t="n">
        <v>2092014.209088532</v>
      </c>
      <c r="DD104" s="29" t="n">
        <v>446498.2209909554</v>
      </c>
      <c r="DE104" s="29" t="n">
        <v>0</v>
      </c>
      <c r="DF104" s="29">
        <f>SUM(C104:DE104)</f>
        <v/>
      </c>
      <c r="DG104" s="29" t="n">
        <v>0</v>
      </c>
      <c r="DH104" s="29" t="n">
        <v>0</v>
      </c>
      <c r="DI104" s="29" t="n">
        <v>465105.2212319432</v>
      </c>
      <c r="DJ104" s="29" t="n">
        <v>0</v>
      </c>
      <c r="DK104" s="29">
        <f>SUM(DG104:DJ104)</f>
        <v/>
      </c>
      <c r="DL104" s="29">
        <f>DF104+DK104</f>
        <v/>
      </c>
    </row>
    <row r="105">
      <c r="A105" s="30" t="inlineStr">
        <is>
          <t>702</t>
        </is>
      </c>
      <c r="B105" s="30" t="inlineStr">
        <is>
          <t>Actividades inmobiliarias realizadas a cambio de una retribución o por contrata</t>
        </is>
      </c>
      <c r="C105" s="31" t="n">
        <v>88848.11379709745</v>
      </c>
      <c r="D105" s="31" t="n">
        <v>0</v>
      </c>
      <c r="E105" s="31" t="n">
        <v>0</v>
      </c>
      <c r="F105" s="31" t="n">
        <v>0</v>
      </c>
      <c r="G105" s="31" t="n">
        <v>0</v>
      </c>
      <c r="H105" s="31" t="n">
        <v>0</v>
      </c>
      <c r="I105" s="31" t="n">
        <v>0</v>
      </c>
      <c r="J105" s="31" t="n">
        <v>0</v>
      </c>
      <c r="K105" s="31" t="n">
        <v>0</v>
      </c>
      <c r="L105" s="31" t="n">
        <v>1067.125427709432</v>
      </c>
      <c r="M105" s="31" t="n">
        <v>6408.058847616342</v>
      </c>
      <c r="N105" s="31" t="n">
        <v>0</v>
      </c>
      <c r="O105" s="31" t="n">
        <v>0</v>
      </c>
      <c r="P105" s="31" t="n">
        <v>0</v>
      </c>
      <c r="Q105" s="31" t="n">
        <v>148840.5387651857</v>
      </c>
      <c r="R105" s="31" t="n">
        <v>0</v>
      </c>
      <c r="S105" s="31" t="n">
        <v>0</v>
      </c>
      <c r="T105" s="31" t="n">
        <v>0</v>
      </c>
      <c r="U105" s="31" t="n">
        <v>0</v>
      </c>
      <c r="V105" s="31" t="n">
        <v>0</v>
      </c>
      <c r="W105" s="31" t="n">
        <v>0</v>
      </c>
      <c r="X105" s="31" t="n">
        <v>0</v>
      </c>
      <c r="Y105" s="31" t="n">
        <v>0</v>
      </c>
      <c r="Z105" s="31" t="n">
        <v>0</v>
      </c>
      <c r="AA105" s="31" t="n">
        <v>0</v>
      </c>
      <c r="AB105" s="31" t="n">
        <v>0</v>
      </c>
      <c r="AC105" s="31" t="n">
        <v>0</v>
      </c>
      <c r="AD105" s="31" t="n">
        <v>0</v>
      </c>
      <c r="AE105" s="31" t="n">
        <v>0</v>
      </c>
      <c r="AF105" s="31" t="n">
        <v>0</v>
      </c>
      <c r="AG105" s="31" t="n">
        <v>0</v>
      </c>
      <c r="AH105" s="31" t="n">
        <v>0</v>
      </c>
      <c r="AI105" s="31" t="n">
        <v>0</v>
      </c>
      <c r="AJ105" s="31" t="n">
        <v>0</v>
      </c>
      <c r="AK105" s="31" t="n">
        <v>0</v>
      </c>
      <c r="AL105" s="31" t="n">
        <v>0</v>
      </c>
      <c r="AM105" s="31" t="n">
        <v>0</v>
      </c>
      <c r="AN105" s="31" t="n">
        <v>0</v>
      </c>
      <c r="AO105" s="31" t="n">
        <v>0</v>
      </c>
      <c r="AP105" s="31" t="n">
        <v>0</v>
      </c>
      <c r="AQ105" s="31" t="n">
        <v>0</v>
      </c>
      <c r="AR105" s="31" t="n">
        <v>0</v>
      </c>
      <c r="AS105" s="31" t="n">
        <v>0</v>
      </c>
      <c r="AT105" s="31" t="n">
        <v>0</v>
      </c>
      <c r="AU105" s="31" t="n">
        <v>0</v>
      </c>
      <c r="AV105" s="31" t="n">
        <v>0</v>
      </c>
      <c r="AW105" s="31" t="n">
        <v>0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0</v>
      </c>
      <c r="BF105" s="31" t="n">
        <v>0</v>
      </c>
      <c r="BG105" s="31" t="n">
        <v>0</v>
      </c>
      <c r="BH105" s="31" t="n">
        <v>0</v>
      </c>
      <c r="BI105" s="31" t="n">
        <v>0</v>
      </c>
      <c r="BJ105" s="31" t="n">
        <v>0</v>
      </c>
      <c r="BK105" s="31" t="n">
        <v>0</v>
      </c>
      <c r="BL105" s="31" t="n">
        <v>0</v>
      </c>
      <c r="BM105" s="31" t="n">
        <v>0</v>
      </c>
      <c r="BN105" s="31" t="n">
        <v>0</v>
      </c>
      <c r="BO105" s="31" t="n">
        <v>0</v>
      </c>
      <c r="BP105" s="31" t="n">
        <v>0</v>
      </c>
      <c r="BQ105" s="31" t="n">
        <v>264213.974139383</v>
      </c>
      <c r="BR105" s="31" t="n">
        <v>264213.974139383</v>
      </c>
      <c r="BS105" s="31" t="n">
        <v>0</v>
      </c>
      <c r="BT105" s="31" t="n">
        <v>0</v>
      </c>
      <c r="BU105" s="31" t="n">
        <v>880713.2471312766</v>
      </c>
      <c r="BV105" s="31" t="n">
        <v>880713.2471312766</v>
      </c>
      <c r="BW105" s="31" t="n">
        <v>0</v>
      </c>
      <c r="BX105" s="31" t="n">
        <v>0</v>
      </c>
      <c r="BY105" s="31" t="n">
        <v>0</v>
      </c>
      <c r="BZ105" s="31" t="n">
        <v>0</v>
      </c>
      <c r="CA105" s="31" t="n">
        <v>0</v>
      </c>
      <c r="CB105" s="31" t="n">
        <v>0</v>
      </c>
      <c r="CC105" s="31" t="n">
        <v>0</v>
      </c>
      <c r="CD105" s="31" t="n">
        <v>0</v>
      </c>
      <c r="CE105" s="31" t="n">
        <v>176142.6494262553</v>
      </c>
      <c r="CF105" s="31" t="n">
        <v>0</v>
      </c>
      <c r="CG105" s="31" t="n">
        <v>0</v>
      </c>
      <c r="CH105" s="31" t="n">
        <v>0</v>
      </c>
      <c r="CI105" s="31" t="n">
        <v>0</v>
      </c>
      <c r="CJ105" s="31" t="n">
        <v>0</v>
      </c>
      <c r="CK105" s="31" t="n">
        <v>15895.63481510231</v>
      </c>
      <c r="CL105" s="31" t="n">
        <v>0</v>
      </c>
      <c r="CM105" s="31" t="n">
        <v>1701.598804771301</v>
      </c>
      <c r="CN105" s="31" t="n">
        <v>2244920.77667996</v>
      </c>
      <c r="CO105" s="31" t="n">
        <v>3050418.894667503</v>
      </c>
      <c r="CP105" s="31" t="n">
        <v>0</v>
      </c>
      <c r="CQ105" s="31" t="n">
        <v>0</v>
      </c>
      <c r="CR105" s="31" t="n">
        <v>5272.644334859719</v>
      </c>
      <c r="CS105" s="31" t="n">
        <v>0</v>
      </c>
      <c r="CT105" s="31" t="n">
        <v>0</v>
      </c>
      <c r="CU105" s="31" t="n">
        <v>0</v>
      </c>
      <c r="CV105" s="31" t="n">
        <v>0</v>
      </c>
      <c r="CW105" s="31" t="n">
        <v>0</v>
      </c>
      <c r="CX105" s="31" t="n">
        <v>0</v>
      </c>
      <c r="CY105" s="31" t="n">
        <v>0</v>
      </c>
      <c r="CZ105" s="31" t="n">
        <v>0</v>
      </c>
      <c r="DA105" s="31" t="n">
        <v>0</v>
      </c>
      <c r="DB105" s="31" t="n">
        <v>0</v>
      </c>
      <c r="DC105" s="31" t="n">
        <v>14179.48327881355</v>
      </c>
      <c r="DD105" s="31" t="n">
        <v>0</v>
      </c>
      <c r="DE105" s="31" t="n">
        <v>0</v>
      </c>
      <c r="DF105" s="31">
        <f>SUM(C105:DE105)</f>
        <v/>
      </c>
      <c r="DG105" s="31" t="n">
        <v>0</v>
      </c>
      <c r="DH105" s="31" t="n">
        <v>0</v>
      </c>
      <c r="DI105" s="31" t="n">
        <v>23658303.3106948</v>
      </c>
      <c r="DJ105" s="31" t="n">
        <v>0</v>
      </c>
      <c r="DK105" s="31">
        <f>SUM(DG105:DJ105)</f>
        <v/>
      </c>
      <c r="DL105" s="31">
        <f>DF105+DK105</f>
        <v/>
      </c>
    </row>
    <row r="106">
      <c r="A106" s="28" t="inlineStr">
        <is>
          <t>71</t>
        </is>
      </c>
      <c r="B106" s="28" t="inlineStr">
        <is>
          <t>ALQUILER DE MAQUINARIA Y EQUIPO SIN OPERARIOS Y DE EFECTOS PERSONALES Y ENSERES DOMÉSTICOS</t>
        </is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386078.6709691419</v>
      </c>
      <c r="I106" s="29" t="n">
        <v>6344.400660844592</v>
      </c>
      <c r="J106" s="29" t="n">
        <v>1084337.759873446</v>
      </c>
      <c r="K106" s="29" t="n">
        <v>3412988.587770315</v>
      </c>
      <c r="L106" s="29" t="n">
        <v>571229.9723951223</v>
      </c>
      <c r="M106" s="29" t="n">
        <v>210500.0642593119</v>
      </c>
      <c r="N106" s="29" t="n">
        <v>169436.5496061936</v>
      </c>
      <c r="O106" s="29" t="n">
        <v>175662.5441791396</v>
      </c>
      <c r="P106" s="29" t="n">
        <v>75733.01093582364</v>
      </c>
      <c r="Q106" s="29" t="n">
        <v>71966.06722428724</v>
      </c>
      <c r="R106" s="29" t="n">
        <v>224102.0359738354</v>
      </c>
      <c r="S106" s="29" t="n">
        <v>31969.45024275867</v>
      </c>
      <c r="T106" s="29" t="n">
        <v>29891.95821432044</v>
      </c>
      <c r="U106" s="29" t="n">
        <v>62881.11388021972</v>
      </c>
      <c r="V106" s="29" t="n">
        <v>8654.257669303239</v>
      </c>
      <c r="W106" s="29" t="n">
        <v>16060.25993528893</v>
      </c>
      <c r="X106" s="29" t="n">
        <v>12675.91413719602</v>
      </c>
      <c r="Y106" s="29" t="n">
        <v>258627.8195163938</v>
      </c>
      <c r="Z106" s="29" t="n">
        <v>50154.90074710739</v>
      </c>
      <c r="AA106" s="29" t="n">
        <v>55923.87631401527</v>
      </c>
      <c r="AB106" s="29" t="n">
        <v>42168.09975848967</v>
      </c>
      <c r="AC106" s="29" t="n">
        <v>163764.2935142424</v>
      </c>
      <c r="AD106" s="29" t="n">
        <v>14652.88929987153</v>
      </c>
      <c r="AE106" s="29" t="n">
        <v>84892.91784682669</v>
      </c>
      <c r="AF106" s="29" t="n">
        <v>14749.94030800838</v>
      </c>
      <c r="AG106" s="29" t="n">
        <v>22394.66219381844</v>
      </c>
      <c r="AH106" s="29" t="n">
        <v>3999.344713211986</v>
      </c>
      <c r="AI106" s="29" t="n">
        <v>67370.9728893408</v>
      </c>
      <c r="AJ106" s="29" t="n">
        <v>125067.3500405767</v>
      </c>
      <c r="AK106" s="29" t="n">
        <v>71623.03162214989</v>
      </c>
      <c r="AL106" s="29" t="n">
        <v>128827.5609304524</v>
      </c>
      <c r="AM106" s="29" t="n">
        <v>297247.8781512983</v>
      </c>
      <c r="AN106" s="29" t="n">
        <v>97183.60685724759</v>
      </c>
      <c r="AO106" s="29" t="n">
        <v>31406.36864094846</v>
      </c>
      <c r="AP106" s="29" t="n">
        <v>134884.3243738634</v>
      </c>
      <c r="AQ106" s="29" t="n">
        <v>240891.195919337</v>
      </c>
      <c r="AR106" s="29" t="n">
        <v>31043.63096393988</v>
      </c>
      <c r="AS106" s="29" t="n">
        <v>7557.519663544609</v>
      </c>
      <c r="AT106" s="29" t="n">
        <v>26596.29960003435</v>
      </c>
      <c r="AU106" s="29" t="n">
        <v>366502.2815354735</v>
      </c>
      <c r="AV106" s="29" t="n">
        <v>171629.2168082261</v>
      </c>
      <c r="AW106" s="29" t="n">
        <v>7469.378972943111</v>
      </c>
      <c r="AX106" s="29" t="n">
        <v>13848.08653668844</v>
      </c>
      <c r="AY106" s="29" t="n">
        <v>107532.6930969533</v>
      </c>
      <c r="AZ106" s="29" t="n">
        <v>78121.03534293744</v>
      </c>
      <c r="BA106" s="29" t="n">
        <v>60239.06515009837</v>
      </c>
      <c r="BB106" s="29" t="n">
        <v>324827.1787771057</v>
      </c>
      <c r="BC106" s="29" t="n">
        <v>15985.08825829814</v>
      </c>
      <c r="BD106" s="29" t="n">
        <v>1051.130865852639</v>
      </c>
      <c r="BE106" s="29" t="n">
        <v>10563.11341325871</v>
      </c>
      <c r="BF106" s="29" t="n">
        <v>6434.305890231978</v>
      </c>
      <c r="BG106" s="29" t="n">
        <v>16291.43881513028</v>
      </c>
      <c r="BH106" s="29" t="n">
        <v>95327.98572548505</v>
      </c>
      <c r="BI106" s="29" t="n">
        <v>520.5446104040456</v>
      </c>
      <c r="BJ106" s="29" t="n">
        <v>9379.344425624829</v>
      </c>
      <c r="BK106" s="29" t="n">
        <v>350405.1397541613</v>
      </c>
      <c r="BL106" s="29" t="n">
        <v>47877.91775985451</v>
      </c>
      <c r="BM106" s="29" t="n">
        <v>26719.723718605</v>
      </c>
      <c r="BN106" s="29" t="n">
        <v>29045.5506552423</v>
      </c>
      <c r="BO106" s="29" t="n">
        <v>68214.1348885164</v>
      </c>
      <c r="BP106" s="29" t="n">
        <v>996473.028736121</v>
      </c>
      <c r="BQ106" s="29" t="n">
        <v>373460.5299771914</v>
      </c>
      <c r="BR106" s="29" t="n">
        <v>99281.19292051894</v>
      </c>
      <c r="BS106" s="29" t="n">
        <v>5808972.728685061</v>
      </c>
      <c r="BT106" s="29" t="n">
        <v>1860723.285246287</v>
      </c>
      <c r="BU106" s="29" t="n">
        <v>2691815.986992532</v>
      </c>
      <c r="BV106" s="29" t="n">
        <v>1282878.302796709</v>
      </c>
      <c r="BW106" s="29" t="n">
        <v>0</v>
      </c>
      <c r="BX106" s="29" t="n">
        <v>56169.69760008181</v>
      </c>
      <c r="BY106" s="29" t="n">
        <v>236996.4748191448</v>
      </c>
      <c r="BZ106" s="29" t="n">
        <v>40492.40808237047</v>
      </c>
      <c r="CA106" s="29" t="n">
        <v>1248529.791630887</v>
      </c>
      <c r="CB106" s="29" t="n">
        <v>0</v>
      </c>
      <c r="CC106" s="29" t="n">
        <v>38998.64120107497</v>
      </c>
      <c r="CD106" s="29" t="n">
        <v>4423775.943651276</v>
      </c>
      <c r="CE106" s="29" t="n">
        <v>1254912.75171328</v>
      </c>
      <c r="CF106" s="29" t="n">
        <v>75586.69094659944</v>
      </c>
      <c r="CG106" s="29" t="n">
        <v>1429296.599472248</v>
      </c>
      <c r="CH106" s="29" t="n">
        <v>12925896.14210367</v>
      </c>
      <c r="CI106" s="29" t="n">
        <v>429002.4843413334</v>
      </c>
      <c r="CJ106" s="29" t="n">
        <v>28945.73890055462</v>
      </c>
      <c r="CK106" s="29" t="n">
        <v>1452316.257449616</v>
      </c>
      <c r="CL106" s="29" t="n">
        <v>280052.771694877</v>
      </c>
      <c r="CM106" s="29" t="n">
        <v>162776.815906608</v>
      </c>
      <c r="CN106" s="29" t="n">
        <v>0</v>
      </c>
      <c r="CO106" s="29" t="n">
        <v>0</v>
      </c>
      <c r="CP106" s="29" t="n">
        <v>101889.0860468105</v>
      </c>
      <c r="CQ106" s="29" t="n">
        <v>73910.67759767799</v>
      </c>
      <c r="CR106" s="29" t="n">
        <v>1913711.826474212</v>
      </c>
      <c r="CS106" s="29" t="n">
        <v>11247.70259687555</v>
      </c>
      <c r="CT106" s="29" t="n">
        <v>10270.38937213997</v>
      </c>
      <c r="CU106" s="29" t="n">
        <v>2146461.300179959</v>
      </c>
      <c r="CV106" s="29" t="n">
        <v>547930.8762515051</v>
      </c>
      <c r="CW106" s="29" t="n">
        <v>160504.9653177779</v>
      </c>
      <c r="CX106" s="29" t="n">
        <v>179925.642237144</v>
      </c>
      <c r="CY106" s="29" t="n">
        <v>717270.5327235992</v>
      </c>
      <c r="CZ106" s="29" t="n">
        <v>21217.27984328222</v>
      </c>
      <c r="DA106" s="29" t="n">
        <v>1161042.632585078</v>
      </c>
      <c r="DB106" s="29" t="n">
        <v>101938.9091227098</v>
      </c>
      <c r="DC106" s="29" t="n">
        <v>1378221.841747209</v>
      </c>
      <c r="DD106" s="29" t="n">
        <v>0</v>
      </c>
      <c r="DE106" s="29" t="n">
        <v>0</v>
      </c>
      <c r="DF106" s="29">
        <f>SUM(C106:DE106)</f>
        <v/>
      </c>
      <c r="DG106" s="29" t="n">
        <v>0</v>
      </c>
      <c r="DH106" s="29" t="n">
        <v>0</v>
      </c>
      <c r="DI106" s="29" t="n">
        <v>4834897.511342132</v>
      </c>
      <c r="DJ106" s="29" t="n">
        <v>0</v>
      </c>
      <c r="DK106" s="29">
        <f>SUM(DG106:DJ106)</f>
        <v/>
      </c>
      <c r="DL106" s="29">
        <f>DF106+DK106</f>
        <v/>
      </c>
    </row>
    <row r="107">
      <c r="A107" s="30" t="inlineStr">
        <is>
          <t>72</t>
        </is>
      </c>
      <c r="B107" s="30" t="inlineStr">
        <is>
          <t>Informática y actividades conexas</t>
        </is>
      </c>
      <c r="C107" s="31" t="n">
        <v>14360230.75446269</v>
      </c>
      <c r="D107" s="31" t="n">
        <v>1265095.01634584</v>
      </c>
      <c r="E107" s="31" t="n">
        <v>52720.84822930957</v>
      </c>
      <c r="F107" s="31" t="n">
        <v>0</v>
      </c>
      <c r="G107" s="31" t="n">
        <v>412651.3332902606</v>
      </c>
      <c r="H107" s="31" t="n">
        <v>963280.5243626615</v>
      </c>
      <c r="I107" s="31" t="n">
        <v>23915.29562686414</v>
      </c>
      <c r="J107" s="31" t="n">
        <v>1898679.387320748</v>
      </c>
      <c r="K107" s="31" t="n">
        <v>1832812.484761302</v>
      </c>
      <c r="L107" s="31" t="n">
        <v>555644.6429391766</v>
      </c>
      <c r="M107" s="31" t="n">
        <v>456009.4503319949</v>
      </c>
      <c r="N107" s="31" t="n">
        <v>340960.9256800222</v>
      </c>
      <c r="O107" s="31" t="n">
        <v>296125.8812252745</v>
      </c>
      <c r="P107" s="31" t="n">
        <v>197503.4219150234</v>
      </c>
      <c r="Q107" s="31" t="n">
        <v>1474456.602154173</v>
      </c>
      <c r="R107" s="31" t="n">
        <v>519630.3321208469</v>
      </c>
      <c r="S107" s="31" t="n">
        <v>309228.3433291223</v>
      </c>
      <c r="T107" s="31" t="n">
        <v>874451.6756378599</v>
      </c>
      <c r="U107" s="31" t="n">
        <v>579542.0618206938</v>
      </c>
      <c r="V107" s="31" t="n">
        <v>228864.3113428218</v>
      </c>
      <c r="W107" s="31" t="n">
        <v>207585.8065347095</v>
      </c>
      <c r="X107" s="31" t="n">
        <v>70857.27484062238</v>
      </c>
      <c r="Y107" s="31" t="n">
        <v>588350.5572661981</v>
      </c>
      <c r="Z107" s="31" t="n">
        <v>126724.8762108979</v>
      </c>
      <c r="AA107" s="31" t="n">
        <v>158615.380710377</v>
      </c>
      <c r="AB107" s="31" t="n">
        <v>353387.6190070728</v>
      </c>
      <c r="AC107" s="31" t="n">
        <v>805535.2402501724</v>
      </c>
      <c r="AD107" s="31" t="n">
        <v>1367014.283851824</v>
      </c>
      <c r="AE107" s="31" t="n">
        <v>399742.6176665614</v>
      </c>
      <c r="AF107" s="31" t="n">
        <v>164816.788074798</v>
      </c>
      <c r="AG107" s="31" t="n">
        <v>62350.93792594012</v>
      </c>
      <c r="AH107" s="31" t="n">
        <v>83781.24063778824</v>
      </c>
      <c r="AI107" s="31" t="n">
        <v>246194.1637439219</v>
      </c>
      <c r="AJ107" s="31" t="n">
        <v>907025.950407114</v>
      </c>
      <c r="AK107" s="31" t="n">
        <v>1151327.99344178</v>
      </c>
      <c r="AL107" s="31" t="n">
        <v>248358.4064923789</v>
      </c>
      <c r="AM107" s="31" t="n">
        <v>493812.4972195397</v>
      </c>
      <c r="AN107" s="31" t="n">
        <v>584517.162423574</v>
      </c>
      <c r="AO107" s="31" t="n">
        <v>540891.6667921719</v>
      </c>
      <c r="AP107" s="31" t="n">
        <v>720337.9245478112</v>
      </c>
      <c r="AQ107" s="31" t="n">
        <v>1634418.174032468</v>
      </c>
      <c r="AR107" s="31" t="n">
        <v>548920.7853305058</v>
      </c>
      <c r="AS107" s="31" t="n">
        <v>644134.2245137163</v>
      </c>
      <c r="AT107" s="31" t="n">
        <v>192153.2493847458</v>
      </c>
      <c r="AU107" s="31" t="n">
        <v>706074.5571740413</v>
      </c>
      <c r="AV107" s="31" t="n">
        <v>936444.9241921908</v>
      </c>
      <c r="AW107" s="31" t="n">
        <v>116726.4604753482</v>
      </c>
      <c r="AX107" s="31" t="n">
        <v>237160.4813814488</v>
      </c>
      <c r="AY107" s="31" t="n">
        <v>177179.5787062499</v>
      </c>
      <c r="AZ107" s="31" t="n">
        <v>466514.2750095521</v>
      </c>
      <c r="BA107" s="31" t="n">
        <v>155405.6743948164</v>
      </c>
      <c r="BB107" s="31" t="n">
        <v>349647.6414756149</v>
      </c>
      <c r="BC107" s="31" t="n">
        <v>108009.7932492302</v>
      </c>
      <c r="BD107" s="31" t="n">
        <v>2905.051841062023</v>
      </c>
      <c r="BE107" s="31" t="n">
        <v>93494.06267094966</v>
      </c>
      <c r="BF107" s="31" t="n">
        <v>102035.3319156974</v>
      </c>
      <c r="BG107" s="31" t="n">
        <v>40315.96451739345</v>
      </c>
      <c r="BH107" s="31" t="n">
        <v>101329.7897075122</v>
      </c>
      <c r="BI107" s="31" t="n">
        <v>17907.84465400716</v>
      </c>
      <c r="BJ107" s="31" t="n">
        <v>82976.89181164753</v>
      </c>
      <c r="BK107" s="31" t="n">
        <v>1828870.637636896</v>
      </c>
      <c r="BL107" s="31" t="n">
        <v>380645.0042655093</v>
      </c>
      <c r="BM107" s="31" t="n">
        <v>172164.9568953693</v>
      </c>
      <c r="BN107" s="31" t="n">
        <v>182189.9616123773</v>
      </c>
      <c r="BO107" s="31" t="n">
        <v>108951.2549592818</v>
      </c>
      <c r="BP107" s="31" t="n">
        <v>1819843.323234963</v>
      </c>
      <c r="BQ107" s="31" t="n">
        <v>438367.9598428165</v>
      </c>
      <c r="BR107" s="31" t="n">
        <v>585988.1300217749</v>
      </c>
      <c r="BS107" s="31" t="n">
        <v>4291.763130162662</v>
      </c>
      <c r="BT107" s="31" t="n">
        <v>3929815.081248511</v>
      </c>
      <c r="BU107" s="31" t="n">
        <v>9869094.949232752</v>
      </c>
      <c r="BV107" s="31" t="n">
        <v>17962438.72139146</v>
      </c>
      <c r="BW107" s="31" t="n">
        <v>338068.2736016671</v>
      </c>
      <c r="BX107" s="31" t="n">
        <v>1286389.630802741</v>
      </c>
      <c r="BY107" s="31" t="n">
        <v>3970503.677563434</v>
      </c>
      <c r="BZ107" s="31" t="n">
        <v>206197.0102952998</v>
      </c>
      <c r="CA107" s="31" t="n">
        <v>10648863.60975711</v>
      </c>
      <c r="CB107" s="31" t="n">
        <v>248926.095768982</v>
      </c>
      <c r="CC107" s="31" t="n">
        <v>10621.8840101196</v>
      </c>
      <c r="CD107" s="31" t="n">
        <v>1397645.524773919</v>
      </c>
      <c r="CE107" s="31" t="n">
        <v>2559719.238521069</v>
      </c>
      <c r="CF107" s="31" t="n">
        <v>150133.9110987289</v>
      </c>
      <c r="CG107" s="31" t="n">
        <v>6828276.499298577</v>
      </c>
      <c r="CH107" s="31" t="n">
        <v>9331583.423681937</v>
      </c>
      <c r="CI107" s="31" t="n">
        <v>3576668.795490226</v>
      </c>
      <c r="CJ107" s="31" t="n">
        <v>15954981.98417659</v>
      </c>
      <c r="CK107" s="31" t="n">
        <v>2509860.365088083</v>
      </c>
      <c r="CL107" s="31" t="n">
        <v>1409636.780972453</v>
      </c>
      <c r="CM107" s="31" t="n">
        <v>755673.3666952827</v>
      </c>
      <c r="CN107" s="31" t="n">
        <v>0</v>
      </c>
      <c r="CO107" s="31" t="n">
        <v>0</v>
      </c>
      <c r="CP107" s="31" t="n">
        <v>487353.8033377637</v>
      </c>
      <c r="CQ107" s="31" t="n">
        <v>541014.8979732078</v>
      </c>
      <c r="CR107" s="31" t="n">
        <v>11381189.88580363</v>
      </c>
      <c r="CS107" s="31" t="n">
        <v>173863.3059300294</v>
      </c>
      <c r="CT107" s="31" t="n">
        <v>158756.3179279755</v>
      </c>
      <c r="CU107" s="31" t="n">
        <v>10268588.75743769</v>
      </c>
      <c r="CV107" s="31" t="n">
        <v>8908486.68055978</v>
      </c>
      <c r="CW107" s="31" t="n">
        <v>981048.9746367282</v>
      </c>
      <c r="CX107" s="31" t="n">
        <v>591546.872329992</v>
      </c>
      <c r="CY107" s="31" t="n">
        <v>4647325.872643693</v>
      </c>
      <c r="CZ107" s="31" t="n">
        <v>361020.0446806519</v>
      </c>
      <c r="DA107" s="31" t="n">
        <v>643379.0549007233</v>
      </c>
      <c r="DB107" s="31" t="n">
        <v>4031210.35200134</v>
      </c>
      <c r="DC107" s="31" t="n">
        <v>7840206.346849391</v>
      </c>
      <c r="DD107" s="31" t="n">
        <v>216781.5973534373</v>
      </c>
      <c r="DE107" s="31" t="n">
        <v>0</v>
      </c>
      <c r="DF107" s="31">
        <f>SUM(C107:DE107)</f>
        <v/>
      </c>
      <c r="DG107" s="31" t="n">
        <v>0</v>
      </c>
      <c r="DH107" s="31" t="n">
        <v>0</v>
      </c>
      <c r="DI107" s="31" t="n">
        <v>80453852.64809048</v>
      </c>
      <c r="DJ107" s="31" t="n">
        <v>0</v>
      </c>
      <c r="DK107" s="31">
        <f>SUM(DG107:DJ107)</f>
        <v/>
      </c>
      <c r="DL107" s="31">
        <f>DF107+DK107</f>
        <v/>
      </c>
    </row>
    <row r="108">
      <c r="A108" s="28" t="inlineStr">
        <is>
          <t>73 PR</t>
        </is>
      </c>
      <c r="B108" s="28" t="inlineStr">
        <is>
          <t>Servicios de Investigación y Desarrollo - PRIVADO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1038.56507460592</v>
      </c>
      <c r="I108" s="29" t="n">
        <v>0</v>
      </c>
      <c r="J108" s="29" t="n">
        <v>213970.630543913</v>
      </c>
      <c r="K108" s="29" t="n">
        <v>988547.8422184816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26536.15877817351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 t="n">
        <v>0</v>
      </c>
      <c r="CU108" s="29" t="n">
        <v>0</v>
      </c>
      <c r="CV108" s="29" t="n">
        <v>0</v>
      </c>
      <c r="CW108" s="29" t="n">
        <v>0</v>
      </c>
      <c r="CX108" s="29" t="n">
        <v>0</v>
      </c>
      <c r="CY108" s="29" t="n">
        <v>2241739.690620246</v>
      </c>
      <c r="CZ108" s="29" t="n">
        <v>0</v>
      </c>
      <c r="DA108" s="29" t="n">
        <v>0</v>
      </c>
      <c r="DB108" s="29" t="n">
        <v>696550.281906434</v>
      </c>
      <c r="DC108" s="29" t="n">
        <v>0</v>
      </c>
      <c r="DD108" s="29" t="n">
        <v>0</v>
      </c>
      <c r="DE108" s="29" t="n">
        <v>0</v>
      </c>
      <c r="DF108" s="29">
        <f>SUM(C108:DE108)</f>
        <v/>
      </c>
      <c r="DG108" s="29" t="n">
        <v>0</v>
      </c>
      <c r="DH108" s="29" t="n">
        <v>0</v>
      </c>
      <c r="DI108" s="29" t="n">
        <v>11664418.26848075</v>
      </c>
      <c r="DJ108" s="29" t="n">
        <v>0</v>
      </c>
      <c r="DK108" s="29">
        <f>SUM(DG108:DJ108)</f>
        <v/>
      </c>
      <c r="DL108" s="29">
        <f>DF108+DK108</f>
        <v/>
      </c>
    </row>
    <row r="109">
      <c r="A109" s="30" t="inlineStr">
        <is>
          <t>73 PU</t>
        </is>
      </c>
      <c r="B109" s="30" t="inlineStr">
        <is>
          <t>Servicios de Investigación y Desarrollo - PUBLICO</t>
        </is>
      </c>
      <c r="C109" s="31" t="n">
        <v>0</v>
      </c>
      <c r="D109" s="31" t="n">
        <v>0</v>
      </c>
      <c r="E109" s="31" t="n">
        <v>0</v>
      </c>
      <c r="F109" s="31" t="n">
        <v>0</v>
      </c>
      <c r="G109" s="31" t="n">
        <v>0</v>
      </c>
      <c r="H109" s="31" t="n">
        <v>0</v>
      </c>
      <c r="I109" s="31" t="n">
        <v>0</v>
      </c>
      <c r="J109" s="31" t="n">
        <v>0</v>
      </c>
      <c r="K109" s="31" t="n">
        <v>0</v>
      </c>
      <c r="L109" s="31" t="n">
        <v>0</v>
      </c>
      <c r="M109" s="31" t="n">
        <v>0</v>
      </c>
      <c r="N109" s="31" t="n">
        <v>0</v>
      </c>
      <c r="O109" s="31" t="n">
        <v>0</v>
      </c>
      <c r="P109" s="31" t="n">
        <v>0</v>
      </c>
      <c r="Q109" s="31" t="n">
        <v>0</v>
      </c>
      <c r="R109" s="31" t="n">
        <v>0</v>
      </c>
      <c r="S109" s="31" t="n">
        <v>0</v>
      </c>
      <c r="T109" s="31" t="n">
        <v>0</v>
      </c>
      <c r="U109" s="31" t="n">
        <v>0</v>
      </c>
      <c r="V109" s="31" t="n">
        <v>0</v>
      </c>
      <c r="W109" s="31" t="n">
        <v>0</v>
      </c>
      <c r="X109" s="31" t="n">
        <v>0</v>
      </c>
      <c r="Y109" s="31" t="n">
        <v>0</v>
      </c>
      <c r="Z109" s="31" t="n">
        <v>0</v>
      </c>
      <c r="AA109" s="31" t="n">
        <v>0</v>
      </c>
      <c r="AB109" s="31" t="n">
        <v>0</v>
      </c>
      <c r="AC109" s="31" t="n">
        <v>0</v>
      </c>
      <c r="AD109" s="31" t="n">
        <v>0</v>
      </c>
      <c r="AE109" s="31" t="n">
        <v>0</v>
      </c>
      <c r="AF109" s="31" t="n">
        <v>0</v>
      </c>
      <c r="AG109" s="31" t="n">
        <v>0</v>
      </c>
      <c r="AH109" s="31" t="n">
        <v>0</v>
      </c>
      <c r="AI109" s="31" t="n">
        <v>0</v>
      </c>
      <c r="AJ109" s="31" t="n">
        <v>0</v>
      </c>
      <c r="AK109" s="31" t="n">
        <v>0</v>
      </c>
      <c r="AL109" s="31" t="n">
        <v>0</v>
      </c>
      <c r="AM109" s="31" t="n">
        <v>0</v>
      </c>
      <c r="AN109" s="31" t="n">
        <v>0</v>
      </c>
      <c r="AO109" s="31" t="n">
        <v>0</v>
      </c>
      <c r="AP109" s="31" t="n">
        <v>0</v>
      </c>
      <c r="AQ109" s="31" t="n">
        <v>0</v>
      </c>
      <c r="AR109" s="31" t="n">
        <v>0</v>
      </c>
      <c r="AS109" s="31" t="n">
        <v>0</v>
      </c>
      <c r="AT109" s="31" t="n">
        <v>0</v>
      </c>
      <c r="AU109" s="31" t="n">
        <v>0</v>
      </c>
      <c r="AV109" s="31" t="n">
        <v>0</v>
      </c>
      <c r="AW109" s="31" t="n">
        <v>0</v>
      </c>
      <c r="AX109" s="31" t="n">
        <v>0</v>
      </c>
      <c r="AY109" s="31" t="n">
        <v>0</v>
      </c>
      <c r="AZ109" s="31" t="n">
        <v>0</v>
      </c>
      <c r="BA109" s="31" t="n">
        <v>0</v>
      </c>
      <c r="BB109" s="31" t="n">
        <v>0</v>
      </c>
      <c r="BC109" s="31" t="n">
        <v>0</v>
      </c>
      <c r="BD109" s="31" t="n">
        <v>0</v>
      </c>
      <c r="BE109" s="31" t="n">
        <v>0</v>
      </c>
      <c r="BF109" s="31" t="n">
        <v>0</v>
      </c>
      <c r="BG109" s="31" t="n">
        <v>0</v>
      </c>
      <c r="BH109" s="31" t="n">
        <v>0</v>
      </c>
      <c r="BI109" s="31" t="n">
        <v>0</v>
      </c>
      <c r="BJ109" s="31" t="n">
        <v>0</v>
      </c>
      <c r="BK109" s="31" t="n">
        <v>0</v>
      </c>
      <c r="BL109" s="31" t="n">
        <v>0</v>
      </c>
      <c r="BM109" s="31" t="n">
        <v>0</v>
      </c>
      <c r="BN109" s="31" t="n">
        <v>0</v>
      </c>
      <c r="BO109" s="31" t="n">
        <v>0</v>
      </c>
      <c r="BP109" s="31" t="n">
        <v>0</v>
      </c>
      <c r="BQ109" s="31" t="n">
        <v>0</v>
      </c>
      <c r="BR109" s="31" t="n">
        <v>0</v>
      </c>
      <c r="BS109" s="31" t="n">
        <v>0</v>
      </c>
      <c r="BT109" s="31" t="n">
        <v>0</v>
      </c>
      <c r="BU109" s="31" t="n">
        <v>0</v>
      </c>
      <c r="BV109" s="31" t="n">
        <v>0</v>
      </c>
      <c r="BW109" s="31" t="n">
        <v>0</v>
      </c>
      <c r="BX109" s="31" t="n">
        <v>0</v>
      </c>
      <c r="BY109" s="31" t="n">
        <v>0</v>
      </c>
      <c r="BZ109" s="31" t="n">
        <v>0</v>
      </c>
      <c r="CA109" s="31" t="n">
        <v>0</v>
      </c>
      <c r="CB109" s="31" t="n">
        <v>0</v>
      </c>
      <c r="CC109" s="31" t="n">
        <v>0</v>
      </c>
      <c r="CD109" s="31" t="n">
        <v>0</v>
      </c>
      <c r="CE109" s="31" t="n">
        <v>0</v>
      </c>
      <c r="CF109" s="31" t="n">
        <v>0</v>
      </c>
      <c r="CG109" s="31" t="n">
        <v>0</v>
      </c>
      <c r="CH109" s="31" t="n">
        <v>0</v>
      </c>
      <c r="CI109" s="31" t="n">
        <v>0</v>
      </c>
      <c r="CJ109" s="31" t="n">
        <v>0</v>
      </c>
      <c r="CK109" s="31" t="n">
        <v>0</v>
      </c>
      <c r="CL109" s="31" t="n">
        <v>0</v>
      </c>
      <c r="CM109" s="31" t="n">
        <v>0</v>
      </c>
      <c r="CN109" s="31" t="n">
        <v>0</v>
      </c>
      <c r="CO109" s="31" t="n">
        <v>0</v>
      </c>
      <c r="CP109" s="31" t="n">
        <v>0</v>
      </c>
      <c r="CQ109" s="31" t="n">
        <v>0</v>
      </c>
      <c r="CR109" s="31" t="n">
        <v>0</v>
      </c>
      <c r="CS109" s="31" t="n">
        <v>0</v>
      </c>
      <c r="CT109" s="31" t="n">
        <v>0</v>
      </c>
      <c r="CU109" s="31" t="n">
        <v>0</v>
      </c>
      <c r="CV109" s="31" t="n">
        <v>0</v>
      </c>
      <c r="CW109" s="31" t="n">
        <v>0</v>
      </c>
      <c r="CX109" s="31" t="n">
        <v>0</v>
      </c>
      <c r="CY109" s="31" t="n">
        <v>0</v>
      </c>
      <c r="CZ109" s="31" t="n">
        <v>0</v>
      </c>
      <c r="DA109" s="31" t="n">
        <v>0</v>
      </c>
      <c r="DB109" s="31" t="n">
        <v>0</v>
      </c>
      <c r="DC109" s="31" t="n">
        <v>0</v>
      </c>
      <c r="DD109" s="31" t="n">
        <v>0</v>
      </c>
      <c r="DE109" s="31" t="n">
        <v>0</v>
      </c>
      <c r="DF109" s="31">
        <f>SUM(C109:DE109)</f>
        <v/>
      </c>
      <c r="DG109" s="31" t="n">
        <v>0</v>
      </c>
      <c r="DH109" s="31" t="n">
        <v>0</v>
      </c>
      <c r="DI109" s="31" t="n">
        <v>27751112.4590389</v>
      </c>
      <c r="DJ109" s="31" t="n">
        <v>0</v>
      </c>
      <c r="DK109" s="31">
        <f>SUM(DG109:DJ109)</f>
        <v/>
      </c>
      <c r="DL109" s="31">
        <f>DF109+DK109</f>
        <v/>
      </c>
    </row>
    <row r="110">
      <c r="A110" s="28" t="inlineStr">
        <is>
          <t>74</t>
        </is>
      </c>
      <c r="B110" s="28" t="inlineStr">
        <is>
          <t>OTRAS ACTIVIDADES EMPRESARIALES</t>
        </is>
      </c>
      <c r="C110" s="29" t="n">
        <v>13580336.01781112</v>
      </c>
      <c r="D110" s="29" t="n">
        <v>1503106.019442113</v>
      </c>
      <c r="E110" s="29" t="n">
        <v>0</v>
      </c>
      <c r="F110" s="29" t="n">
        <v>0</v>
      </c>
      <c r="G110" s="29" t="n">
        <v>0</v>
      </c>
      <c r="H110" s="29" t="n">
        <v>990751.8302134273</v>
      </c>
      <c r="I110" s="29" t="n">
        <v>19860.45747727192</v>
      </c>
      <c r="J110" s="29" t="n">
        <v>7718659.394352748</v>
      </c>
      <c r="K110" s="29" t="n">
        <v>4603539.660790322</v>
      </c>
      <c r="L110" s="29" t="n">
        <v>5261647.81959634</v>
      </c>
      <c r="M110" s="29" t="n">
        <v>863877.5009710619</v>
      </c>
      <c r="N110" s="29" t="n">
        <v>2746735.721900594</v>
      </c>
      <c r="O110" s="29" t="n">
        <v>1399989.712118077</v>
      </c>
      <c r="P110" s="29" t="n">
        <v>664684.5021378652</v>
      </c>
      <c r="Q110" s="29" t="n">
        <v>5846411.934222207</v>
      </c>
      <c r="R110" s="29" t="n">
        <v>2432668.592510321</v>
      </c>
      <c r="S110" s="29" t="n">
        <v>1286666.930497125</v>
      </c>
      <c r="T110" s="29" t="n">
        <v>968929.0333278857</v>
      </c>
      <c r="U110" s="29" t="n">
        <v>4970637.144020134</v>
      </c>
      <c r="V110" s="29" t="n">
        <v>518647.2440367916</v>
      </c>
      <c r="W110" s="29" t="n">
        <v>1375507.448624795</v>
      </c>
      <c r="X110" s="29" t="n">
        <v>556468.3013497683</v>
      </c>
      <c r="Y110" s="29" t="n">
        <v>3828900.104884654</v>
      </c>
      <c r="Z110" s="29" t="n">
        <v>1449689.831665921</v>
      </c>
      <c r="AA110" s="29" t="n">
        <v>1465701.423247252</v>
      </c>
      <c r="AB110" s="29" t="n">
        <v>1911159.143034532</v>
      </c>
      <c r="AC110" s="29" t="n">
        <v>4308095.754786924</v>
      </c>
      <c r="AD110" s="29" t="n">
        <v>2041827.116747142</v>
      </c>
      <c r="AE110" s="29" t="n">
        <v>1318417.043185131</v>
      </c>
      <c r="AF110" s="29" t="n">
        <v>1109094.145562791</v>
      </c>
      <c r="AG110" s="29" t="n">
        <v>389823.0697093188</v>
      </c>
      <c r="AH110" s="29" t="n">
        <v>1003659.08708489</v>
      </c>
      <c r="AI110" s="29" t="n">
        <v>1091477.930641589</v>
      </c>
      <c r="AJ110" s="29" t="n">
        <v>1947611.982137635</v>
      </c>
      <c r="AK110" s="29" t="n">
        <v>3100181.476509421</v>
      </c>
      <c r="AL110" s="29" t="n">
        <v>1513911.404723092</v>
      </c>
      <c r="AM110" s="29" t="n">
        <v>4640843.418879673</v>
      </c>
      <c r="AN110" s="29" t="n">
        <v>2356925.247645533</v>
      </c>
      <c r="AO110" s="29" t="n">
        <v>922974.5887621302</v>
      </c>
      <c r="AP110" s="29" t="n">
        <v>1751675.092191888</v>
      </c>
      <c r="AQ110" s="29" t="n">
        <v>15700822.93782488</v>
      </c>
      <c r="AR110" s="29" t="n">
        <v>1360803.922896284</v>
      </c>
      <c r="AS110" s="29" t="n">
        <v>2374201.077364261</v>
      </c>
      <c r="AT110" s="29" t="n">
        <v>441495.727423478</v>
      </c>
      <c r="AU110" s="29" t="n">
        <v>2371643.29857703</v>
      </c>
      <c r="AV110" s="29" t="n">
        <v>4770251.457376697</v>
      </c>
      <c r="AW110" s="29" t="n">
        <v>892260.2537223343</v>
      </c>
      <c r="AX110" s="29" t="n">
        <v>763477.3498532185</v>
      </c>
      <c r="AY110" s="29" t="n">
        <v>709732.0195970779</v>
      </c>
      <c r="AZ110" s="29" t="n">
        <v>2122452.392555817</v>
      </c>
      <c r="BA110" s="29" t="n">
        <v>1021395.841342632</v>
      </c>
      <c r="BB110" s="29" t="n">
        <v>1681952.554156722</v>
      </c>
      <c r="BC110" s="29" t="n">
        <v>604662.5173194371</v>
      </c>
      <c r="BD110" s="29" t="n">
        <v>65149.70364124609</v>
      </c>
      <c r="BE110" s="29" t="n">
        <v>454610.2030408317</v>
      </c>
      <c r="BF110" s="29" t="n">
        <v>397448.1587737317</v>
      </c>
      <c r="BG110" s="29" t="n">
        <v>436382.9744373766</v>
      </c>
      <c r="BH110" s="29" t="n">
        <v>3784330.939409804</v>
      </c>
      <c r="BI110" s="29" t="n">
        <v>238855.8572187534</v>
      </c>
      <c r="BJ110" s="29" t="n">
        <v>443906.4485747432</v>
      </c>
      <c r="BK110" s="29" t="n">
        <v>5787889.031377668</v>
      </c>
      <c r="BL110" s="29" t="n">
        <v>2372747.983283632</v>
      </c>
      <c r="BM110" s="29" t="n">
        <v>524096.5718721426</v>
      </c>
      <c r="BN110" s="29" t="n">
        <v>1055389.289627658</v>
      </c>
      <c r="BO110" s="29" t="n">
        <v>538057.719891278</v>
      </c>
      <c r="BP110" s="29" t="n">
        <v>13441133.07359249</v>
      </c>
      <c r="BQ110" s="29" t="n">
        <v>4272136.130558947</v>
      </c>
      <c r="BR110" s="29" t="n">
        <v>1916501.963296233</v>
      </c>
      <c r="BS110" s="29" t="n">
        <v>15640195.52100429</v>
      </c>
      <c r="BT110" s="29" t="n">
        <v>9345058.86041229</v>
      </c>
      <c r="BU110" s="29" t="n">
        <v>40410716.32426926</v>
      </c>
      <c r="BV110" s="29" t="n">
        <v>75919082.19934128</v>
      </c>
      <c r="BW110" s="29" t="n">
        <v>128907.8454632565</v>
      </c>
      <c r="BX110" s="29" t="n">
        <v>2227413.14296944</v>
      </c>
      <c r="BY110" s="29" t="n">
        <v>30615019.34992376</v>
      </c>
      <c r="BZ110" s="29" t="n">
        <v>1205871.888092985</v>
      </c>
      <c r="CA110" s="29" t="n">
        <v>32968119.39774568</v>
      </c>
      <c r="CB110" s="29" t="n">
        <v>421144.3947813166</v>
      </c>
      <c r="CC110" s="29" t="n">
        <v>104363.604109298</v>
      </c>
      <c r="CD110" s="29" t="n">
        <v>10246131.51448482</v>
      </c>
      <c r="CE110" s="29" t="n">
        <v>11537602.59083233</v>
      </c>
      <c r="CF110" s="29" t="n">
        <v>1814891.744758029</v>
      </c>
      <c r="CG110" s="29" t="n">
        <v>12818369.21855819</v>
      </c>
      <c r="CH110" s="29" t="n">
        <v>25374640.17703357</v>
      </c>
      <c r="CI110" s="29" t="n">
        <v>2342258.170227897</v>
      </c>
      <c r="CJ110" s="29" t="n">
        <v>31221943.76689392</v>
      </c>
      <c r="CK110" s="29" t="n">
        <v>6888000.562970703</v>
      </c>
      <c r="CL110" s="29" t="n">
        <v>16159191.13072386</v>
      </c>
      <c r="CM110" s="29" t="n">
        <v>6090325.001886714</v>
      </c>
      <c r="CN110" s="29" t="n">
        <v>522317.153672334</v>
      </c>
      <c r="CO110" s="29" t="n">
        <v>234606.8688516622</v>
      </c>
      <c r="CP110" s="29" t="n">
        <v>4434434.461785845</v>
      </c>
      <c r="CQ110" s="29" t="n">
        <v>1170022.56899824</v>
      </c>
      <c r="CR110" s="29" t="n">
        <v>32113189.1844514</v>
      </c>
      <c r="CS110" s="29" t="n">
        <v>582273.0625645809</v>
      </c>
      <c r="CT110" s="29" t="n">
        <v>531679.3382417362</v>
      </c>
      <c r="CU110" s="29" t="n">
        <v>55410635.43944834</v>
      </c>
      <c r="CV110" s="29" t="n">
        <v>28365382.76512441</v>
      </c>
      <c r="CW110" s="29" t="n">
        <v>17225913.31253947</v>
      </c>
      <c r="CX110" s="29" t="n">
        <v>3168270.927516597</v>
      </c>
      <c r="CY110" s="29" t="n">
        <v>31858255.84469606</v>
      </c>
      <c r="CZ110" s="29" t="n">
        <v>9108413.233470658</v>
      </c>
      <c r="DA110" s="29" t="n">
        <v>3758365.798213739</v>
      </c>
      <c r="DB110" s="29" t="n">
        <v>19803109.12173468</v>
      </c>
      <c r="DC110" s="29" t="n">
        <v>15938102.98149667</v>
      </c>
      <c r="DD110" s="29" t="n">
        <v>1249811.953583685</v>
      </c>
      <c r="DE110" s="29" t="n">
        <v>0</v>
      </c>
      <c r="DF110" s="29">
        <f>SUM(C110:DE110)</f>
        <v/>
      </c>
      <c r="DG110" s="29" t="n">
        <v>0</v>
      </c>
      <c r="DH110" s="29" t="n">
        <v>0</v>
      </c>
      <c r="DI110" s="29" t="n">
        <v>228515671.7141387</v>
      </c>
      <c r="DJ110" s="29" t="n">
        <v>0</v>
      </c>
      <c r="DK110" s="29">
        <f>SUM(DG110:DJ110)</f>
        <v/>
      </c>
      <c r="DL110" s="29">
        <f>DF110+DK110</f>
        <v/>
      </c>
    </row>
    <row r="111">
      <c r="A111" s="30" t="inlineStr">
        <is>
          <t>75</t>
        </is>
      </c>
      <c r="B111" s="30" t="inlineStr">
        <is>
          <t>Administración Pública y Defensa; Planes de Seguridad Social de Afiliación Obligatoria</t>
        </is>
      </c>
      <c r="C111" s="31" t="n">
        <v>1414343.586249685</v>
      </c>
      <c r="D111" s="31" t="n">
        <v>499609.5183400054</v>
      </c>
      <c r="E111" s="31" t="n">
        <v>0</v>
      </c>
      <c r="F111" s="31" t="n">
        <v>0</v>
      </c>
      <c r="G111" s="31" t="n">
        <v>0</v>
      </c>
      <c r="H111" s="31" t="n">
        <v>214762.9452967357</v>
      </c>
      <c r="I111" s="31" t="n">
        <v>0</v>
      </c>
      <c r="J111" s="31" t="n">
        <v>0</v>
      </c>
      <c r="K111" s="31" t="n">
        <v>0</v>
      </c>
      <c r="L111" s="31" t="n">
        <v>44652.57724614428</v>
      </c>
      <c r="M111" s="31" t="n">
        <v>189294.0030122435</v>
      </c>
      <c r="N111" s="31" t="n">
        <v>0</v>
      </c>
      <c r="O111" s="31" t="n">
        <v>0</v>
      </c>
      <c r="P111" s="31" t="n">
        <v>0</v>
      </c>
      <c r="Q111" s="31" t="n">
        <v>0</v>
      </c>
      <c r="R111" s="31" t="n">
        <v>0</v>
      </c>
      <c r="S111" s="31" t="n">
        <v>0</v>
      </c>
      <c r="T111" s="31" t="n">
        <v>0</v>
      </c>
      <c r="U111" s="31" t="n">
        <v>0</v>
      </c>
      <c r="V111" s="31" t="n">
        <v>0</v>
      </c>
      <c r="W111" s="31" t="n">
        <v>0</v>
      </c>
      <c r="X111" s="31" t="n">
        <v>0</v>
      </c>
      <c r="Y111" s="31" t="n">
        <v>0</v>
      </c>
      <c r="Z111" s="31" t="n">
        <v>0</v>
      </c>
      <c r="AA111" s="31" t="n">
        <v>0</v>
      </c>
      <c r="AB111" s="31" t="n">
        <v>0</v>
      </c>
      <c r="AC111" s="31" t="n">
        <v>0</v>
      </c>
      <c r="AD111" s="31" t="n">
        <v>0</v>
      </c>
      <c r="AE111" s="31" t="n">
        <v>0</v>
      </c>
      <c r="AF111" s="31" t="n">
        <v>0</v>
      </c>
      <c r="AG111" s="31" t="n">
        <v>0</v>
      </c>
      <c r="AH111" s="31" t="n">
        <v>0</v>
      </c>
      <c r="AI111" s="31" t="n">
        <v>0</v>
      </c>
      <c r="AJ111" s="31" t="n">
        <v>0</v>
      </c>
      <c r="AK111" s="31" t="n">
        <v>0</v>
      </c>
      <c r="AL111" s="31" t="n">
        <v>0</v>
      </c>
      <c r="AM111" s="31" t="n">
        <v>0</v>
      </c>
      <c r="AN111" s="31" t="n">
        <v>0</v>
      </c>
      <c r="AO111" s="31" t="n">
        <v>0</v>
      </c>
      <c r="AP111" s="31" t="n">
        <v>0</v>
      </c>
      <c r="AQ111" s="31" t="n">
        <v>0</v>
      </c>
      <c r="AR111" s="31" t="n">
        <v>0</v>
      </c>
      <c r="AS111" s="31" t="n">
        <v>0</v>
      </c>
      <c r="AT111" s="31" t="n">
        <v>0</v>
      </c>
      <c r="AU111" s="31" t="n">
        <v>0</v>
      </c>
      <c r="AV111" s="31" t="n">
        <v>0</v>
      </c>
      <c r="AW111" s="31" t="n">
        <v>0</v>
      </c>
      <c r="AX111" s="31" t="n">
        <v>0</v>
      </c>
      <c r="AY111" s="31" t="n">
        <v>0</v>
      </c>
      <c r="AZ111" s="31" t="n">
        <v>0</v>
      </c>
      <c r="BA111" s="31" t="n">
        <v>0</v>
      </c>
      <c r="BB111" s="31" t="n">
        <v>0</v>
      </c>
      <c r="BC111" s="31" t="n">
        <v>0</v>
      </c>
      <c r="BD111" s="31" t="n">
        <v>0</v>
      </c>
      <c r="BE111" s="31" t="n">
        <v>0</v>
      </c>
      <c r="BF111" s="31" t="n">
        <v>0</v>
      </c>
      <c r="BG111" s="31" t="n">
        <v>0</v>
      </c>
      <c r="BH111" s="31" t="n">
        <v>0</v>
      </c>
      <c r="BI111" s="31" t="n">
        <v>0</v>
      </c>
      <c r="BJ111" s="31" t="n">
        <v>0</v>
      </c>
      <c r="BK111" s="31" t="n">
        <v>0</v>
      </c>
      <c r="BL111" s="31" t="n">
        <v>0</v>
      </c>
      <c r="BM111" s="31" t="n">
        <v>0</v>
      </c>
      <c r="BN111" s="31" t="n">
        <v>0</v>
      </c>
      <c r="BO111" s="31" t="n">
        <v>0</v>
      </c>
      <c r="BP111" s="31" t="n">
        <v>0</v>
      </c>
      <c r="BQ111" s="31" t="n">
        <v>0</v>
      </c>
      <c r="BR111" s="31" t="n">
        <v>0</v>
      </c>
      <c r="BS111" s="31" t="n">
        <v>0</v>
      </c>
      <c r="BT111" s="31" t="n">
        <v>436445.2215198171</v>
      </c>
      <c r="BU111" s="31" t="n">
        <v>2728035.702394438</v>
      </c>
      <c r="BV111" s="31" t="n">
        <v>3991479.924674475</v>
      </c>
      <c r="BW111" s="31" t="n">
        <v>0</v>
      </c>
      <c r="BX111" s="31" t="n">
        <v>0</v>
      </c>
      <c r="BY111" s="31" t="n">
        <v>340.2309710813067</v>
      </c>
      <c r="BZ111" s="31" t="n">
        <v>0</v>
      </c>
      <c r="CA111" s="31" t="n">
        <v>0</v>
      </c>
      <c r="CB111" s="31" t="n">
        <v>0</v>
      </c>
      <c r="CC111" s="31" t="n">
        <v>0</v>
      </c>
      <c r="CD111" s="31" t="n">
        <v>0</v>
      </c>
      <c r="CE111" s="31" t="n">
        <v>0</v>
      </c>
      <c r="CF111" s="31" t="n">
        <v>0</v>
      </c>
      <c r="CG111" s="31" t="n">
        <v>0</v>
      </c>
      <c r="CH111" s="31" t="n">
        <v>0</v>
      </c>
      <c r="CI111" s="31" t="n">
        <v>0</v>
      </c>
      <c r="CJ111" s="31" t="n">
        <v>0</v>
      </c>
      <c r="CK111" s="31" t="n">
        <v>0</v>
      </c>
      <c r="CL111" s="31" t="n">
        <v>0</v>
      </c>
      <c r="CM111" s="31" t="n">
        <v>1322.324405718134</v>
      </c>
      <c r="CN111" s="31" t="n">
        <v>0</v>
      </c>
      <c r="CO111" s="31" t="n">
        <v>0</v>
      </c>
      <c r="CP111" s="31" t="n">
        <v>24559.99538674494</v>
      </c>
      <c r="CQ111" s="31" t="n">
        <v>0</v>
      </c>
      <c r="CR111" s="31" t="n">
        <v>0</v>
      </c>
      <c r="CS111" s="31" t="n">
        <v>339453.6919218966</v>
      </c>
      <c r="CT111" s="31" t="n">
        <v>36238.27789788281</v>
      </c>
      <c r="CU111" s="31" t="n">
        <v>0</v>
      </c>
      <c r="CV111" s="31" t="n">
        <v>1933331.896480503</v>
      </c>
      <c r="CW111" s="31" t="n">
        <v>0</v>
      </c>
      <c r="CX111" s="31" t="n">
        <v>0</v>
      </c>
      <c r="CY111" s="31" t="n">
        <v>0</v>
      </c>
      <c r="CZ111" s="31" t="n">
        <v>0</v>
      </c>
      <c r="DA111" s="31" t="n">
        <v>0</v>
      </c>
      <c r="DB111" s="31" t="n">
        <v>671304.326193695</v>
      </c>
      <c r="DC111" s="31" t="n">
        <v>16545.81432155149</v>
      </c>
      <c r="DD111" s="31" t="n">
        <v>199843.8073360022</v>
      </c>
      <c r="DE111" s="31" t="n">
        <v>0</v>
      </c>
      <c r="DF111" s="31">
        <f>SUM(C111:DE111)</f>
        <v/>
      </c>
      <c r="DG111" s="31" t="n">
        <v>0</v>
      </c>
      <c r="DH111" s="31" t="n">
        <v>0</v>
      </c>
      <c r="DI111" s="31" t="n">
        <v>1434427454.395291</v>
      </c>
      <c r="DJ111" s="31" t="n">
        <v>0</v>
      </c>
      <c r="DK111" s="31">
        <f>SUM(DG111:DJ111)</f>
        <v/>
      </c>
      <c r="DL111" s="31">
        <f>DF111+DK111</f>
        <v/>
      </c>
    </row>
    <row r="112">
      <c r="A112" s="28" t="inlineStr">
        <is>
          <t>80 PR</t>
        </is>
      </c>
      <c r="B112" s="28" t="inlineStr">
        <is>
          <t>Enseñanza Privada - Adultos y otros servicios de enseñanza</t>
        </is>
      </c>
      <c r="C112" s="29" t="n">
        <v>0</v>
      </c>
      <c r="D112" s="29" t="n">
        <v>0</v>
      </c>
      <c r="E112" s="29" t="n">
        <v>0</v>
      </c>
      <c r="F112" s="29" t="n">
        <v>0</v>
      </c>
      <c r="G112" s="29" t="n">
        <v>0</v>
      </c>
      <c r="H112" s="29" t="n">
        <v>4067.245615653439</v>
      </c>
      <c r="I112" s="29" t="n">
        <v>0</v>
      </c>
      <c r="J112" s="29" t="n">
        <v>0</v>
      </c>
      <c r="K112" s="29" t="n">
        <v>0</v>
      </c>
      <c r="L112" s="29" t="n">
        <v>0</v>
      </c>
      <c r="M112" s="29" t="n">
        <v>5504.010775357081</v>
      </c>
      <c r="N112" s="29" t="n">
        <v>0</v>
      </c>
      <c r="O112" s="29" t="n">
        <v>0</v>
      </c>
      <c r="P112" s="29" t="n">
        <v>0</v>
      </c>
      <c r="Q112" s="29" t="n">
        <v>0</v>
      </c>
      <c r="R112" s="29" t="n">
        <v>0</v>
      </c>
      <c r="S112" s="29" t="n">
        <v>0</v>
      </c>
      <c r="T112" s="29" t="n">
        <v>0</v>
      </c>
      <c r="U112" s="29" t="n">
        <v>0</v>
      </c>
      <c r="V112" s="29" t="n">
        <v>0</v>
      </c>
      <c r="W112" s="29" t="n">
        <v>0</v>
      </c>
      <c r="X112" s="29" t="n">
        <v>0</v>
      </c>
      <c r="Y112" s="29" t="n">
        <v>0</v>
      </c>
      <c r="Z112" s="29" t="n">
        <v>0</v>
      </c>
      <c r="AA112" s="29" t="n">
        <v>0</v>
      </c>
      <c r="AB112" s="29" t="n">
        <v>0</v>
      </c>
      <c r="AC112" s="29" t="n">
        <v>0</v>
      </c>
      <c r="AD112" s="29" t="n">
        <v>0</v>
      </c>
      <c r="AE112" s="29" t="n">
        <v>0</v>
      </c>
      <c r="AF112" s="29" t="n">
        <v>0</v>
      </c>
      <c r="AG112" s="29" t="n">
        <v>0</v>
      </c>
      <c r="AH112" s="29" t="n">
        <v>0</v>
      </c>
      <c r="AI112" s="29" t="n">
        <v>0</v>
      </c>
      <c r="AJ112" s="29" t="n">
        <v>0</v>
      </c>
      <c r="AK112" s="29" t="n">
        <v>0</v>
      </c>
      <c r="AL112" s="29" t="n">
        <v>0</v>
      </c>
      <c r="AM112" s="29" t="n">
        <v>0</v>
      </c>
      <c r="AN112" s="29" t="n">
        <v>0</v>
      </c>
      <c r="AO112" s="29" t="n">
        <v>0</v>
      </c>
      <c r="AP112" s="29" t="n">
        <v>0</v>
      </c>
      <c r="AQ112" s="29" t="n">
        <v>0</v>
      </c>
      <c r="AR112" s="29" t="n">
        <v>0</v>
      </c>
      <c r="AS112" s="29" t="n">
        <v>0</v>
      </c>
      <c r="AT112" s="29" t="n">
        <v>0</v>
      </c>
      <c r="AU112" s="29" t="n">
        <v>0</v>
      </c>
      <c r="AV112" s="29" t="n">
        <v>0</v>
      </c>
      <c r="AW112" s="29" t="n">
        <v>0</v>
      </c>
      <c r="AX112" s="29" t="n">
        <v>0</v>
      </c>
      <c r="AY112" s="29" t="n">
        <v>0</v>
      </c>
      <c r="AZ112" s="29" t="n">
        <v>0</v>
      </c>
      <c r="BA112" s="29" t="n">
        <v>0</v>
      </c>
      <c r="BB112" s="29" t="n">
        <v>0</v>
      </c>
      <c r="BC112" s="29" t="n">
        <v>0</v>
      </c>
      <c r="BD112" s="29" t="n">
        <v>0</v>
      </c>
      <c r="BE112" s="29" t="n">
        <v>0</v>
      </c>
      <c r="BF112" s="29" t="n">
        <v>0</v>
      </c>
      <c r="BG112" s="29" t="n">
        <v>0</v>
      </c>
      <c r="BH112" s="29" t="n">
        <v>0</v>
      </c>
      <c r="BI112" s="29" t="n">
        <v>0</v>
      </c>
      <c r="BJ112" s="29" t="n">
        <v>0</v>
      </c>
      <c r="BK112" s="29" t="n">
        <v>0</v>
      </c>
      <c r="BL112" s="29" t="n">
        <v>0</v>
      </c>
      <c r="BM112" s="29" t="n">
        <v>0</v>
      </c>
      <c r="BN112" s="29" t="n">
        <v>0</v>
      </c>
      <c r="BO112" s="29" t="n">
        <v>0</v>
      </c>
      <c r="BP112" s="29" t="n">
        <v>0</v>
      </c>
      <c r="BQ112" s="29" t="n">
        <v>0</v>
      </c>
      <c r="BR112" s="29" t="n">
        <v>0</v>
      </c>
      <c r="BS112" s="29" t="n">
        <v>0</v>
      </c>
      <c r="BT112" s="29" t="n">
        <v>0</v>
      </c>
      <c r="BU112" s="29" t="n">
        <v>0</v>
      </c>
      <c r="BV112" s="29" t="n">
        <v>0</v>
      </c>
      <c r="BW112" s="29" t="n">
        <v>0</v>
      </c>
      <c r="BX112" s="29" t="n">
        <v>0</v>
      </c>
      <c r="BY112" s="29" t="n">
        <v>0</v>
      </c>
      <c r="BZ112" s="29" t="n">
        <v>0</v>
      </c>
      <c r="CA112" s="29" t="n">
        <v>0</v>
      </c>
      <c r="CB112" s="29" t="n">
        <v>0</v>
      </c>
      <c r="CC112" s="29" t="n">
        <v>0</v>
      </c>
      <c r="CD112" s="29" t="n">
        <v>0</v>
      </c>
      <c r="CE112" s="29" t="n">
        <v>0</v>
      </c>
      <c r="CF112" s="29" t="n">
        <v>0</v>
      </c>
      <c r="CG112" s="29" t="n">
        <v>0</v>
      </c>
      <c r="CH112" s="29" t="n">
        <v>0</v>
      </c>
      <c r="CI112" s="29" t="n">
        <v>0</v>
      </c>
      <c r="CJ112" s="29" t="n">
        <v>0</v>
      </c>
      <c r="CK112" s="29" t="n">
        <v>0</v>
      </c>
      <c r="CL112" s="29" t="n">
        <v>165.9215775510542</v>
      </c>
      <c r="CM112" s="29" t="n">
        <v>95.84997192852259</v>
      </c>
      <c r="CN112" s="29" t="n">
        <v>0</v>
      </c>
      <c r="CO112" s="29" t="n">
        <v>0</v>
      </c>
      <c r="CP112" s="29" t="n">
        <v>0</v>
      </c>
      <c r="CQ112" s="29" t="n">
        <v>0</v>
      </c>
      <c r="CR112" s="29" t="n">
        <v>743978.549247804</v>
      </c>
      <c r="CS112" s="29" t="n">
        <v>40974.13371851752</v>
      </c>
      <c r="CT112" s="29" t="n">
        <v>37413.8899789367</v>
      </c>
      <c r="CU112" s="29" t="n">
        <v>2557325.197622269</v>
      </c>
      <c r="CV112" s="29" t="n">
        <v>1996051.442387018</v>
      </c>
      <c r="CW112" s="29" t="n">
        <v>412512.750780103</v>
      </c>
      <c r="CX112" s="29" t="n">
        <v>1638615.721979835</v>
      </c>
      <c r="CY112" s="29" t="n">
        <v>2643.544667460719</v>
      </c>
      <c r="CZ112" s="29" t="n">
        <v>502818.7563524163</v>
      </c>
      <c r="DA112" s="29" t="n">
        <v>0</v>
      </c>
      <c r="DB112" s="29" t="n">
        <v>5002757.536423628</v>
      </c>
      <c r="DC112" s="29" t="n">
        <v>0</v>
      </c>
      <c r="DD112" s="29" t="n">
        <v>0</v>
      </c>
      <c r="DE112" s="29" t="n">
        <v>0</v>
      </c>
      <c r="DF112" s="29">
        <f>SUM(C112:DE112)</f>
        <v/>
      </c>
      <c r="DG112" s="29" t="n">
        <v>0</v>
      </c>
      <c r="DH112" s="29" t="n">
        <v>0</v>
      </c>
      <c r="DI112" s="29" t="n">
        <v>289804010.0449265</v>
      </c>
      <c r="DJ112" s="29" t="n">
        <v>0</v>
      </c>
      <c r="DK112" s="29">
        <f>SUM(DG112:DJ112)</f>
        <v/>
      </c>
      <c r="DL112" s="29">
        <f>DF112+DK112</f>
        <v/>
      </c>
    </row>
    <row r="113">
      <c r="A113" s="30" t="inlineStr">
        <is>
          <t>80 PU</t>
        </is>
      </c>
      <c r="B113" s="30" t="inlineStr">
        <is>
          <t>Enseñanza Pública - Todos los niveles</t>
        </is>
      </c>
      <c r="C113" s="31" t="n">
        <v>0</v>
      </c>
      <c r="D113" s="31" t="n">
        <v>0</v>
      </c>
      <c r="E113" s="31" t="n">
        <v>0</v>
      </c>
      <c r="F113" s="31" t="n">
        <v>0</v>
      </c>
      <c r="G113" s="31" t="n">
        <v>0</v>
      </c>
      <c r="H113" s="31" t="n">
        <v>0</v>
      </c>
      <c r="I113" s="31" t="n">
        <v>0</v>
      </c>
      <c r="J113" s="31" t="n">
        <v>0</v>
      </c>
      <c r="K113" s="31" t="n">
        <v>0</v>
      </c>
      <c r="L113" s="31" t="n">
        <v>0</v>
      </c>
      <c r="M113" s="31" t="n">
        <v>0</v>
      </c>
      <c r="N113" s="31" t="n">
        <v>0</v>
      </c>
      <c r="O113" s="31" t="n">
        <v>0</v>
      </c>
      <c r="P113" s="31" t="n">
        <v>0</v>
      </c>
      <c r="Q113" s="31" t="n">
        <v>0</v>
      </c>
      <c r="R113" s="31" t="n">
        <v>0</v>
      </c>
      <c r="S113" s="31" t="n">
        <v>0</v>
      </c>
      <c r="T113" s="31" t="n">
        <v>0</v>
      </c>
      <c r="U113" s="31" t="n">
        <v>0</v>
      </c>
      <c r="V113" s="31" t="n">
        <v>0</v>
      </c>
      <c r="W113" s="31" t="n">
        <v>0</v>
      </c>
      <c r="X113" s="31" t="n">
        <v>0</v>
      </c>
      <c r="Y113" s="31" t="n">
        <v>0</v>
      </c>
      <c r="Z113" s="31" t="n">
        <v>0</v>
      </c>
      <c r="AA113" s="31" t="n">
        <v>0</v>
      </c>
      <c r="AB113" s="31" t="n">
        <v>0</v>
      </c>
      <c r="AC113" s="31" t="n">
        <v>0</v>
      </c>
      <c r="AD113" s="31" t="n">
        <v>0</v>
      </c>
      <c r="AE113" s="31" t="n">
        <v>0</v>
      </c>
      <c r="AF113" s="31" t="n">
        <v>0</v>
      </c>
      <c r="AG113" s="31" t="n">
        <v>0</v>
      </c>
      <c r="AH113" s="31" t="n">
        <v>0</v>
      </c>
      <c r="AI113" s="31" t="n">
        <v>0</v>
      </c>
      <c r="AJ113" s="31" t="n">
        <v>0</v>
      </c>
      <c r="AK113" s="31" t="n">
        <v>0</v>
      </c>
      <c r="AL113" s="31" t="n">
        <v>0</v>
      </c>
      <c r="AM113" s="31" t="n">
        <v>0</v>
      </c>
      <c r="AN113" s="31" t="n">
        <v>0</v>
      </c>
      <c r="AO113" s="31" t="n">
        <v>0</v>
      </c>
      <c r="AP113" s="31" t="n">
        <v>0</v>
      </c>
      <c r="AQ113" s="31" t="n">
        <v>0</v>
      </c>
      <c r="AR113" s="31" t="n">
        <v>0</v>
      </c>
      <c r="AS113" s="31" t="n">
        <v>0</v>
      </c>
      <c r="AT113" s="31" t="n">
        <v>0</v>
      </c>
      <c r="AU113" s="31" t="n">
        <v>0</v>
      </c>
      <c r="AV113" s="31" t="n">
        <v>0</v>
      </c>
      <c r="AW113" s="31" t="n">
        <v>0</v>
      </c>
      <c r="AX113" s="31" t="n">
        <v>0</v>
      </c>
      <c r="AY113" s="31" t="n">
        <v>0</v>
      </c>
      <c r="AZ113" s="31" t="n">
        <v>0</v>
      </c>
      <c r="BA113" s="31" t="n">
        <v>0</v>
      </c>
      <c r="BB113" s="31" t="n">
        <v>0</v>
      </c>
      <c r="BC113" s="31" t="n">
        <v>0</v>
      </c>
      <c r="BD113" s="31" t="n">
        <v>0</v>
      </c>
      <c r="BE113" s="31" t="n">
        <v>0</v>
      </c>
      <c r="BF113" s="31" t="n">
        <v>0</v>
      </c>
      <c r="BG113" s="31" t="n">
        <v>0</v>
      </c>
      <c r="BH113" s="31" t="n">
        <v>0</v>
      </c>
      <c r="BI113" s="31" t="n">
        <v>0</v>
      </c>
      <c r="BJ113" s="31" t="n">
        <v>0</v>
      </c>
      <c r="BK113" s="31" t="n">
        <v>0</v>
      </c>
      <c r="BL113" s="31" t="n">
        <v>0</v>
      </c>
      <c r="BM113" s="31" t="n">
        <v>0</v>
      </c>
      <c r="BN113" s="31" t="n">
        <v>0</v>
      </c>
      <c r="BO113" s="31" t="n">
        <v>0</v>
      </c>
      <c r="BP113" s="31" t="n">
        <v>0</v>
      </c>
      <c r="BQ113" s="31" t="n">
        <v>0</v>
      </c>
      <c r="BR113" s="31" t="n">
        <v>0</v>
      </c>
      <c r="BS113" s="31" t="n">
        <v>0</v>
      </c>
      <c r="BT113" s="31" t="n">
        <v>0</v>
      </c>
      <c r="BU113" s="31" t="n">
        <v>0</v>
      </c>
      <c r="BV113" s="31" t="n">
        <v>0</v>
      </c>
      <c r="BW113" s="31" t="n">
        <v>0</v>
      </c>
      <c r="BX113" s="31" t="n">
        <v>0</v>
      </c>
      <c r="BY113" s="31" t="n">
        <v>0</v>
      </c>
      <c r="BZ113" s="31" t="n">
        <v>0</v>
      </c>
      <c r="CA113" s="31" t="n">
        <v>0</v>
      </c>
      <c r="CB113" s="31" t="n">
        <v>0</v>
      </c>
      <c r="CC113" s="31" t="n">
        <v>0</v>
      </c>
      <c r="CD113" s="31" t="n">
        <v>0</v>
      </c>
      <c r="CE113" s="31" t="n">
        <v>0</v>
      </c>
      <c r="CF113" s="31" t="n">
        <v>0</v>
      </c>
      <c r="CG113" s="31" t="n">
        <v>0</v>
      </c>
      <c r="CH113" s="31" t="n">
        <v>0</v>
      </c>
      <c r="CI113" s="31" t="n">
        <v>0</v>
      </c>
      <c r="CJ113" s="31" t="n">
        <v>0</v>
      </c>
      <c r="CK113" s="31" t="n">
        <v>0</v>
      </c>
      <c r="CL113" s="31" t="n">
        <v>0</v>
      </c>
      <c r="CM113" s="31" t="n">
        <v>0</v>
      </c>
      <c r="CN113" s="31" t="n">
        <v>0</v>
      </c>
      <c r="CO113" s="31" t="n">
        <v>0</v>
      </c>
      <c r="CP113" s="31" t="n">
        <v>0</v>
      </c>
      <c r="CQ113" s="31" t="n">
        <v>0</v>
      </c>
      <c r="CR113" s="31" t="n">
        <v>0</v>
      </c>
      <c r="CS113" s="31" t="n">
        <v>0</v>
      </c>
      <c r="CT113" s="31" t="n">
        <v>0</v>
      </c>
      <c r="CU113" s="31" t="n">
        <v>0</v>
      </c>
      <c r="CV113" s="31" t="n">
        <v>0</v>
      </c>
      <c r="CW113" s="31" t="n">
        <v>0</v>
      </c>
      <c r="CX113" s="31" t="n">
        <v>0</v>
      </c>
      <c r="CY113" s="31" t="n">
        <v>0</v>
      </c>
      <c r="CZ113" s="31" t="n">
        <v>0</v>
      </c>
      <c r="DA113" s="31" t="n">
        <v>0</v>
      </c>
      <c r="DB113" s="31" t="n">
        <v>0</v>
      </c>
      <c r="DC113" s="31" t="n">
        <v>0</v>
      </c>
      <c r="DD113" s="31" t="n">
        <v>0</v>
      </c>
      <c r="DE113" s="31" t="n">
        <v>0</v>
      </c>
      <c r="DF113" s="31">
        <f>SUM(C113:DE113)</f>
        <v/>
      </c>
      <c r="DG113" s="31" t="n">
        <v>0</v>
      </c>
      <c r="DH113" s="31" t="n">
        <v>0</v>
      </c>
      <c r="DI113" s="31" t="n">
        <v>616716867.110312</v>
      </c>
      <c r="DJ113" s="31" t="n">
        <v>0</v>
      </c>
      <c r="DK113" s="31">
        <f>SUM(DG113:DJ113)</f>
        <v/>
      </c>
      <c r="DL113" s="31">
        <f>DF113+DK113</f>
        <v/>
      </c>
    </row>
    <row r="114">
      <c r="A114" s="28" t="inlineStr">
        <is>
          <t>85 PR</t>
        </is>
      </c>
      <c r="B114" s="28" t="inlineStr">
        <is>
          <t>SERVICIOS SOCIALES Y DE SALUD - Privados</t>
        </is>
      </c>
      <c r="C114" s="29" t="n">
        <v>0</v>
      </c>
      <c r="D114" s="29" t="n">
        <v>8873.151073518939</v>
      </c>
      <c r="E114" s="29" t="n">
        <v>0</v>
      </c>
      <c r="F114" s="29" t="n">
        <v>0</v>
      </c>
      <c r="G114" s="29" t="n">
        <v>0</v>
      </c>
      <c r="H114" s="29" t="n">
        <v>24714.43434710159</v>
      </c>
      <c r="I114" s="29" t="n">
        <v>0</v>
      </c>
      <c r="J114" s="29" t="n">
        <v>957915.774626843</v>
      </c>
      <c r="K114" s="29" t="n">
        <v>3892.41338013076</v>
      </c>
      <c r="L114" s="29" t="n">
        <v>0</v>
      </c>
      <c r="M114" s="29" t="n">
        <v>2420.093066675358</v>
      </c>
      <c r="N114" s="29" t="n">
        <v>128709.9282687861</v>
      </c>
      <c r="O114" s="29" t="n">
        <v>11215.61049980581</v>
      </c>
      <c r="P114" s="29" t="n">
        <v>5522.353210177299</v>
      </c>
      <c r="Q114" s="29" t="n">
        <v>6560.634047990333</v>
      </c>
      <c r="R114" s="29" t="n">
        <v>9506.863577684529</v>
      </c>
      <c r="S114" s="29" t="n">
        <v>27558.99966135815</v>
      </c>
      <c r="T114" s="29" t="n">
        <v>33101.03108337717</v>
      </c>
      <c r="U114" s="29" t="n">
        <v>32345.01490128099</v>
      </c>
      <c r="V114" s="29" t="n">
        <v>20608.77896159828</v>
      </c>
      <c r="W114" s="29" t="n">
        <v>12034.32531948298</v>
      </c>
      <c r="X114" s="29" t="n">
        <v>6421.959089290852</v>
      </c>
      <c r="Y114" s="29" t="n">
        <v>30536.6278661884</v>
      </c>
      <c r="Z114" s="29" t="n">
        <v>3853.751044011874</v>
      </c>
      <c r="AA114" s="29" t="n">
        <v>14124.99962663582</v>
      </c>
      <c r="AB114" s="29" t="n">
        <v>28758.50736625326</v>
      </c>
      <c r="AC114" s="29" t="n">
        <v>26590.95062009118</v>
      </c>
      <c r="AD114" s="29" t="n">
        <v>40667.04814218573</v>
      </c>
      <c r="AE114" s="29" t="n">
        <v>17634.20840487157</v>
      </c>
      <c r="AF114" s="29" t="n">
        <v>22535.43658663888</v>
      </c>
      <c r="AG114" s="29" t="n">
        <v>9594.168379360664</v>
      </c>
      <c r="AH114" s="29" t="n">
        <v>8088.408165992242</v>
      </c>
      <c r="AI114" s="29" t="n">
        <v>11798.30379691987</v>
      </c>
      <c r="AJ114" s="29" t="n">
        <v>15857.28131125257</v>
      </c>
      <c r="AK114" s="29" t="n">
        <v>86649.87830826809</v>
      </c>
      <c r="AL114" s="29" t="n">
        <v>41608.38628472899</v>
      </c>
      <c r="AM114" s="29" t="n">
        <v>13184.56079437626</v>
      </c>
      <c r="AN114" s="29" t="n">
        <v>35273.2090078172</v>
      </c>
      <c r="AO114" s="29" t="n">
        <v>69990.57405744045</v>
      </c>
      <c r="AP114" s="29" t="n">
        <v>8800.977624027781</v>
      </c>
      <c r="AQ114" s="29" t="n">
        <v>190444.807592405</v>
      </c>
      <c r="AR114" s="29" t="n">
        <v>15003.66524529954</v>
      </c>
      <c r="AS114" s="29" t="n">
        <v>42863.03535605205</v>
      </c>
      <c r="AT114" s="29" t="n">
        <v>5329.673872810915</v>
      </c>
      <c r="AU114" s="29" t="n">
        <v>87731.21747842329</v>
      </c>
      <c r="AV114" s="29" t="n">
        <v>16408.75646203419</v>
      </c>
      <c r="AW114" s="29" t="n">
        <v>3265.489305089816</v>
      </c>
      <c r="AX114" s="29" t="n">
        <v>25617.15110132291</v>
      </c>
      <c r="AY114" s="29" t="n">
        <v>54642.52468184593</v>
      </c>
      <c r="AZ114" s="29" t="n">
        <v>51001.099144014</v>
      </c>
      <c r="BA114" s="29" t="n">
        <v>22712.05606427247</v>
      </c>
      <c r="BB114" s="29" t="n">
        <v>28695.08962579948</v>
      </c>
      <c r="BC114" s="29" t="n">
        <v>11195.63953752078</v>
      </c>
      <c r="BD114" s="29" t="n">
        <v>0</v>
      </c>
      <c r="BE114" s="29" t="n">
        <v>9430.898127295295</v>
      </c>
      <c r="BF114" s="29" t="n">
        <v>2426.614105639605</v>
      </c>
      <c r="BG114" s="29" t="n">
        <v>9152.440720386176</v>
      </c>
      <c r="BH114" s="29" t="n">
        <v>89542.40491508902</v>
      </c>
      <c r="BI114" s="29" t="n">
        <v>1959.441221648331</v>
      </c>
      <c r="BJ114" s="29" t="n">
        <v>30187.49532834144</v>
      </c>
      <c r="BK114" s="29" t="n">
        <v>99999.03282016974</v>
      </c>
      <c r="BL114" s="29" t="n">
        <v>37750.02839257325</v>
      </c>
      <c r="BM114" s="29" t="n">
        <v>2953.847240183818</v>
      </c>
      <c r="BN114" s="29" t="n">
        <v>18552.54298166974</v>
      </c>
      <c r="BO114" s="29" t="n">
        <v>19205.97319543901</v>
      </c>
      <c r="BP114" s="29" t="n">
        <v>5602.041178867766</v>
      </c>
      <c r="BQ114" s="29" t="n">
        <v>5723.925048261295</v>
      </c>
      <c r="BR114" s="29" t="n">
        <v>0</v>
      </c>
      <c r="BS114" s="29" t="n">
        <v>0</v>
      </c>
      <c r="BT114" s="29" t="n">
        <v>97723.81361494459</v>
      </c>
      <c r="BU114" s="29" t="n">
        <v>1558321.281339508</v>
      </c>
      <c r="BV114" s="29" t="n">
        <v>4019628.442707451</v>
      </c>
      <c r="BW114" s="29" t="n">
        <v>0</v>
      </c>
      <c r="BX114" s="29" t="n">
        <v>30346.71570875389</v>
      </c>
      <c r="BY114" s="29" t="n">
        <v>119023.6546168063</v>
      </c>
      <c r="BZ114" s="29" t="n">
        <v>23883.69822525031</v>
      </c>
      <c r="CA114" s="29" t="n">
        <v>0</v>
      </c>
      <c r="CB114" s="29" t="n">
        <v>195083.4432281667</v>
      </c>
      <c r="CC114" s="29" t="n">
        <v>12867.9818474866</v>
      </c>
      <c r="CD114" s="29" t="n">
        <v>764929.313874089</v>
      </c>
      <c r="CE114" s="29" t="n">
        <v>4388755.383662917</v>
      </c>
      <c r="CF114" s="29" t="n">
        <v>11552.50256615492</v>
      </c>
      <c r="CG114" s="29" t="n">
        <v>80302.28614923338</v>
      </c>
      <c r="CH114" s="29" t="n">
        <v>517627.866237264</v>
      </c>
      <c r="CI114" s="29" t="n">
        <v>17482.71217165704</v>
      </c>
      <c r="CJ114" s="29" t="n">
        <v>645716.7326181007</v>
      </c>
      <c r="CK114" s="29" t="n">
        <v>0</v>
      </c>
      <c r="CL114" s="29" t="n">
        <v>661674.7334965954</v>
      </c>
      <c r="CM114" s="29" t="n">
        <v>6065.656386455628</v>
      </c>
      <c r="CN114" s="29" t="n">
        <v>0</v>
      </c>
      <c r="CO114" s="29" t="n">
        <v>0</v>
      </c>
      <c r="CP114" s="29" t="n">
        <v>508197.340443337</v>
      </c>
      <c r="CQ114" s="29" t="n">
        <v>3240.787656546903</v>
      </c>
      <c r="CR114" s="29" t="n">
        <v>1148939.218200755</v>
      </c>
      <c r="CS114" s="29" t="n">
        <v>57483.91678014203</v>
      </c>
      <c r="CT114" s="29" t="n">
        <v>52489.13748232878</v>
      </c>
      <c r="CU114" s="29" t="n">
        <v>17334161.42387014</v>
      </c>
      <c r="CV114" s="29" t="n">
        <v>2800324.121342013</v>
      </c>
      <c r="CW114" s="29" t="n">
        <v>2386271.486411695</v>
      </c>
      <c r="CX114" s="29" t="n">
        <v>1223363.442051324</v>
      </c>
      <c r="CY114" s="29" t="n">
        <v>94851440.06987292</v>
      </c>
      <c r="CZ114" s="29" t="n">
        <v>1953831.005464945</v>
      </c>
      <c r="DA114" s="29" t="n">
        <v>74070.30481068311</v>
      </c>
      <c r="DB114" s="29" t="n">
        <v>28281634.873917</v>
      </c>
      <c r="DC114" s="29" t="n">
        <v>227446.3234163454</v>
      </c>
      <c r="DD114" s="29" t="n">
        <v>486326.7958692999</v>
      </c>
      <c r="DE114" s="29" t="n">
        <v>0</v>
      </c>
      <c r="DF114" s="29">
        <f>SUM(C114:DE114)</f>
        <v/>
      </c>
      <c r="DG114" s="29" t="n">
        <v>0</v>
      </c>
      <c r="DH114" s="29" t="n">
        <v>0</v>
      </c>
      <c r="DI114" s="29" t="n">
        <v>700490163.2267439</v>
      </c>
      <c r="DJ114" s="29" t="n">
        <v>0</v>
      </c>
      <c r="DK114" s="29">
        <f>SUM(DG114:DJ114)</f>
        <v/>
      </c>
      <c r="DL114" s="29">
        <f>DF114+DK114</f>
        <v/>
      </c>
    </row>
    <row r="115">
      <c r="A115" s="30" t="inlineStr">
        <is>
          <t>85 PU</t>
        </is>
      </c>
      <c r="B115" s="30" t="inlineStr">
        <is>
          <t>SERVICIOS SOCIALES Y DE SALUD - Públicos</t>
        </is>
      </c>
      <c r="C115" s="31" t="n">
        <v>0</v>
      </c>
      <c r="D115" s="31" t="n">
        <v>0</v>
      </c>
      <c r="E115" s="31" t="n">
        <v>0</v>
      </c>
      <c r="F115" s="31" t="n">
        <v>0</v>
      </c>
      <c r="G115" s="31" t="n">
        <v>0</v>
      </c>
      <c r="H115" s="31" t="n">
        <v>0</v>
      </c>
      <c r="I115" s="31" t="n">
        <v>0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0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0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0</v>
      </c>
      <c r="AG115" s="31" t="n">
        <v>0</v>
      </c>
      <c r="AH115" s="31" t="n">
        <v>0</v>
      </c>
      <c r="AI115" s="31" t="n">
        <v>0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0</v>
      </c>
      <c r="AZ115" s="31" t="n">
        <v>0</v>
      </c>
      <c r="BA115" s="31" t="n">
        <v>0</v>
      </c>
      <c r="BB115" s="31" t="n">
        <v>0</v>
      </c>
      <c r="BC115" s="31" t="n">
        <v>0</v>
      </c>
      <c r="BD115" s="31" t="n">
        <v>0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0</v>
      </c>
      <c r="BL115" s="31" t="n">
        <v>0</v>
      </c>
      <c r="BM115" s="31" t="n">
        <v>0</v>
      </c>
      <c r="BN115" s="31" t="n">
        <v>0</v>
      </c>
      <c r="BO115" s="31" t="n">
        <v>0</v>
      </c>
      <c r="BP115" s="31" t="n">
        <v>0</v>
      </c>
      <c r="BQ115" s="31" t="n">
        <v>0</v>
      </c>
      <c r="BR115" s="31" t="n">
        <v>0</v>
      </c>
      <c r="BS115" s="31" t="n">
        <v>0</v>
      </c>
      <c r="BT115" s="31" t="n">
        <v>0</v>
      </c>
      <c r="BU115" s="31" t="n">
        <v>0</v>
      </c>
      <c r="BV115" s="31" t="n">
        <v>0</v>
      </c>
      <c r="BW115" s="31" t="n">
        <v>0</v>
      </c>
      <c r="BX115" s="31" t="n">
        <v>0</v>
      </c>
      <c r="BY115" s="31" t="n">
        <v>0</v>
      </c>
      <c r="BZ115" s="31" t="n">
        <v>0</v>
      </c>
      <c r="CA115" s="31" t="n">
        <v>0</v>
      </c>
      <c r="CB115" s="31" t="n">
        <v>0</v>
      </c>
      <c r="CC115" s="31" t="n">
        <v>0</v>
      </c>
      <c r="CD115" s="31" t="n">
        <v>0</v>
      </c>
      <c r="CE115" s="31" t="n">
        <v>0</v>
      </c>
      <c r="CF115" s="31" t="n">
        <v>0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>
        <f>SUM(C115:DE115)</f>
        <v/>
      </c>
      <c r="DG115" s="31" t="n">
        <v>0</v>
      </c>
      <c r="DH115" s="31" t="n">
        <v>0</v>
      </c>
      <c r="DI115" s="31" t="n">
        <v>280628174</v>
      </c>
      <c r="DJ115" s="31" t="n">
        <v>0</v>
      </c>
      <c r="DK115" s="31">
        <f>SUM(DG115:DJ115)</f>
        <v/>
      </c>
      <c r="DL115" s="31">
        <f>DF115+DK115</f>
        <v/>
      </c>
    </row>
    <row r="116">
      <c r="A116" s="28" t="inlineStr">
        <is>
          <t>900</t>
        </is>
      </c>
      <c r="B116" s="28" t="inlineStr">
        <is>
          <t>Eliminación de desperdicios y aguas residuales, saneamiento y servicios similares</t>
        </is>
      </c>
      <c r="C116" s="29" t="n">
        <v>730489.7657346445</v>
      </c>
      <c r="D116" s="29" t="n">
        <v>0</v>
      </c>
      <c r="E116" s="29" t="n">
        <v>0</v>
      </c>
      <c r="F116" s="29" t="n">
        <v>0</v>
      </c>
      <c r="G116" s="29" t="n">
        <v>0</v>
      </c>
      <c r="H116" s="29" t="n">
        <v>0</v>
      </c>
      <c r="I116" s="29" t="n">
        <v>3116.58160593312</v>
      </c>
      <c r="J116" s="29" t="n">
        <v>98448.75548984426</v>
      </c>
      <c r="K116" s="29" t="n">
        <v>0</v>
      </c>
      <c r="L116" s="29" t="n">
        <v>483024.3864362261</v>
      </c>
      <c r="M116" s="29" t="n">
        <v>162981.6314302343</v>
      </c>
      <c r="N116" s="29" t="n">
        <v>0</v>
      </c>
      <c r="O116" s="29" t="n">
        <v>0</v>
      </c>
      <c r="P116" s="29" t="n">
        <v>0</v>
      </c>
      <c r="Q116" s="29" t="n">
        <v>1572393.988057146</v>
      </c>
      <c r="R116" s="29" t="n">
        <v>0</v>
      </c>
      <c r="S116" s="29" t="n">
        <v>0</v>
      </c>
      <c r="T116" s="29" t="n">
        <v>0</v>
      </c>
      <c r="U116" s="29" t="n">
        <v>0</v>
      </c>
      <c r="V116" s="29" t="n">
        <v>0</v>
      </c>
      <c r="W116" s="29" t="n">
        <v>98448.75548984426</v>
      </c>
      <c r="X116" s="29" t="n">
        <v>0</v>
      </c>
      <c r="Y116" s="29" t="n">
        <v>416439.2202095962</v>
      </c>
      <c r="Z116" s="29" t="n">
        <v>108293.6310388287</v>
      </c>
      <c r="AA116" s="29" t="n">
        <v>0</v>
      </c>
      <c r="AB116" s="29" t="n">
        <v>0</v>
      </c>
      <c r="AC116" s="29" t="n">
        <v>98448.75548984426</v>
      </c>
      <c r="AD116" s="29" t="n">
        <v>0</v>
      </c>
      <c r="AE116" s="29" t="n">
        <v>0</v>
      </c>
      <c r="AF116" s="29" t="n">
        <v>0</v>
      </c>
      <c r="AG116" s="29" t="n">
        <v>0</v>
      </c>
      <c r="AH116" s="29" t="n">
        <v>98448.75548984426</v>
      </c>
      <c r="AI116" s="29" t="n">
        <v>0</v>
      </c>
      <c r="AJ116" s="29" t="n">
        <v>0</v>
      </c>
      <c r="AK116" s="29" t="n">
        <v>0</v>
      </c>
      <c r="AL116" s="29" t="n">
        <v>0</v>
      </c>
      <c r="AM116" s="29" t="n">
        <v>0</v>
      </c>
      <c r="AN116" s="29" t="n">
        <v>98448.75548984426</v>
      </c>
      <c r="AO116" s="29" t="n">
        <v>0</v>
      </c>
      <c r="AP116" s="29" t="n">
        <v>0</v>
      </c>
      <c r="AQ116" s="29" t="n">
        <v>2076429.118573523</v>
      </c>
      <c r="AR116" s="29" t="n">
        <v>0</v>
      </c>
      <c r="AS116" s="29" t="n">
        <v>0</v>
      </c>
      <c r="AT116" s="29" t="n">
        <v>0</v>
      </c>
      <c r="AU116" s="29" t="n">
        <v>0</v>
      </c>
      <c r="AV116" s="29" t="n">
        <v>0</v>
      </c>
      <c r="AW116" s="29" t="n">
        <v>0</v>
      </c>
      <c r="AX116" s="29" t="n">
        <v>0</v>
      </c>
      <c r="AY116" s="29" t="n">
        <v>0</v>
      </c>
      <c r="AZ116" s="29" t="n">
        <v>823238.3382816267</v>
      </c>
      <c r="BA116" s="29" t="n">
        <v>0</v>
      </c>
      <c r="BB116" s="29" t="n">
        <v>0</v>
      </c>
      <c r="BC116" s="29" t="n">
        <v>0</v>
      </c>
      <c r="BD116" s="29" t="n">
        <v>0</v>
      </c>
      <c r="BE116" s="29" t="n">
        <v>0</v>
      </c>
      <c r="BF116" s="29" t="n">
        <v>0</v>
      </c>
      <c r="BG116" s="29" t="n">
        <v>0</v>
      </c>
      <c r="BH116" s="29" t="n">
        <v>0</v>
      </c>
      <c r="BI116" s="29" t="n">
        <v>0</v>
      </c>
      <c r="BJ116" s="29" t="n">
        <v>0</v>
      </c>
      <c r="BK116" s="29" t="n">
        <v>0</v>
      </c>
      <c r="BL116" s="29" t="n">
        <v>787590.0439187541</v>
      </c>
      <c r="BM116" s="29" t="n">
        <v>0</v>
      </c>
      <c r="BN116" s="29" t="n">
        <v>393795.021959377</v>
      </c>
      <c r="BO116" s="29" t="n">
        <v>0</v>
      </c>
      <c r="BP116" s="29" t="n">
        <v>0</v>
      </c>
      <c r="BQ116" s="29" t="n">
        <v>0</v>
      </c>
      <c r="BR116" s="29" t="n">
        <v>0</v>
      </c>
      <c r="BS116" s="29" t="n">
        <v>556370.5768342706</v>
      </c>
      <c r="BT116" s="29" t="n">
        <v>98448.75548984426</v>
      </c>
      <c r="BU116" s="29" t="n">
        <v>1506265.958994617</v>
      </c>
      <c r="BV116" s="29" t="n">
        <v>3593379.575379316</v>
      </c>
      <c r="BW116" s="29" t="n">
        <v>98449.73997739916</v>
      </c>
      <c r="BX116" s="29" t="n">
        <v>0</v>
      </c>
      <c r="BY116" s="29" t="n">
        <v>1476731.332347664</v>
      </c>
      <c r="BZ116" s="29" t="n">
        <v>2218.375360679753</v>
      </c>
      <c r="CA116" s="29" t="n">
        <v>492243.7774492213</v>
      </c>
      <c r="CB116" s="29" t="n">
        <v>148337.4260886797</v>
      </c>
      <c r="CC116" s="29" t="n">
        <v>9204.759512196102</v>
      </c>
      <c r="CD116" s="29" t="n">
        <v>2011032.633182708</v>
      </c>
      <c r="CE116" s="29" t="n">
        <v>1488595.538498104</v>
      </c>
      <c r="CF116" s="29" t="n">
        <v>0</v>
      </c>
      <c r="CG116" s="29" t="n">
        <v>0</v>
      </c>
      <c r="CH116" s="29" t="n">
        <v>98448.75548984426</v>
      </c>
      <c r="CI116" s="29" t="n">
        <v>0</v>
      </c>
      <c r="CJ116" s="29" t="n">
        <v>98449.73997739916</v>
      </c>
      <c r="CK116" s="29" t="n">
        <v>196897.5109796885</v>
      </c>
      <c r="CL116" s="29" t="n">
        <v>1393640.582714235</v>
      </c>
      <c r="CM116" s="29" t="n">
        <v>116390.0566903135</v>
      </c>
      <c r="CN116" s="29" t="n">
        <v>0</v>
      </c>
      <c r="CO116" s="29" t="n">
        <v>3237628.106003879</v>
      </c>
      <c r="CP116" s="29" t="n">
        <v>0</v>
      </c>
      <c r="CQ116" s="29" t="n">
        <v>0</v>
      </c>
      <c r="CR116" s="29" t="n">
        <v>0</v>
      </c>
      <c r="CS116" s="29" t="n">
        <v>705789.2755801448</v>
      </c>
      <c r="CT116" s="29" t="n">
        <v>644463.2237077694</v>
      </c>
      <c r="CU116" s="29" t="n">
        <v>3039943.989467827</v>
      </c>
      <c r="CV116" s="29" t="n">
        <v>34382464.58658773</v>
      </c>
      <c r="CW116" s="29" t="n">
        <v>3977685.121797027</v>
      </c>
      <c r="CX116" s="29" t="n">
        <v>0</v>
      </c>
      <c r="CY116" s="29" t="n">
        <v>2098969.694075978</v>
      </c>
      <c r="CZ116" s="29" t="n">
        <v>22533.68975329963</v>
      </c>
      <c r="DA116" s="29" t="n">
        <v>0</v>
      </c>
      <c r="DB116" s="29" t="n">
        <v>1644745.947441742</v>
      </c>
      <c r="DC116" s="29" t="n">
        <v>545876.6904649787</v>
      </c>
      <c r="DD116" s="29" t="n">
        <v>0</v>
      </c>
      <c r="DE116" s="29" t="n">
        <v>0</v>
      </c>
      <c r="DF116" s="29">
        <f>SUM(C116:DE116)</f>
        <v/>
      </c>
      <c r="DG116" s="29" t="n">
        <v>0</v>
      </c>
      <c r="DH116" s="29" t="n">
        <v>0</v>
      </c>
      <c r="DI116" s="29" t="n">
        <v>32103145.73448535</v>
      </c>
      <c r="DJ116" s="29" t="n">
        <v>0</v>
      </c>
      <c r="DK116" s="29">
        <f>SUM(DG116:DJ116)</f>
        <v/>
      </c>
      <c r="DL116" s="29">
        <f>DF116+DK116</f>
        <v/>
      </c>
    </row>
    <row r="117">
      <c r="A117" s="30" t="inlineStr">
        <is>
          <t>919</t>
        </is>
      </c>
      <c r="B117" s="30" t="inlineStr">
        <is>
          <t>Servicios de asociaciones n.c.p.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0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0</v>
      </c>
      <c r="AZ117" s="31" t="n">
        <v>0</v>
      </c>
      <c r="BA117" s="31" t="n">
        <v>0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0</v>
      </c>
      <c r="BM117" s="31" t="n">
        <v>0</v>
      </c>
      <c r="BN117" s="31" t="n">
        <v>0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892639.3957972204</v>
      </c>
      <c r="BV117" s="31" t="n">
        <v>2642389.098055631</v>
      </c>
      <c r="BW117" s="31" t="n">
        <v>0</v>
      </c>
      <c r="BX117" s="31" t="n">
        <v>0</v>
      </c>
      <c r="BY117" s="31" t="n">
        <v>0</v>
      </c>
      <c r="BZ117" s="31" t="n">
        <v>3002.487026093909</v>
      </c>
      <c r="CA117" s="31" t="n">
        <v>725081.9655542</v>
      </c>
      <c r="CB117" s="31" t="n">
        <v>0</v>
      </c>
      <c r="CC117" s="31" t="n">
        <v>0</v>
      </c>
      <c r="CD117" s="31" t="n">
        <v>300297.2646045336</v>
      </c>
      <c r="CE117" s="31" t="n">
        <v>0</v>
      </c>
      <c r="CF117" s="31" t="n">
        <v>0</v>
      </c>
      <c r="CG117" s="31" t="n">
        <v>17169.94091344485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68484.2176967613</v>
      </c>
      <c r="CM117" s="31" t="n">
        <v>207.9215563808124</v>
      </c>
      <c r="CN117" s="31" t="n">
        <v>0</v>
      </c>
      <c r="CO117" s="31" t="n">
        <v>0</v>
      </c>
      <c r="CP117" s="31" t="n">
        <v>102556.2243634631</v>
      </c>
      <c r="CQ117" s="31" t="n">
        <v>0</v>
      </c>
      <c r="CR117" s="31" t="n">
        <v>0</v>
      </c>
      <c r="CS117" s="31" t="n">
        <v>0</v>
      </c>
      <c r="CT117" s="31" t="n">
        <v>0</v>
      </c>
      <c r="CU117" s="31" t="n">
        <v>778943.5478584333</v>
      </c>
      <c r="CV117" s="31" t="n">
        <v>0</v>
      </c>
      <c r="CW117" s="31" t="n">
        <v>327211.0485582256</v>
      </c>
      <c r="CX117" s="31" t="n">
        <v>0</v>
      </c>
      <c r="CY117" s="31" t="n">
        <v>310.8935849688484</v>
      </c>
      <c r="CZ117" s="31" t="n">
        <v>0</v>
      </c>
      <c r="DA117" s="31" t="n">
        <v>0</v>
      </c>
      <c r="DB117" s="31" t="n">
        <v>298139.8413896951</v>
      </c>
      <c r="DC117" s="31" t="n">
        <v>1176748.061256489</v>
      </c>
      <c r="DD117" s="31" t="n">
        <v>0</v>
      </c>
      <c r="DE117" s="31" t="n">
        <v>0</v>
      </c>
      <c r="DF117" s="31">
        <f>SUM(C117:DE117)</f>
        <v/>
      </c>
      <c r="DG117" s="31" t="n">
        <v>0</v>
      </c>
      <c r="DH117" s="31" t="n">
        <v>0</v>
      </c>
      <c r="DI117" s="31" t="n">
        <v>288323580.1817481</v>
      </c>
      <c r="DJ117" s="31" t="n">
        <v>0</v>
      </c>
      <c r="DK117" s="31">
        <f>SUM(DG117:DJ117)</f>
        <v/>
      </c>
      <c r="DL117" s="31">
        <f>DF117+DK117</f>
        <v/>
      </c>
    </row>
    <row r="118">
      <c r="A118" s="28" t="inlineStr">
        <is>
          <t>92</t>
        </is>
      </c>
      <c r="B118" s="28" t="inlineStr">
        <is>
          <t>ACTIVIDADES DE ESPARCIMIENTO Y ACTIVIDADES CULTURALES Y DEPORTIVAS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552.7244513432029</v>
      </c>
      <c r="I118" s="29" t="n">
        <v>0</v>
      </c>
      <c r="J118" s="29" t="n">
        <v>46802.90874051594</v>
      </c>
      <c r="K118" s="29" t="n">
        <v>67753.56232600864</v>
      </c>
      <c r="L118" s="29" t="n">
        <v>11205.76034938514</v>
      </c>
      <c r="M118" s="29" t="n">
        <v>0</v>
      </c>
      <c r="N118" s="29" t="n">
        <v>37521.10432988119</v>
      </c>
      <c r="O118" s="29" t="n">
        <v>13119.79763812088</v>
      </c>
      <c r="P118" s="29" t="n">
        <v>19170.0819594597</v>
      </c>
      <c r="Q118" s="29" t="n">
        <v>36455.82961777641</v>
      </c>
      <c r="R118" s="29" t="n">
        <v>142023.7615773473</v>
      </c>
      <c r="S118" s="29" t="n">
        <v>14551.58650994562</v>
      </c>
      <c r="T118" s="29" t="n">
        <v>100148.1118450761</v>
      </c>
      <c r="U118" s="29" t="n">
        <v>341685.4221477275</v>
      </c>
      <c r="V118" s="29" t="n">
        <v>2139.82580048218</v>
      </c>
      <c r="W118" s="29" t="n">
        <v>99924.36381739152</v>
      </c>
      <c r="X118" s="29" t="n">
        <v>22582.33239882767</v>
      </c>
      <c r="Y118" s="29" t="n">
        <v>81928.41136045435</v>
      </c>
      <c r="Z118" s="29" t="n">
        <v>68493.73293167556</v>
      </c>
      <c r="AA118" s="29" t="n">
        <v>102066.1163666708</v>
      </c>
      <c r="AB118" s="29" t="n">
        <v>217135.0182923616</v>
      </c>
      <c r="AC118" s="29" t="n">
        <v>302997.447230897</v>
      </c>
      <c r="AD118" s="29" t="n">
        <v>315962.4241437996</v>
      </c>
      <c r="AE118" s="29" t="n">
        <v>7511.173334117841</v>
      </c>
      <c r="AF118" s="29" t="n">
        <v>35587.95249937633</v>
      </c>
      <c r="AG118" s="29" t="n">
        <v>2663.630957144315</v>
      </c>
      <c r="AH118" s="29" t="n">
        <v>24399.05022145242</v>
      </c>
      <c r="AI118" s="29" t="n">
        <v>5837.300274271744</v>
      </c>
      <c r="AJ118" s="29" t="n">
        <v>61753.91714889574</v>
      </c>
      <c r="AK118" s="29" t="n">
        <v>1188294.379945427</v>
      </c>
      <c r="AL118" s="29" t="n">
        <v>22070.58630151862</v>
      </c>
      <c r="AM118" s="29" t="n">
        <v>25419.30928425295</v>
      </c>
      <c r="AN118" s="29" t="n">
        <v>30074.95528323442</v>
      </c>
      <c r="AO118" s="29" t="n">
        <v>19600.66729219</v>
      </c>
      <c r="AP118" s="29" t="n">
        <v>54490.01699323903</v>
      </c>
      <c r="AQ118" s="29" t="n">
        <v>997348.9785370452</v>
      </c>
      <c r="AR118" s="29" t="n">
        <v>63574.8910332739</v>
      </c>
      <c r="AS118" s="29" t="n">
        <v>56260.22092609981</v>
      </c>
      <c r="AT118" s="29" t="n">
        <v>8558.781554831256</v>
      </c>
      <c r="AU118" s="29" t="n">
        <v>36475.71201847441</v>
      </c>
      <c r="AV118" s="29" t="n">
        <v>28842.52042986344</v>
      </c>
      <c r="AW118" s="29" t="n">
        <v>2372.099349459198</v>
      </c>
      <c r="AX118" s="29" t="n">
        <v>3715.464309786295</v>
      </c>
      <c r="AY118" s="29" t="n">
        <v>15265.89512920988</v>
      </c>
      <c r="AZ118" s="29" t="n">
        <v>36980.97377942611</v>
      </c>
      <c r="BA118" s="29" t="n">
        <v>21963.37310478152</v>
      </c>
      <c r="BB118" s="29" t="n">
        <v>49366.53361638336</v>
      </c>
      <c r="BC118" s="29" t="n">
        <v>31087.73052076391</v>
      </c>
      <c r="BD118" s="29" t="n">
        <v>1769.679955158735</v>
      </c>
      <c r="BE118" s="29" t="n">
        <v>14211.01744986107</v>
      </c>
      <c r="BF118" s="29" t="n">
        <v>11011.55797284312</v>
      </c>
      <c r="BG118" s="29" t="n">
        <v>10331.77182405366</v>
      </c>
      <c r="BH118" s="29" t="n">
        <v>38900.70913258586</v>
      </c>
      <c r="BI118" s="29" t="n">
        <v>9600.787976240839</v>
      </c>
      <c r="BJ118" s="29" t="n">
        <v>13169.54893794903</v>
      </c>
      <c r="BK118" s="29" t="n">
        <v>297178.3098119284</v>
      </c>
      <c r="BL118" s="29" t="n">
        <v>25527.07493629372</v>
      </c>
      <c r="BM118" s="29" t="n">
        <v>16220.1863583569</v>
      </c>
      <c r="BN118" s="29" t="n">
        <v>24169.91648514432</v>
      </c>
      <c r="BO118" s="29" t="n">
        <v>4343.24062498507</v>
      </c>
      <c r="BP118" s="29" t="n">
        <v>19282.84186196154</v>
      </c>
      <c r="BQ118" s="29" t="n">
        <v>17985.88085745565</v>
      </c>
      <c r="BR118" s="29" t="n">
        <v>8368.722266475932</v>
      </c>
      <c r="BS118" s="29" t="n">
        <v>0</v>
      </c>
      <c r="BT118" s="29" t="n">
        <v>336801.213906465</v>
      </c>
      <c r="BU118" s="29" t="n">
        <v>1433256.974269441</v>
      </c>
      <c r="BV118" s="29" t="n">
        <v>2637568.941179787</v>
      </c>
      <c r="BW118" s="29" t="n">
        <v>0</v>
      </c>
      <c r="BX118" s="29" t="n">
        <v>116002.5595929933</v>
      </c>
      <c r="BY118" s="29" t="n">
        <v>452592.1834898141</v>
      </c>
      <c r="BZ118" s="29" t="n">
        <v>2480.120514278402</v>
      </c>
      <c r="CA118" s="29" t="n">
        <v>80668.19318697484</v>
      </c>
      <c r="CB118" s="29" t="n">
        <v>7017.023322166896</v>
      </c>
      <c r="CC118" s="29" t="n">
        <v>237.127869476557</v>
      </c>
      <c r="CD118" s="29" t="n">
        <v>85079.85236122253</v>
      </c>
      <c r="CE118" s="29" t="n">
        <v>97603.31915417864</v>
      </c>
      <c r="CF118" s="29" t="n">
        <v>30116.67175156542</v>
      </c>
      <c r="CG118" s="29" t="n">
        <v>5187702.928417389</v>
      </c>
      <c r="CH118" s="29" t="n">
        <v>1438997.1996177</v>
      </c>
      <c r="CI118" s="29" t="n">
        <v>339406.1625536921</v>
      </c>
      <c r="CJ118" s="29" t="n">
        <v>575195.1923569584</v>
      </c>
      <c r="CK118" s="29" t="n">
        <v>185177.0088524471</v>
      </c>
      <c r="CL118" s="29" t="n">
        <v>1193905.851012842</v>
      </c>
      <c r="CM118" s="29" t="n">
        <v>56661.49631889757</v>
      </c>
      <c r="CN118" s="29" t="n">
        <v>0</v>
      </c>
      <c r="CO118" s="29" t="n">
        <v>0</v>
      </c>
      <c r="CP118" s="29" t="n">
        <v>3782.058084844451</v>
      </c>
      <c r="CQ118" s="29" t="n">
        <v>150539.6687820191</v>
      </c>
      <c r="CR118" s="29" t="n">
        <v>2333776.896582021</v>
      </c>
      <c r="CS118" s="29" t="n">
        <v>31627.00276677655</v>
      </c>
      <c r="CT118" s="29" t="n">
        <v>28878.93152320489</v>
      </c>
      <c r="CU118" s="29" t="n">
        <v>5236349.070044274</v>
      </c>
      <c r="CV118" s="29" t="n">
        <v>3232364.221030524</v>
      </c>
      <c r="CW118" s="29" t="n">
        <v>6571444.189619306</v>
      </c>
      <c r="CX118" s="29" t="n">
        <v>208553.3734274636</v>
      </c>
      <c r="CY118" s="29" t="n">
        <v>691486.5401846353</v>
      </c>
      <c r="CZ118" s="29" t="n">
        <v>105526.358965352</v>
      </c>
      <c r="DA118" s="29" t="n">
        <v>68264.66355843954</v>
      </c>
      <c r="DB118" s="29" t="n">
        <v>12300696.88768247</v>
      </c>
      <c r="DC118" s="29" t="n">
        <v>25167354.51062502</v>
      </c>
      <c r="DD118" s="29" t="n">
        <v>91402.28791150173</v>
      </c>
      <c r="DE118" s="29" t="n">
        <v>0</v>
      </c>
      <c r="DF118" s="29">
        <f>SUM(C118:DE118)</f>
        <v/>
      </c>
      <c r="DG118" s="29" t="n">
        <v>0</v>
      </c>
      <c r="DH118" s="29" t="n">
        <v>0</v>
      </c>
      <c r="DI118" s="29" t="n">
        <v>156528133.5197935</v>
      </c>
      <c r="DJ118" s="29" t="n">
        <v>0</v>
      </c>
      <c r="DK118" s="29">
        <f>SUM(DG118:DJ118)</f>
        <v/>
      </c>
      <c r="DL118" s="29">
        <f>DF118+DK118</f>
        <v/>
      </c>
    </row>
    <row r="119">
      <c r="A119" s="30" t="inlineStr">
        <is>
          <t>930</t>
        </is>
      </c>
      <c r="B119" s="30" t="inlineStr">
        <is>
          <t>Otras actividades de servicios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0</v>
      </c>
      <c r="J119" s="31" t="n">
        <v>375.8815156611142</v>
      </c>
      <c r="K119" s="31" t="n">
        <v>50716.74553469683</v>
      </c>
      <c r="L119" s="31" t="n">
        <v>0</v>
      </c>
      <c r="M119" s="31" t="n">
        <v>0</v>
      </c>
      <c r="N119" s="31" t="n">
        <v>9337.479169636366</v>
      </c>
      <c r="O119" s="31" t="n">
        <v>0</v>
      </c>
      <c r="P119" s="31" t="n">
        <v>6.578940093208211</v>
      </c>
      <c r="Q119" s="31" t="n">
        <v>6014.973596598719</v>
      </c>
      <c r="R119" s="31" t="n">
        <v>1216.583859252773</v>
      </c>
      <c r="S119" s="31" t="n">
        <v>7.11443581756691</v>
      </c>
      <c r="T119" s="31" t="n">
        <v>6.743928779198866</v>
      </c>
      <c r="U119" s="31" t="n">
        <v>10097.31745967475</v>
      </c>
      <c r="V119" s="31" t="n">
        <v>64.70059818617264</v>
      </c>
      <c r="W119" s="31" t="n">
        <v>45.85627526517736</v>
      </c>
      <c r="X119" s="31" t="n">
        <v>13.14127729270959</v>
      </c>
      <c r="Y119" s="31" t="n">
        <v>15.659650538978</v>
      </c>
      <c r="Z119" s="31" t="n">
        <v>0.1902849880507806</v>
      </c>
      <c r="AA119" s="31" t="n">
        <v>526.5561412969425</v>
      </c>
      <c r="AB119" s="31" t="n">
        <v>0</v>
      </c>
      <c r="AC119" s="31" t="n">
        <v>80.89587876034741</v>
      </c>
      <c r="AD119" s="31" t="n">
        <v>93.02229981871105</v>
      </c>
      <c r="AE119" s="31" t="n">
        <v>11.63844385975169</v>
      </c>
      <c r="AF119" s="31" t="n">
        <v>3136.971629791391</v>
      </c>
      <c r="AG119" s="31" t="n">
        <v>110.0373108868895</v>
      </c>
      <c r="AH119" s="31" t="n">
        <v>3.519019530384541</v>
      </c>
      <c r="AI119" s="31" t="n">
        <v>14.39757504408217</v>
      </c>
      <c r="AJ119" s="31" t="n">
        <v>2073.210307680537</v>
      </c>
      <c r="AK119" s="31" t="n">
        <v>10.74038359998096</v>
      </c>
      <c r="AL119" s="31" t="n">
        <v>33.20841140911097</v>
      </c>
      <c r="AM119" s="31" t="n">
        <v>0.168483174028637</v>
      </c>
      <c r="AN119" s="31" t="n">
        <v>4264.985451661783</v>
      </c>
      <c r="AO119" s="31" t="n">
        <v>1029.975499614407</v>
      </c>
      <c r="AP119" s="31" t="n">
        <v>1.780600923133218</v>
      </c>
      <c r="AQ119" s="31" t="n">
        <v>35733.41271354556</v>
      </c>
      <c r="AR119" s="31" t="n">
        <v>0.1029267565087754</v>
      </c>
      <c r="AS119" s="31" t="n">
        <v>44.83521508449603</v>
      </c>
      <c r="AT119" s="31" t="n">
        <v>1.579747529178779</v>
      </c>
      <c r="AU119" s="31" t="n">
        <v>23.71237994508509</v>
      </c>
      <c r="AV119" s="31" t="n">
        <v>1603.860484191138</v>
      </c>
      <c r="AW119" s="31" t="n">
        <v>2.295875439688244</v>
      </c>
      <c r="AX119" s="31" t="n">
        <v>0</v>
      </c>
      <c r="AY119" s="31" t="n">
        <v>22.93846704781677</v>
      </c>
      <c r="AZ119" s="31" t="n">
        <v>133.102721459947</v>
      </c>
      <c r="BA119" s="31" t="n">
        <v>1096.176173280085</v>
      </c>
      <c r="BB119" s="31" t="n">
        <v>2.637444909584005</v>
      </c>
      <c r="BC119" s="31" t="n">
        <v>2.36794024441376</v>
      </c>
      <c r="BD119" s="31" t="n">
        <v>0</v>
      </c>
      <c r="BE119" s="31" t="n">
        <v>5.512712383481722</v>
      </c>
      <c r="BF119" s="31" t="n">
        <v>1.476774073098029</v>
      </c>
      <c r="BG119" s="31" t="n">
        <v>3.799178651196384</v>
      </c>
      <c r="BH119" s="31" t="n">
        <v>15.62850355562697</v>
      </c>
      <c r="BI119" s="31" t="n">
        <v>0.219113411358313</v>
      </c>
      <c r="BJ119" s="31" t="n">
        <v>2.367949305185665</v>
      </c>
      <c r="BK119" s="31" t="n">
        <v>13688.53063837622</v>
      </c>
      <c r="BL119" s="31" t="n">
        <v>1111.586846642149</v>
      </c>
      <c r="BM119" s="31" t="n">
        <v>0.3029525112283939</v>
      </c>
      <c r="BN119" s="31" t="n">
        <v>35.08076955488247</v>
      </c>
      <c r="BO119" s="31" t="n">
        <v>4.763682571655176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1097971.727648025</v>
      </c>
      <c r="BW119" s="31" t="n">
        <v>0</v>
      </c>
      <c r="BX119" s="31" t="n">
        <v>272190.7610031234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3961.173026496861</v>
      </c>
      <c r="CG119" s="31" t="n">
        <v>5024.179406104921</v>
      </c>
      <c r="CH119" s="31" t="n">
        <v>0</v>
      </c>
      <c r="CI119" s="31" t="n">
        <v>6034.405667321405</v>
      </c>
      <c r="CJ119" s="31" t="n">
        <v>0</v>
      </c>
      <c r="CK119" s="31" t="n">
        <v>0</v>
      </c>
      <c r="CL119" s="31" t="n">
        <v>103632.9584327812</v>
      </c>
      <c r="CM119" s="31" t="n">
        <v>0</v>
      </c>
      <c r="CN119" s="31" t="n">
        <v>0</v>
      </c>
      <c r="CO119" s="31" t="n">
        <v>0</v>
      </c>
      <c r="CP119" s="31" t="n">
        <v>113110.7404637684</v>
      </c>
      <c r="CQ119" s="31" t="n">
        <v>13097.54091035507</v>
      </c>
      <c r="CR119" s="31" t="n">
        <v>208792.6097451905</v>
      </c>
      <c r="CS119" s="31" t="n">
        <v>18.51361907086573</v>
      </c>
      <c r="CT119" s="31" t="n">
        <v>16.90497014013149</v>
      </c>
      <c r="CU119" s="31" t="n">
        <v>783003.1236732836</v>
      </c>
      <c r="CV119" s="31" t="n">
        <v>901.8893798724603</v>
      </c>
      <c r="CW119" s="31" t="n">
        <v>854.3827067180065</v>
      </c>
      <c r="CX119" s="31" t="n">
        <v>0</v>
      </c>
      <c r="CY119" s="31" t="n">
        <v>1171785.853721655</v>
      </c>
      <c r="CZ119" s="31" t="n">
        <v>276.9632526613146</v>
      </c>
      <c r="DA119" s="31" t="n">
        <v>0</v>
      </c>
      <c r="DB119" s="31" t="n">
        <v>1162472.346928655</v>
      </c>
      <c r="DC119" s="31" t="n">
        <v>211414.4417143551</v>
      </c>
      <c r="DD119" s="31" t="n">
        <v>90848.65477998553</v>
      </c>
      <c r="DE119" s="31" t="n">
        <v>0</v>
      </c>
      <c r="DF119" s="31">
        <f>SUM(C119:DE119)</f>
        <v/>
      </c>
      <c r="DG119" s="31" t="n">
        <v>0</v>
      </c>
      <c r="DH119" s="31" t="n">
        <v>0</v>
      </c>
      <c r="DI119" s="31" t="n">
        <v>66551204.69264002</v>
      </c>
      <c r="DJ119" s="31" t="n">
        <v>0</v>
      </c>
      <c r="DK119" s="31">
        <f>SUM(DG119:DJ119)</f>
        <v/>
      </c>
      <c r="DL119" s="31">
        <f>DF119+DK119</f>
        <v/>
      </c>
    </row>
    <row r="120">
      <c r="A120" s="28" t="inlineStr">
        <is>
          <t>950</t>
        </is>
      </c>
      <c r="B120" s="28" t="inlineStr">
        <is>
          <t>Servicios de hogares privados que contratan servicio doméstico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>
        <f>SUM(C120:DE120)</f>
        <v/>
      </c>
      <c r="DG120" s="29" t="n">
        <v>0</v>
      </c>
      <c r="DH120" s="29" t="n">
        <v>0</v>
      </c>
      <c r="DI120" s="29" t="n">
        <v>96676208.9653701</v>
      </c>
      <c r="DJ120" s="29" t="n">
        <v>0</v>
      </c>
      <c r="DK120" s="29">
        <f>SUM(DG120:DJ120)</f>
        <v/>
      </c>
      <c r="DL120" s="29">
        <f>DF120+DK120</f>
        <v/>
      </c>
    </row>
    <row r="121">
      <c r="B121" s="32" t="inlineStr">
        <is>
          <t>Total consumo intermedio</t>
        </is>
      </c>
      <c r="C121" s="33">
        <f>SUM(C14:C120)</f>
        <v/>
      </c>
      <c r="D121" s="33">
        <f>SUM(D14:D120)</f>
        <v/>
      </c>
      <c r="E121" s="33">
        <f>SUM(E14:E120)</f>
        <v/>
      </c>
      <c r="F121" s="33">
        <f>SUM(F14:F120)</f>
        <v/>
      </c>
      <c r="G121" s="33">
        <f>SUM(G14:G120)</f>
        <v/>
      </c>
      <c r="H121" s="33">
        <f>SUM(H14:H120)</f>
        <v/>
      </c>
      <c r="I121" s="33">
        <f>SUM(I14:I120)</f>
        <v/>
      </c>
      <c r="J121" s="33">
        <f>SUM(J14:J120)</f>
        <v/>
      </c>
      <c r="K121" s="33">
        <f>SUM(K14:K120)</f>
        <v/>
      </c>
      <c r="L121" s="33">
        <f>SUM(L14:L120)</f>
        <v/>
      </c>
      <c r="M121" s="33">
        <f>SUM(M14:M120)</f>
        <v/>
      </c>
      <c r="N121" s="33">
        <f>SUM(N14:N120)</f>
        <v/>
      </c>
      <c r="O121" s="33">
        <f>SUM(O14:O120)</f>
        <v/>
      </c>
      <c r="P121" s="33">
        <f>SUM(P14:P120)</f>
        <v/>
      </c>
      <c r="Q121" s="33">
        <f>SUM(Q14:Q120)</f>
        <v/>
      </c>
      <c r="R121" s="33">
        <f>SUM(R14:R120)</f>
        <v/>
      </c>
      <c r="S121" s="33">
        <f>SUM(S14:S120)</f>
        <v/>
      </c>
      <c r="T121" s="33">
        <f>SUM(T14:T120)</f>
        <v/>
      </c>
      <c r="U121" s="33">
        <f>SUM(U14:U120)</f>
        <v/>
      </c>
      <c r="V121" s="33">
        <f>SUM(V14:V120)</f>
        <v/>
      </c>
      <c r="W121" s="33">
        <f>SUM(W14:W120)</f>
        <v/>
      </c>
      <c r="X121" s="33">
        <f>SUM(X14:X120)</f>
        <v/>
      </c>
      <c r="Y121" s="33">
        <f>SUM(Y14:Y120)</f>
        <v/>
      </c>
      <c r="Z121" s="33">
        <f>SUM(Z14:Z120)</f>
        <v/>
      </c>
      <c r="AA121" s="33">
        <f>SUM(AA14:AA120)</f>
        <v/>
      </c>
      <c r="AB121" s="33">
        <f>SUM(AB14:AB120)</f>
        <v/>
      </c>
      <c r="AC121" s="33">
        <f>SUM(AC14:AC120)</f>
        <v/>
      </c>
      <c r="AD121" s="33">
        <f>SUM(AD14:AD120)</f>
        <v/>
      </c>
      <c r="AE121" s="33">
        <f>SUM(AE14:AE120)</f>
        <v/>
      </c>
      <c r="AF121" s="33">
        <f>SUM(AF14:AF120)</f>
        <v/>
      </c>
      <c r="AG121" s="33">
        <f>SUM(AG14:AG120)</f>
        <v/>
      </c>
      <c r="AH121" s="33">
        <f>SUM(AH14:AH120)</f>
        <v/>
      </c>
      <c r="AI121" s="33">
        <f>SUM(AI14:AI120)</f>
        <v/>
      </c>
      <c r="AJ121" s="33">
        <f>SUM(AJ14:AJ120)</f>
        <v/>
      </c>
      <c r="AK121" s="33">
        <f>SUM(AK14:AK120)</f>
        <v/>
      </c>
      <c r="AL121" s="33">
        <f>SUM(AL14:AL120)</f>
        <v/>
      </c>
      <c r="AM121" s="33">
        <f>SUM(AM14:AM120)</f>
        <v/>
      </c>
      <c r="AN121" s="33">
        <f>SUM(AN14:AN120)</f>
        <v/>
      </c>
      <c r="AO121" s="33">
        <f>SUM(AO14:AO120)</f>
        <v/>
      </c>
      <c r="AP121" s="33">
        <f>SUM(AP14:AP120)</f>
        <v/>
      </c>
      <c r="AQ121" s="33">
        <f>SUM(AQ14:AQ120)</f>
        <v/>
      </c>
      <c r="AR121" s="33">
        <f>SUM(AR14:AR120)</f>
        <v/>
      </c>
      <c r="AS121" s="33">
        <f>SUM(AS14:AS120)</f>
        <v/>
      </c>
      <c r="AT121" s="33">
        <f>SUM(AT14:AT120)</f>
        <v/>
      </c>
      <c r="AU121" s="33">
        <f>SUM(AU14:AU120)</f>
        <v/>
      </c>
      <c r="AV121" s="33">
        <f>SUM(AV14:AV120)</f>
        <v/>
      </c>
      <c r="AW121" s="33">
        <f>SUM(AW14:AW120)</f>
        <v/>
      </c>
      <c r="AX121" s="33">
        <f>SUM(AX14:AX120)</f>
        <v/>
      </c>
      <c r="AY121" s="33">
        <f>SUM(AY14:AY120)</f>
        <v/>
      </c>
      <c r="AZ121" s="33">
        <f>SUM(AZ14:AZ120)</f>
        <v/>
      </c>
      <c r="BA121" s="33">
        <f>SUM(BA14:BA120)</f>
        <v/>
      </c>
      <c r="BB121" s="33">
        <f>SUM(BB14:BB120)</f>
        <v/>
      </c>
      <c r="BC121" s="33">
        <f>SUM(BC14:BC120)</f>
        <v/>
      </c>
      <c r="BD121" s="33">
        <f>SUM(BD14:BD120)</f>
        <v/>
      </c>
      <c r="BE121" s="33">
        <f>SUM(BE14:BE120)</f>
        <v/>
      </c>
      <c r="BF121" s="33">
        <f>SUM(BF14:BF120)</f>
        <v/>
      </c>
      <c r="BG121" s="33">
        <f>SUM(BG14:BG120)</f>
        <v/>
      </c>
      <c r="BH121" s="33">
        <f>SUM(BH14:BH120)</f>
        <v/>
      </c>
      <c r="BI121" s="33">
        <f>SUM(BI14:BI120)</f>
        <v/>
      </c>
      <c r="BJ121" s="33">
        <f>SUM(BJ14:BJ120)</f>
        <v/>
      </c>
      <c r="BK121" s="33">
        <f>SUM(BK14:BK120)</f>
        <v/>
      </c>
      <c r="BL121" s="33">
        <f>SUM(BL14:BL120)</f>
        <v/>
      </c>
      <c r="BM121" s="33">
        <f>SUM(BM14:BM120)</f>
        <v/>
      </c>
      <c r="BN121" s="33">
        <f>SUM(BN14:BN120)</f>
        <v/>
      </c>
      <c r="BO121" s="33">
        <f>SUM(BO14:BO120)</f>
        <v/>
      </c>
      <c r="BP121" s="33">
        <f>SUM(BP14:BP120)</f>
        <v/>
      </c>
      <c r="BQ121" s="33">
        <f>SUM(BQ14:BQ120)</f>
        <v/>
      </c>
      <c r="BR121" s="33">
        <f>SUM(BR14:BR120)</f>
        <v/>
      </c>
      <c r="BS121" s="33">
        <f>SUM(BS14:BS120)</f>
        <v/>
      </c>
      <c r="BT121" s="33">
        <f>SUM(BT14:BT120)</f>
        <v/>
      </c>
      <c r="BU121" s="33">
        <f>SUM(BU14:BU120)</f>
        <v/>
      </c>
      <c r="BV121" s="33">
        <f>SUM(BV14:BV120)</f>
        <v/>
      </c>
      <c r="BW121" s="33">
        <f>SUM(BW14:BW120)</f>
        <v/>
      </c>
      <c r="BX121" s="33">
        <f>SUM(BX14:BX120)</f>
        <v/>
      </c>
      <c r="BY121" s="33">
        <f>SUM(BY14:BY120)</f>
        <v/>
      </c>
      <c r="BZ121" s="33">
        <f>SUM(BZ14:BZ120)</f>
        <v/>
      </c>
      <c r="CA121" s="33">
        <f>SUM(CA14:CA120)</f>
        <v/>
      </c>
      <c r="CB121" s="33">
        <f>SUM(CB14:CB120)</f>
        <v/>
      </c>
      <c r="CC121" s="33">
        <f>SUM(CC14:CC120)</f>
        <v/>
      </c>
      <c r="CD121" s="33">
        <f>SUM(CD14:CD120)</f>
        <v/>
      </c>
      <c r="CE121" s="33">
        <f>SUM(CE14:CE120)</f>
        <v/>
      </c>
      <c r="CF121" s="33">
        <f>SUM(CF14:CF120)</f>
        <v/>
      </c>
      <c r="CG121" s="33">
        <f>SUM(CG14:CG120)</f>
        <v/>
      </c>
      <c r="CH121" s="33">
        <f>SUM(CH14:CH120)</f>
        <v/>
      </c>
      <c r="CI121" s="33">
        <f>SUM(CI14:CI120)</f>
        <v/>
      </c>
      <c r="CJ121" s="33">
        <f>SUM(CJ14:CJ120)</f>
        <v/>
      </c>
      <c r="CK121" s="33">
        <f>SUM(CK14:CK120)</f>
        <v/>
      </c>
      <c r="CL121" s="33">
        <f>SUM(CL14:CL120)</f>
        <v/>
      </c>
      <c r="CM121" s="33">
        <f>SUM(CM14:CM120)</f>
        <v/>
      </c>
      <c r="CN121" s="33">
        <f>SUM(CN14:CN120)</f>
        <v/>
      </c>
      <c r="CO121" s="33">
        <f>SUM(CO14:CO120)</f>
        <v/>
      </c>
      <c r="CP121" s="33">
        <f>SUM(CP14:CP120)</f>
        <v/>
      </c>
      <c r="CQ121" s="33">
        <f>SUM(CQ14:CQ120)</f>
        <v/>
      </c>
      <c r="CR121" s="33">
        <f>SUM(CR14:CR120)</f>
        <v/>
      </c>
      <c r="CS121" s="33">
        <f>SUM(CS14:CS120)</f>
        <v/>
      </c>
      <c r="CT121" s="33">
        <f>SUM(CT14:CT120)</f>
        <v/>
      </c>
      <c r="CU121" s="33">
        <f>SUM(CU14:CU120)</f>
        <v/>
      </c>
      <c r="CV121" s="33">
        <f>SUM(CV14:CV120)</f>
        <v/>
      </c>
      <c r="CW121" s="33">
        <f>SUM(CW14:CW120)</f>
        <v/>
      </c>
      <c r="CX121" s="33">
        <f>SUM(CX14:CX120)</f>
        <v/>
      </c>
      <c r="CY121" s="33">
        <f>SUM(CY14:CY120)</f>
        <v/>
      </c>
      <c r="CZ121" s="33">
        <f>SUM(CZ14:CZ120)</f>
        <v/>
      </c>
      <c r="DA121" s="33">
        <f>SUM(DA14:DA120)</f>
        <v/>
      </c>
      <c r="DB121" s="33">
        <f>SUM(DB14:DB120)</f>
        <v/>
      </c>
      <c r="DC121" s="33">
        <f>SUM(DC14:DC120)</f>
        <v/>
      </c>
      <c r="DD121" s="33">
        <f>SUM(DD14:DD120)</f>
        <v/>
      </c>
      <c r="DE121" s="33">
        <f>SUM(DE14:DE120)</f>
        <v/>
      </c>
      <c r="DF121" s="33">
        <f>SUM(DF14:DF120)</f>
        <v/>
      </c>
      <c r="DG121" s="33">
        <f>SUM(DG14:DG120)</f>
        <v/>
      </c>
      <c r="DH121" s="33">
        <f>SUM(DH14:DH120)</f>
        <v/>
      </c>
      <c r="DI121" s="33">
        <f>SUM(DI14:DI120)</f>
        <v/>
      </c>
      <c r="DJ121" s="33">
        <f>SUM(DJ14:DJ120)</f>
        <v/>
      </c>
      <c r="DK121" s="33">
        <f>SUM(DK14:DK120)</f>
        <v/>
      </c>
      <c r="DL121" s="33">
        <f>SUM(DL14:DL120)</f>
        <v/>
      </c>
    </row>
    <row r="122"/>
    <row r="123">
      <c r="B123" s="32" t="inlineStr">
        <is>
          <t>Ajuste intermedio no asignado a matriz</t>
        </is>
      </c>
      <c r="C123" s="34" t="n">
        <v>-143224092.5461943</v>
      </c>
      <c r="D123" s="33" t="n">
        <v>5429007.941864621</v>
      </c>
      <c r="E123" s="33" t="n">
        <v>40471.59063930951</v>
      </c>
      <c r="F123" s="33" t="n">
        <v>4380561.024065379</v>
      </c>
      <c r="G123" s="33" t="n">
        <v>266666.6010782269</v>
      </c>
      <c r="H123" s="33" t="n">
        <v>7982561.54027331</v>
      </c>
      <c r="I123" s="33" t="n">
        <v>15314.8705792538</v>
      </c>
      <c r="J123" s="33" t="n">
        <v>51535367.59324865</v>
      </c>
      <c r="K123" s="33" t="n">
        <v>15480590.49178909</v>
      </c>
      <c r="L123" s="33" t="n">
        <v>4084139.099663509</v>
      </c>
      <c r="M123" s="33" t="n">
        <v>2719131.339609539</v>
      </c>
      <c r="N123" s="33" t="n">
        <v>2989714.909338364</v>
      </c>
      <c r="O123" s="34" t="n">
        <v>-1961020.608698345</v>
      </c>
      <c r="P123" s="33" t="n">
        <v>13640597.40766197</v>
      </c>
      <c r="Q123" s="33" t="n">
        <v>57192711.99686147</v>
      </c>
      <c r="R123" s="33" t="n">
        <v>33287890.97701038</v>
      </c>
      <c r="S123" s="34" t="n">
        <v>-1458808.871496973</v>
      </c>
      <c r="T123" s="33" t="n">
        <v>5122246.299461192</v>
      </c>
      <c r="U123" s="33" t="n">
        <v>25714629.68818984</v>
      </c>
      <c r="V123" s="33" t="n">
        <v>532639.3925597887</v>
      </c>
      <c r="W123" s="33" t="n">
        <v>10983129.00158701</v>
      </c>
      <c r="X123" s="33" t="n">
        <v>3808524.928310338</v>
      </c>
      <c r="Y123" s="33" t="n">
        <v>4072056.272881741</v>
      </c>
      <c r="Z123" s="33" t="n">
        <v>1813999.16886539</v>
      </c>
      <c r="AA123" s="33" t="n">
        <v>14767139.53943842</v>
      </c>
      <c r="AB123" s="33" t="n">
        <v>9313458.423868779</v>
      </c>
      <c r="AC123" s="33" t="n">
        <v>24487290.16634089</v>
      </c>
      <c r="AD123" s="33" t="n">
        <v>8318662.676938081</v>
      </c>
      <c r="AE123" s="33" t="n">
        <v>16389722.1112346</v>
      </c>
      <c r="AF123" s="33" t="n">
        <v>16210752.96698562</v>
      </c>
      <c r="AG123" s="33" t="n">
        <v>5933595.458021902</v>
      </c>
      <c r="AH123" s="33" t="n">
        <v>7111737.316117835</v>
      </c>
      <c r="AI123" s="33" t="n">
        <v>8365096.121314596</v>
      </c>
      <c r="AJ123" s="33" t="n">
        <v>24522943.6613429</v>
      </c>
      <c r="AK123" s="33" t="n">
        <v>7918210.567048036</v>
      </c>
      <c r="AL123" s="33" t="n">
        <v>12910909.60039366</v>
      </c>
      <c r="AM123" s="34" t="n">
        <v>-33554253.102327</v>
      </c>
      <c r="AN123" s="33" t="n">
        <v>20545604.70404822</v>
      </c>
      <c r="AO123" s="33" t="n">
        <v>9699209.499151435</v>
      </c>
      <c r="AP123" s="33" t="n">
        <v>35572196.45438398</v>
      </c>
      <c r="AQ123" s="33" t="n">
        <v>72959677.62291007</v>
      </c>
      <c r="AR123" s="33" t="n">
        <v>10235007.82439415</v>
      </c>
      <c r="AS123" s="33" t="n">
        <v>40077276.78010843</v>
      </c>
      <c r="AT123" s="33" t="n">
        <v>3683031.82712285</v>
      </c>
      <c r="AU123" s="33" t="n">
        <v>23838887.18434155</v>
      </c>
      <c r="AV123" s="33" t="n">
        <v>42517842.55341025</v>
      </c>
      <c r="AW123" s="33" t="n">
        <v>10074673.57874079</v>
      </c>
      <c r="AX123" s="33" t="n">
        <v>7289707.778804092</v>
      </c>
      <c r="AY123" s="33" t="n">
        <v>8721156.850413611</v>
      </c>
      <c r="AZ123" s="33" t="n">
        <v>23907283.06184203</v>
      </c>
      <c r="BA123" s="33" t="n">
        <v>15313239.08990742</v>
      </c>
      <c r="BB123" s="33" t="n">
        <v>25182920.88390997</v>
      </c>
      <c r="BC123" s="33" t="n">
        <v>12367364.17168338</v>
      </c>
      <c r="BD123" s="33" t="n">
        <v>2161692.937487964</v>
      </c>
      <c r="BE123" s="33" t="n">
        <v>8155367.08031188</v>
      </c>
      <c r="BF123" s="33" t="n">
        <v>6786928.042973919</v>
      </c>
      <c r="BG123" s="33" t="n">
        <v>6627016.325230624</v>
      </c>
      <c r="BH123" s="33" t="n">
        <v>41070480.3629752</v>
      </c>
      <c r="BI123" s="33" t="n">
        <v>5900362.851762816</v>
      </c>
      <c r="BJ123" s="33" t="n">
        <v>4056916.259919076</v>
      </c>
      <c r="BK123" s="33" t="n">
        <v>119381947.321154</v>
      </c>
      <c r="BL123" s="33" t="n">
        <v>27220387.08257663</v>
      </c>
      <c r="BM123" s="33" t="n">
        <v>6353853.215349306</v>
      </c>
      <c r="BN123" s="33" t="n">
        <v>13285597.28064812</v>
      </c>
      <c r="BO123" s="33" t="n">
        <v>2381857.446084052</v>
      </c>
      <c r="BP123" s="33" t="n">
        <v>72230969.05078579</v>
      </c>
      <c r="BQ123" s="33" t="n">
        <v>32148166.31559468</v>
      </c>
      <c r="BR123" s="33" t="n">
        <v>4752952.041216036</v>
      </c>
      <c r="BS123" s="33" t="n">
        <v>179836667.9282259</v>
      </c>
      <c r="BT123" s="33" t="n">
        <v>22583197.26625728</v>
      </c>
      <c r="BU123" s="33" t="n">
        <v>68658211.21935558</v>
      </c>
      <c r="BV123" s="33" t="n">
        <v>85512959.11529589</v>
      </c>
      <c r="BW123" s="33" t="n">
        <v>6704361.760712741</v>
      </c>
      <c r="BX123" s="34" t="n">
        <v>-681164.6519261119</v>
      </c>
      <c r="BY123" s="33" t="n">
        <v>178184687.5892828</v>
      </c>
      <c r="BZ123" s="33" t="n">
        <v>1533988.794051666</v>
      </c>
      <c r="CA123" s="33" t="n">
        <v>133778942.5900859</v>
      </c>
      <c r="CB123" s="33" t="n">
        <v>2753809.045267652</v>
      </c>
      <c r="CC123" s="33" t="n">
        <v>304361.4050899174</v>
      </c>
      <c r="CD123" s="33" t="n">
        <v>27739362.75978839</v>
      </c>
      <c r="CE123" s="33" t="n">
        <v>26601700.30399441</v>
      </c>
      <c r="CF123" s="34" t="n">
        <v>-693593.5811710996</v>
      </c>
      <c r="CG123" s="33" t="n">
        <v>25680649.25402264</v>
      </c>
      <c r="CH123" s="34" t="n">
        <v>-226126268.6606633</v>
      </c>
      <c r="CI123" s="33" t="n">
        <v>6158718.828848084</v>
      </c>
      <c r="CJ123" s="33" t="n">
        <v>26262328.06698084</v>
      </c>
      <c r="CK123" s="33" t="n">
        <v>5089763.992974313</v>
      </c>
      <c r="CL123" s="33" t="n">
        <v>24430877.72434499</v>
      </c>
      <c r="CM123" s="33" t="n">
        <v>4683628.405409304</v>
      </c>
      <c r="CN123" s="33" t="n">
        <v>17528274.74512247</v>
      </c>
      <c r="CO123" s="33" t="n">
        <v>11307326.7171078</v>
      </c>
      <c r="CP123" s="33" t="n">
        <v>848116.6522155451</v>
      </c>
      <c r="CQ123" s="33" t="n">
        <v>2914189.302510086</v>
      </c>
      <c r="CR123" s="33" t="n">
        <v>2133135.773052791</v>
      </c>
      <c r="CS123" s="33" t="n">
        <v>1576657.312438434</v>
      </c>
      <c r="CT123" s="33" t="n">
        <v>1444468.045188178</v>
      </c>
      <c r="CU123" s="33" t="n">
        <v>39835216.76878688</v>
      </c>
      <c r="CV123" s="33" t="n">
        <v>84728220.86754861</v>
      </c>
      <c r="CW123" s="33" t="n">
        <v>19594701.22181828</v>
      </c>
      <c r="CX123" s="33" t="n">
        <v>5713636.580098044</v>
      </c>
      <c r="CY123" s="33" t="n">
        <v>72284550.91010597</v>
      </c>
      <c r="CZ123" s="33" t="n">
        <v>30943628.32749505</v>
      </c>
      <c r="DA123" s="33" t="n">
        <v>9343353.33681149</v>
      </c>
      <c r="DB123" s="33" t="n">
        <v>25643658.30281804</v>
      </c>
      <c r="DC123" s="34" t="n">
        <v>-31914369.0832749</v>
      </c>
      <c r="DD123" s="33" t="n">
        <v>5148223.855696583</v>
      </c>
      <c r="DE123" s="33" t="n">
        <v>0</v>
      </c>
      <c r="DL123" s="33">
        <f>SUM(C123:DE123)</f>
        <v/>
      </c>
    </row>
    <row r="124"/>
    <row r="125">
      <c r="B125" s="32" t="inlineStr">
        <is>
          <t>Valor agregado</t>
        </is>
      </c>
      <c r="C125" s="33" t="n">
        <v>388306812.8804004</v>
      </c>
      <c r="D125" s="33" t="n">
        <v>200216153.8834288</v>
      </c>
      <c r="E125" s="33" t="n">
        <v>1912838.099621394</v>
      </c>
      <c r="F125" s="33" t="n">
        <v>8362613.201730756</v>
      </c>
      <c r="G125" s="33" t="n">
        <v>15385767.99775762</v>
      </c>
      <c r="H125" s="33" t="n">
        <v>54917466.06019339</v>
      </c>
      <c r="I125" s="33" t="n">
        <v>1138797.60114376</v>
      </c>
      <c r="J125" s="33" t="n">
        <v>378143737.6862993</v>
      </c>
      <c r="K125" s="33" t="n">
        <v>93442738.49570605</v>
      </c>
      <c r="L125" s="33" t="n">
        <v>62703489.22940204</v>
      </c>
      <c r="M125" s="33" t="n">
        <v>30220366.46623645</v>
      </c>
      <c r="N125" s="33" t="n">
        <v>67563950.24725068</v>
      </c>
      <c r="O125" s="33" t="n">
        <v>13379805.97174415</v>
      </c>
      <c r="P125" s="33" t="n">
        <v>16369130.14887146</v>
      </c>
      <c r="Q125" s="33" t="n">
        <v>185980649.2719766</v>
      </c>
      <c r="R125" s="33" t="n">
        <v>53887415.74984685</v>
      </c>
      <c r="S125" s="33" t="n">
        <v>31068263.78846112</v>
      </c>
      <c r="T125" s="33" t="n">
        <v>27920757.56171922</v>
      </c>
      <c r="U125" s="33" t="n">
        <v>72180054.52673902</v>
      </c>
      <c r="V125" s="33" t="n">
        <v>11248639.44772267</v>
      </c>
      <c r="W125" s="33" t="n">
        <v>13846250.32943941</v>
      </c>
      <c r="X125" s="33" t="n">
        <v>13245503.72816068</v>
      </c>
      <c r="Y125" s="33" t="n">
        <v>46443523.27705714</v>
      </c>
      <c r="Z125" s="33" t="n">
        <v>6037429.391094029</v>
      </c>
      <c r="AA125" s="33" t="n">
        <v>50594493.2962407</v>
      </c>
      <c r="AB125" s="33" t="n">
        <v>24782285.65456772</v>
      </c>
      <c r="AC125" s="33" t="n">
        <v>53132305.24028148</v>
      </c>
      <c r="AD125" s="33" t="n">
        <v>12939059.95754426</v>
      </c>
      <c r="AE125" s="33" t="n">
        <v>34648988.23883347</v>
      </c>
      <c r="AF125" s="33" t="n">
        <v>52506389.50516517</v>
      </c>
      <c r="AG125" s="33" t="n">
        <v>6369379.432495106</v>
      </c>
      <c r="AH125" s="33" t="n">
        <v>14431718.93746715</v>
      </c>
      <c r="AI125" s="33" t="n">
        <v>37101421.74221103</v>
      </c>
      <c r="AJ125" s="33" t="n">
        <v>55354611.79839002</v>
      </c>
      <c r="AK125" s="33" t="n">
        <v>35643945.84765363</v>
      </c>
      <c r="AL125" s="33" t="n">
        <v>34513217.09399492</v>
      </c>
      <c r="AM125" s="33" t="n">
        <v>73549423.24209756</v>
      </c>
      <c r="AN125" s="33" t="n">
        <v>37105958.120351</v>
      </c>
      <c r="AO125" s="33" t="n">
        <v>21315173.8457284</v>
      </c>
      <c r="AP125" s="33" t="n">
        <v>32419160.4853733</v>
      </c>
      <c r="AQ125" s="33" t="n">
        <v>152436576.5891145</v>
      </c>
      <c r="AR125" s="33" t="n">
        <v>20850160.77253912</v>
      </c>
      <c r="AS125" s="33" t="n">
        <v>68101998.23768207</v>
      </c>
      <c r="AT125" s="33" t="n">
        <v>10192876.91494916</v>
      </c>
      <c r="AU125" s="33" t="n">
        <v>82330442.0939081</v>
      </c>
      <c r="AV125" s="33" t="n">
        <v>89114457.95613174</v>
      </c>
      <c r="AW125" s="33" t="n">
        <v>29155984.56196426</v>
      </c>
      <c r="AX125" s="33" t="n">
        <v>26596139.2160892</v>
      </c>
      <c r="AY125" s="33" t="n">
        <v>28297288.53185107</v>
      </c>
      <c r="AZ125" s="33" t="n">
        <v>67715053.7466014</v>
      </c>
      <c r="BA125" s="33" t="n">
        <v>27680649.11252867</v>
      </c>
      <c r="BB125" s="33" t="n">
        <v>46572897.63357727</v>
      </c>
      <c r="BC125" s="33" t="n">
        <v>16575956.12249269</v>
      </c>
      <c r="BD125" s="33" t="n">
        <v>2854644.743367735</v>
      </c>
      <c r="BE125" s="33" t="n">
        <v>15038091.3135604</v>
      </c>
      <c r="BF125" s="33" t="n">
        <v>8887400.751755591</v>
      </c>
      <c r="BG125" s="33" t="n">
        <v>10854886.30883246</v>
      </c>
      <c r="BH125" s="33" t="n">
        <v>12711702.09443882</v>
      </c>
      <c r="BI125" s="33" t="n">
        <v>4500938.396059187</v>
      </c>
      <c r="BJ125" s="33" t="n">
        <v>10965824.65592222</v>
      </c>
      <c r="BK125" s="33" t="n">
        <v>82346081.24022335</v>
      </c>
      <c r="BL125" s="33" t="n">
        <v>36833442.67549071</v>
      </c>
      <c r="BM125" s="33" t="n">
        <v>13782083.31246143</v>
      </c>
      <c r="BN125" s="33" t="n">
        <v>52300039.59900121</v>
      </c>
      <c r="BO125" s="33" t="n">
        <v>20867003.40052062</v>
      </c>
      <c r="BP125" s="33" t="n">
        <v>204902175.1176515</v>
      </c>
      <c r="BQ125" s="33" t="n">
        <v>30878641.63397525</v>
      </c>
      <c r="BR125" s="33" t="n">
        <v>33626080.69809622</v>
      </c>
      <c r="BS125" s="33" t="n">
        <v>589211429.9786241</v>
      </c>
      <c r="BT125" s="33" t="n">
        <v>164494094.4290995</v>
      </c>
      <c r="BU125" s="33" t="n">
        <v>760002882.5630245</v>
      </c>
      <c r="BV125" s="33" t="n">
        <v>1217154928.83056</v>
      </c>
      <c r="BW125" s="33" t="n">
        <v>38351148.11781619</v>
      </c>
      <c r="BX125" s="33" t="n">
        <v>43584404.0935493</v>
      </c>
      <c r="BY125" s="33" t="n">
        <v>253411422.5040034</v>
      </c>
      <c r="BZ125" s="33" t="n">
        <v>7903033.028572449</v>
      </c>
      <c r="CA125" s="33" t="n">
        <v>232745971.628315</v>
      </c>
      <c r="CB125" s="33" t="n">
        <v>8423281.999975504</v>
      </c>
      <c r="CC125" s="33" t="n">
        <v>1980060.076009619</v>
      </c>
      <c r="CD125" s="33" t="n">
        <v>36931169.97085537</v>
      </c>
      <c r="CE125" s="33" t="n">
        <v>151528614.3511652</v>
      </c>
      <c r="CF125" s="33" t="n">
        <v>23115738.65372083</v>
      </c>
      <c r="CG125" s="33" t="n">
        <v>39554590.03489107</v>
      </c>
      <c r="CH125" s="33" t="n">
        <v>245967972.0493021</v>
      </c>
      <c r="CI125" s="33" t="n">
        <v>29642447.74910013</v>
      </c>
      <c r="CJ125" s="33" t="n">
        <v>307377228.8073755</v>
      </c>
      <c r="CK125" s="33" t="n">
        <v>47224738.05326183</v>
      </c>
      <c r="CL125" s="33" t="n">
        <v>107361420.4997446</v>
      </c>
      <c r="CM125" s="33" t="n">
        <v>54982012.99231762</v>
      </c>
      <c r="CN125" s="33" t="n">
        <v>529303000.7032678</v>
      </c>
      <c r="CO125" s="33" t="n">
        <v>119899268.6214345</v>
      </c>
      <c r="CP125" s="33" t="n">
        <v>20407741.10225508</v>
      </c>
      <c r="CQ125" s="33" t="n">
        <v>46870442.04780297</v>
      </c>
      <c r="CR125" s="33" t="n">
        <v>138894945.3879527</v>
      </c>
      <c r="CS125" s="33" t="n">
        <v>8913622.149555121</v>
      </c>
      <c r="CT125" s="33" t="n">
        <v>21543111.7757132</v>
      </c>
      <c r="CU125" s="33" t="n">
        <v>621389920.6067474</v>
      </c>
      <c r="CV125" s="33" t="n">
        <v>1039301432.110558</v>
      </c>
      <c r="CW125" s="33" t="n">
        <v>189683810.2843123</v>
      </c>
      <c r="CX125" s="33" t="n">
        <v>584060019.0227115</v>
      </c>
      <c r="CY125" s="33" t="n">
        <v>534098822.6220203</v>
      </c>
      <c r="CZ125" s="33" t="n">
        <v>198861273.4907563</v>
      </c>
      <c r="DA125" s="33" t="n">
        <v>70403243.33991525</v>
      </c>
      <c r="DB125" s="33" t="n">
        <v>152194247.554107</v>
      </c>
      <c r="DC125" s="33" t="n">
        <v>111732615.7386819</v>
      </c>
      <c r="DD125" s="33" t="n">
        <v>55642070.92995033</v>
      </c>
      <c r="DE125" s="33" t="n">
        <v>96676208.9653701</v>
      </c>
      <c r="DL125" s="33">
        <f>SUM(C125:DE125)</f>
        <v/>
      </c>
    </row>
    <row r="126"/>
    <row r="127">
      <c r="B127" s="32" t="inlineStr">
        <is>
          <t>Produccion total</t>
        </is>
      </c>
      <c r="C127" s="33">
        <f>C121+C123+C125</f>
        <v/>
      </c>
      <c r="D127" s="33">
        <f>D121+D123+D125</f>
        <v/>
      </c>
      <c r="E127" s="33">
        <f>E121+E123+E125</f>
        <v/>
      </c>
      <c r="F127" s="33">
        <f>F121+F123+F125</f>
        <v/>
      </c>
      <c r="G127" s="33">
        <f>G121+G123+G125</f>
        <v/>
      </c>
      <c r="H127" s="33">
        <f>H121+H123+H125</f>
        <v/>
      </c>
      <c r="I127" s="33">
        <f>I121+I123+I125</f>
        <v/>
      </c>
      <c r="J127" s="33">
        <f>J121+J123+J125</f>
        <v/>
      </c>
      <c r="K127" s="33">
        <f>K121+K123+K125</f>
        <v/>
      </c>
      <c r="L127" s="33">
        <f>L121+L123+L125</f>
        <v/>
      </c>
      <c r="M127" s="33">
        <f>M121+M123+M125</f>
        <v/>
      </c>
      <c r="N127" s="33">
        <f>N121+N123+N125</f>
        <v/>
      </c>
      <c r="O127" s="33">
        <f>O121+O123+O125</f>
        <v/>
      </c>
      <c r="P127" s="33">
        <f>P121+P123+P125</f>
        <v/>
      </c>
      <c r="Q127" s="33">
        <f>Q121+Q123+Q125</f>
        <v/>
      </c>
      <c r="R127" s="33">
        <f>R121+R123+R125</f>
        <v/>
      </c>
      <c r="S127" s="33">
        <f>S121+S123+S125</f>
        <v/>
      </c>
      <c r="T127" s="33">
        <f>T121+T123+T125</f>
        <v/>
      </c>
      <c r="U127" s="33">
        <f>U121+U123+U125</f>
        <v/>
      </c>
      <c r="V127" s="33">
        <f>V121+V123+V125</f>
        <v/>
      </c>
      <c r="W127" s="33">
        <f>W121+W123+W125</f>
        <v/>
      </c>
      <c r="X127" s="33">
        <f>X121+X123+X125</f>
        <v/>
      </c>
      <c r="Y127" s="33">
        <f>Y121+Y123+Y125</f>
        <v/>
      </c>
      <c r="Z127" s="33">
        <f>Z121+Z123+Z125</f>
        <v/>
      </c>
      <c r="AA127" s="33">
        <f>AA121+AA123+AA125</f>
        <v/>
      </c>
      <c r="AB127" s="33">
        <f>AB121+AB123+AB125</f>
        <v/>
      </c>
      <c r="AC127" s="33">
        <f>AC121+AC123+AC125</f>
        <v/>
      </c>
      <c r="AD127" s="33">
        <f>AD121+AD123+AD125</f>
        <v/>
      </c>
      <c r="AE127" s="33">
        <f>AE121+AE123+AE125</f>
        <v/>
      </c>
      <c r="AF127" s="33">
        <f>AF121+AF123+AF125</f>
        <v/>
      </c>
      <c r="AG127" s="33">
        <f>AG121+AG123+AG125</f>
        <v/>
      </c>
      <c r="AH127" s="33">
        <f>AH121+AH123+AH125</f>
        <v/>
      </c>
      <c r="AI127" s="33">
        <f>AI121+AI123+AI125</f>
        <v/>
      </c>
      <c r="AJ127" s="33">
        <f>AJ121+AJ123+AJ125</f>
        <v/>
      </c>
      <c r="AK127" s="33">
        <f>AK121+AK123+AK125</f>
        <v/>
      </c>
      <c r="AL127" s="33">
        <f>AL121+AL123+AL125</f>
        <v/>
      </c>
      <c r="AM127" s="33">
        <f>AM121+AM123+AM125</f>
        <v/>
      </c>
      <c r="AN127" s="33">
        <f>AN121+AN123+AN125</f>
        <v/>
      </c>
      <c r="AO127" s="33">
        <f>AO121+AO123+AO125</f>
        <v/>
      </c>
      <c r="AP127" s="33">
        <f>AP121+AP123+AP125</f>
        <v/>
      </c>
      <c r="AQ127" s="33">
        <f>AQ121+AQ123+AQ125</f>
        <v/>
      </c>
      <c r="AR127" s="33">
        <f>AR121+AR123+AR125</f>
        <v/>
      </c>
      <c r="AS127" s="33">
        <f>AS121+AS123+AS125</f>
        <v/>
      </c>
      <c r="AT127" s="33">
        <f>AT121+AT123+AT125</f>
        <v/>
      </c>
      <c r="AU127" s="33">
        <f>AU121+AU123+AU125</f>
        <v/>
      </c>
      <c r="AV127" s="33">
        <f>AV121+AV123+AV125</f>
        <v/>
      </c>
      <c r="AW127" s="33">
        <f>AW121+AW123+AW125</f>
        <v/>
      </c>
      <c r="AX127" s="33">
        <f>AX121+AX123+AX125</f>
        <v/>
      </c>
      <c r="AY127" s="33">
        <f>AY121+AY123+AY125</f>
        <v/>
      </c>
      <c r="AZ127" s="33">
        <f>AZ121+AZ123+AZ125</f>
        <v/>
      </c>
      <c r="BA127" s="33">
        <f>BA121+BA123+BA125</f>
        <v/>
      </c>
      <c r="BB127" s="33">
        <f>BB121+BB123+BB125</f>
        <v/>
      </c>
      <c r="BC127" s="33">
        <f>BC121+BC123+BC125</f>
        <v/>
      </c>
      <c r="BD127" s="33">
        <f>BD121+BD123+BD125</f>
        <v/>
      </c>
      <c r="BE127" s="33">
        <f>BE121+BE123+BE125</f>
        <v/>
      </c>
      <c r="BF127" s="33">
        <f>BF121+BF123+BF125</f>
        <v/>
      </c>
      <c r="BG127" s="33">
        <f>BG121+BG123+BG125</f>
        <v/>
      </c>
      <c r="BH127" s="33">
        <f>BH121+BH123+BH125</f>
        <v/>
      </c>
      <c r="BI127" s="33">
        <f>BI121+BI123+BI125</f>
        <v/>
      </c>
      <c r="BJ127" s="33">
        <f>BJ121+BJ123+BJ125</f>
        <v/>
      </c>
      <c r="BK127" s="33">
        <f>BK121+BK123+BK125</f>
        <v/>
      </c>
      <c r="BL127" s="33">
        <f>BL121+BL123+BL125</f>
        <v/>
      </c>
      <c r="BM127" s="33">
        <f>BM121+BM123+BM125</f>
        <v/>
      </c>
      <c r="BN127" s="33">
        <f>BN121+BN123+BN125</f>
        <v/>
      </c>
      <c r="BO127" s="33">
        <f>BO121+BO123+BO125</f>
        <v/>
      </c>
      <c r="BP127" s="33">
        <f>BP121+BP123+BP125</f>
        <v/>
      </c>
      <c r="BQ127" s="33">
        <f>BQ121+BQ123+BQ125</f>
        <v/>
      </c>
      <c r="BR127" s="33">
        <f>BR121+BR123+BR125</f>
        <v/>
      </c>
      <c r="BS127" s="33">
        <f>BS121+BS123+BS125</f>
        <v/>
      </c>
      <c r="BT127" s="33">
        <f>BT121+BT123+BT125</f>
        <v/>
      </c>
      <c r="BU127" s="33">
        <f>BU121+BU123+BU125</f>
        <v/>
      </c>
      <c r="BV127" s="33">
        <f>BV121+BV123+BV125</f>
        <v/>
      </c>
      <c r="BW127" s="33">
        <f>BW121+BW123+BW125</f>
        <v/>
      </c>
      <c r="BX127" s="33">
        <f>BX121+BX123+BX125</f>
        <v/>
      </c>
      <c r="BY127" s="33">
        <f>BY121+BY123+BY125</f>
        <v/>
      </c>
      <c r="BZ127" s="33">
        <f>BZ121+BZ123+BZ125</f>
        <v/>
      </c>
      <c r="CA127" s="33">
        <f>CA121+CA123+CA125</f>
        <v/>
      </c>
      <c r="CB127" s="33">
        <f>CB121+CB123+CB125</f>
        <v/>
      </c>
      <c r="CC127" s="33">
        <f>CC121+CC123+CC125</f>
        <v/>
      </c>
      <c r="CD127" s="33">
        <f>CD121+CD123+CD125</f>
        <v/>
      </c>
      <c r="CE127" s="33">
        <f>CE121+CE123+CE125</f>
        <v/>
      </c>
      <c r="CF127" s="33">
        <f>CF121+CF123+CF125</f>
        <v/>
      </c>
      <c r="CG127" s="33">
        <f>CG121+CG123+CG125</f>
        <v/>
      </c>
      <c r="CH127" s="33">
        <f>CH121+CH123+CH125</f>
        <v/>
      </c>
      <c r="CI127" s="33">
        <f>CI121+CI123+CI125</f>
        <v/>
      </c>
      <c r="CJ127" s="33">
        <f>CJ121+CJ123+CJ125</f>
        <v/>
      </c>
      <c r="CK127" s="33">
        <f>CK121+CK123+CK125</f>
        <v/>
      </c>
      <c r="CL127" s="33">
        <f>CL121+CL123+CL125</f>
        <v/>
      </c>
      <c r="CM127" s="33">
        <f>CM121+CM123+CM125</f>
        <v/>
      </c>
      <c r="CN127" s="33">
        <f>CN121+CN123+CN125</f>
        <v/>
      </c>
      <c r="CO127" s="33">
        <f>CO121+CO123+CO125</f>
        <v/>
      </c>
      <c r="CP127" s="33">
        <f>CP121+CP123+CP125</f>
        <v/>
      </c>
      <c r="CQ127" s="33">
        <f>CQ121+CQ123+CQ125</f>
        <v/>
      </c>
      <c r="CR127" s="33">
        <f>CR121+CR123+CR125</f>
        <v/>
      </c>
      <c r="CS127" s="33">
        <f>CS121+CS123+CS125</f>
        <v/>
      </c>
      <c r="CT127" s="33">
        <f>CT121+CT123+CT125</f>
        <v/>
      </c>
      <c r="CU127" s="33">
        <f>CU121+CU123+CU125</f>
        <v/>
      </c>
      <c r="CV127" s="33">
        <f>CV121+CV123+CV125</f>
        <v/>
      </c>
      <c r="CW127" s="33">
        <f>CW121+CW123+CW125</f>
        <v/>
      </c>
      <c r="CX127" s="33">
        <f>CX121+CX123+CX125</f>
        <v/>
      </c>
      <c r="CY127" s="33">
        <f>CY121+CY123+CY125</f>
        <v/>
      </c>
      <c r="CZ127" s="33">
        <f>CZ121+CZ123+CZ125</f>
        <v/>
      </c>
      <c r="DA127" s="33">
        <f>DA121+DA123+DA125</f>
        <v/>
      </c>
      <c r="DB127" s="33">
        <f>DB121+DB123+DB125</f>
        <v/>
      </c>
      <c r="DC127" s="33">
        <f>DC121+DC123+DC125</f>
        <v/>
      </c>
      <c r="DD127" s="33">
        <f>DD121+DD123+DD125</f>
        <v/>
      </c>
      <c r="DE127" s="33">
        <f>DE121+DE123+DE125</f>
        <v/>
      </c>
      <c r="DL127" s="33">
        <f>SUM(C127:DE127)</f>
        <v/>
      </c>
    </row>
    <row r="128">
      <c r="B128" s="32" t="inlineStr">
        <is>
          <t>Produccion fuente</t>
        </is>
      </c>
      <c r="C128" s="33" t="n">
        <v>977028633.510499</v>
      </c>
      <c r="D128" s="33" t="n">
        <v>393225062.9602714</v>
      </c>
      <c r="E128" s="33" t="n">
        <v>2203486.28962876</v>
      </c>
      <c r="F128" s="33" t="n">
        <v>23146937.3505403</v>
      </c>
      <c r="G128" s="33" t="n">
        <v>24120552</v>
      </c>
      <c r="H128" s="33" t="n">
        <v>81888147.31136051</v>
      </c>
      <c r="I128" s="33" t="n">
        <v>2287142.79871941</v>
      </c>
      <c r="J128" s="33" t="n">
        <v>672083588</v>
      </c>
      <c r="K128" s="33" t="n">
        <v>153195746.726607</v>
      </c>
      <c r="L128" s="33" t="n">
        <v>92683801.98270281</v>
      </c>
      <c r="M128" s="33" t="n">
        <v>48954899.62479897</v>
      </c>
      <c r="N128" s="33" t="n">
        <v>373243369.0990838</v>
      </c>
      <c r="O128" s="33" t="n">
        <v>41614651.74481544</v>
      </c>
      <c r="P128" s="33" t="n">
        <v>49182305.37232193</v>
      </c>
      <c r="Q128" s="33" t="n">
        <v>607645167.2488149</v>
      </c>
      <c r="R128" s="33" t="n">
        <v>205395178.3616663</v>
      </c>
      <c r="S128" s="33" t="n">
        <v>117445294.0286051</v>
      </c>
      <c r="T128" s="33" t="n">
        <v>113167372.831288</v>
      </c>
      <c r="U128" s="33" t="n">
        <v>171653713.3334297</v>
      </c>
      <c r="V128" s="33" t="n">
        <v>36658012.12244022</v>
      </c>
      <c r="W128" s="33" t="n">
        <v>52059083.13068762</v>
      </c>
      <c r="X128" s="33" t="n">
        <v>29182310.56779289</v>
      </c>
      <c r="Y128" s="33" t="n">
        <v>129795498.2531348</v>
      </c>
      <c r="Z128" s="33" t="n">
        <v>20057118.78297518</v>
      </c>
      <c r="AA128" s="33" t="n">
        <v>111764412.2416803</v>
      </c>
      <c r="AB128" s="33" t="n">
        <v>65404742.07547592</v>
      </c>
      <c r="AC128" s="33" t="n">
        <v>146438413.0504451</v>
      </c>
      <c r="AD128" s="33" t="n">
        <v>41621554.70793961</v>
      </c>
      <c r="AE128" s="33" t="n">
        <v>102499196.2156513</v>
      </c>
      <c r="AF128" s="33" t="n">
        <v>102455323.8465755</v>
      </c>
      <c r="AG128" s="33" t="n">
        <v>32135922.18615979</v>
      </c>
      <c r="AH128" s="33" t="n">
        <v>32769468.0622815</v>
      </c>
      <c r="AI128" s="33" t="n">
        <v>74267209.07924269</v>
      </c>
      <c r="AJ128" s="33" t="n">
        <v>147084887.665652</v>
      </c>
      <c r="AK128" s="33" t="n">
        <v>78000887.03202379</v>
      </c>
      <c r="AL128" s="33" t="n">
        <v>76381141.48491429</v>
      </c>
      <c r="AM128" s="33" t="n">
        <v>522726603.8814782</v>
      </c>
      <c r="AN128" s="33" t="n">
        <v>121216486.0306669</v>
      </c>
      <c r="AO128" s="33" t="n">
        <v>51265216.87496863</v>
      </c>
      <c r="AP128" s="33" t="n">
        <v>136035969.011486</v>
      </c>
      <c r="AQ128" s="33" t="n">
        <v>427188650.1933768</v>
      </c>
      <c r="AR128" s="33" t="n">
        <v>54611996.34764705</v>
      </c>
      <c r="AS128" s="33" t="n">
        <v>193997488.0129749</v>
      </c>
      <c r="AT128" s="33" t="n">
        <v>22237454.35066734</v>
      </c>
      <c r="AU128" s="33" t="n">
        <v>178791122.1623967</v>
      </c>
      <c r="AV128" s="33" t="n">
        <v>222397383.2276296</v>
      </c>
      <c r="AW128" s="33" t="n">
        <v>78095082.59775892</v>
      </c>
      <c r="AX128" s="33" t="n">
        <v>63076519.51505171</v>
      </c>
      <c r="AY128" s="33" t="n">
        <v>62665668.25311845</v>
      </c>
      <c r="AZ128" s="33" t="n">
        <v>156000208.6852226</v>
      </c>
      <c r="BA128" s="33" t="n">
        <v>69006468.18446615</v>
      </c>
      <c r="BB128" s="33" t="n">
        <v>126891407.8735184</v>
      </c>
      <c r="BC128" s="33" t="n">
        <v>48104875.23651402</v>
      </c>
      <c r="BD128" s="33" t="n">
        <v>7343573.451774333</v>
      </c>
      <c r="BE128" s="33" t="n">
        <v>34334558.33852966</v>
      </c>
      <c r="BF128" s="33" t="n">
        <v>29796621.98206779</v>
      </c>
      <c r="BG128" s="33" t="n">
        <v>27935039.87891698</v>
      </c>
      <c r="BH128" s="33" t="n">
        <v>94171405.99281637</v>
      </c>
      <c r="BI128" s="33" t="n">
        <v>15659152.19340982</v>
      </c>
      <c r="BJ128" s="33" t="n">
        <v>22272759.51110991</v>
      </c>
      <c r="BK128" s="33" t="n">
        <v>374409867.0465596</v>
      </c>
      <c r="BL128" s="33" t="n">
        <v>111422601.2486256</v>
      </c>
      <c r="BM128" s="33" t="n">
        <v>30487801.80048536</v>
      </c>
      <c r="BN128" s="33" t="n">
        <v>98925407.04351011</v>
      </c>
      <c r="BO128" s="33" t="n">
        <v>38495450.88990696</v>
      </c>
      <c r="BP128" s="33" t="n">
        <v>537196652.9414719</v>
      </c>
      <c r="BQ128" s="33" t="n">
        <v>127579682.5620748</v>
      </c>
      <c r="BR128" s="33" t="n">
        <v>57992315.2032895</v>
      </c>
      <c r="BS128" s="33" t="n">
        <v>1115093813.98497</v>
      </c>
      <c r="BT128" s="33" t="n">
        <v>251736922.9821351</v>
      </c>
      <c r="BU128" s="33" t="n">
        <v>1062849420.016714</v>
      </c>
      <c r="BV128" s="33" t="n">
        <v>1723143317.321024</v>
      </c>
      <c r="BW128" s="33" t="n">
        <v>51454307.0765125</v>
      </c>
      <c r="BX128" s="33" t="n">
        <v>71289687.14835121</v>
      </c>
      <c r="BY128" s="33" t="n">
        <v>737486340.8117553</v>
      </c>
      <c r="BZ128" s="33" t="n">
        <v>14894254.67611602</v>
      </c>
      <c r="CA128" s="33" t="n">
        <v>714829718.5888138</v>
      </c>
      <c r="CB128" s="33" t="n">
        <v>19415447.39515746</v>
      </c>
      <c r="CC128" s="33" t="n">
        <v>3411561.843118597</v>
      </c>
      <c r="CD128" s="33" t="n">
        <v>155669891.3081187</v>
      </c>
      <c r="CE128" s="33" t="n">
        <v>277082243.0952941</v>
      </c>
      <c r="CF128" s="33" t="n">
        <v>39226370.1615294</v>
      </c>
      <c r="CG128" s="33" t="n">
        <v>149200964</v>
      </c>
      <c r="CH128" s="33" t="n">
        <v>575989787.7159444</v>
      </c>
      <c r="CI128" s="33" t="n">
        <v>67684193.9216584</v>
      </c>
      <c r="CJ128" s="33" t="n">
        <v>455263480.479704</v>
      </c>
      <c r="CK128" s="33" t="n">
        <v>81114505.75183</v>
      </c>
      <c r="CL128" s="33" t="n">
        <v>258717618.5414099</v>
      </c>
      <c r="CM128" s="33" t="n">
        <v>81330356.97881091</v>
      </c>
      <c r="CN128" s="33" t="n">
        <v>607600635.89763</v>
      </c>
      <c r="CO128" s="33" t="n">
        <v>167849999</v>
      </c>
      <c r="CP128" s="33" t="n">
        <v>31701853.272081</v>
      </c>
      <c r="CQ128" s="33" t="n">
        <v>60887320.89509852</v>
      </c>
      <c r="CR128" s="33" t="n">
        <v>272788823.6649047</v>
      </c>
      <c r="CS128" s="33" t="n">
        <v>15832801.4376226</v>
      </c>
      <c r="CT128" s="33" t="n">
        <v>27751112.4590389</v>
      </c>
      <c r="CU128" s="33" t="n">
        <v>951474582.6624175</v>
      </c>
      <c r="CV128" s="33" t="n">
        <v>1447169018.23894</v>
      </c>
      <c r="CW128" s="33" t="n">
        <v>302748934.596025</v>
      </c>
      <c r="CX128" s="33" t="n">
        <v>616716867.110312</v>
      </c>
      <c r="CY128" s="33" t="n">
        <v>867694715.2260288</v>
      </c>
      <c r="CZ128" s="33" t="n">
        <v>280628174</v>
      </c>
      <c r="DA128" s="33" t="n">
        <v>103838386.659027</v>
      </c>
      <c r="DB128" s="33" t="n">
        <v>295656762.0899636</v>
      </c>
      <c r="DC128" s="33" t="n">
        <v>232392457.8844405</v>
      </c>
      <c r="DD128" s="33" t="n">
        <v>71939460.22886358</v>
      </c>
      <c r="DE128" s="33" t="n">
        <v>96676208.9653701</v>
      </c>
      <c r="DL128" s="33">
        <f>SUM(C128:DE128)</f>
        <v/>
      </c>
    </row>
    <row r="129">
      <c r="B129" s="35" t="inlineStr">
        <is>
          <t>Check produccion total - fuente</t>
        </is>
      </c>
      <c r="C129" s="36">
        <f>C127-C128</f>
        <v/>
      </c>
      <c r="D129" s="36">
        <f>D127-D128</f>
        <v/>
      </c>
      <c r="E129" s="36">
        <f>E127-E128</f>
        <v/>
      </c>
      <c r="F129" s="36">
        <f>F127-F128</f>
        <v/>
      </c>
      <c r="G129" s="36">
        <f>G127-G128</f>
        <v/>
      </c>
      <c r="H129" s="36">
        <f>H127-H128</f>
        <v/>
      </c>
      <c r="I129" s="36">
        <f>I127-I128</f>
        <v/>
      </c>
      <c r="J129" s="36">
        <f>J127-J128</f>
        <v/>
      </c>
      <c r="K129" s="36">
        <f>K127-K128</f>
        <v/>
      </c>
      <c r="L129" s="36">
        <f>L127-L128</f>
        <v/>
      </c>
      <c r="M129" s="36">
        <f>M127-M128</f>
        <v/>
      </c>
      <c r="N129" s="36">
        <f>N127-N128</f>
        <v/>
      </c>
      <c r="O129" s="36">
        <f>O127-O128</f>
        <v/>
      </c>
      <c r="P129" s="36">
        <f>P127-P128</f>
        <v/>
      </c>
      <c r="Q129" s="36">
        <f>Q127-Q128</f>
        <v/>
      </c>
      <c r="R129" s="36">
        <f>R127-R128</f>
        <v/>
      </c>
      <c r="S129" s="36">
        <f>S127-S128</f>
        <v/>
      </c>
      <c r="T129" s="36">
        <f>T127-T128</f>
        <v/>
      </c>
      <c r="U129" s="36">
        <f>U127-U128</f>
        <v/>
      </c>
      <c r="V129" s="36">
        <f>V127-V128</f>
        <v/>
      </c>
      <c r="W129" s="36">
        <f>W127-W128</f>
        <v/>
      </c>
      <c r="X129" s="36">
        <f>X127-X128</f>
        <v/>
      </c>
      <c r="Y129" s="36">
        <f>Y127-Y128</f>
        <v/>
      </c>
      <c r="Z129" s="36">
        <f>Z127-Z128</f>
        <v/>
      </c>
      <c r="AA129" s="36">
        <f>AA127-AA128</f>
        <v/>
      </c>
      <c r="AB129" s="36">
        <f>AB127-AB128</f>
        <v/>
      </c>
      <c r="AC129" s="36">
        <f>AC127-AC128</f>
        <v/>
      </c>
      <c r="AD129" s="36">
        <f>AD127-AD128</f>
        <v/>
      </c>
      <c r="AE129" s="36">
        <f>AE127-AE128</f>
        <v/>
      </c>
      <c r="AF129" s="36">
        <f>AF127-AF128</f>
        <v/>
      </c>
      <c r="AG129" s="36">
        <f>AG127-AG128</f>
        <v/>
      </c>
      <c r="AH129" s="36">
        <f>AH127-AH128</f>
        <v/>
      </c>
      <c r="AI129" s="36">
        <f>AI127-AI128</f>
        <v/>
      </c>
      <c r="AJ129" s="36">
        <f>AJ127-AJ128</f>
        <v/>
      </c>
      <c r="AK129" s="36">
        <f>AK127-AK128</f>
        <v/>
      </c>
      <c r="AL129" s="36">
        <f>AL127-AL128</f>
        <v/>
      </c>
      <c r="AM129" s="36">
        <f>AM127-AM128</f>
        <v/>
      </c>
      <c r="AN129" s="36">
        <f>AN127-AN128</f>
        <v/>
      </c>
      <c r="AO129" s="36">
        <f>AO127-AO128</f>
        <v/>
      </c>
      <c r="AP129" s="36">
        <f>AP127-AP128</f>
        <v/>
      </c>
      <c r="AQ129" s="36">
        <f>AQ127-AQ128</f>
        <v/>
      </c>
      <c r="AR129" s="36">
        <f>AR127-AR128</f>
        <v/>
      </c>
      <c r="AS129" s="36">
        <f>AS127-AS128</f>
        <v/>
      </c>
      <c r="AT129" s="36">
        <f>AT127-AT128</f>
        <v/>
      </c>
      <c r="AU129" s="36">
        <f>AU127-AU128</f>
        <v/>
      </c>
      <c r="AV129" s="36">
        <f>AV127-AV128</f>
        <v/>
      </c>
      <c r="AW129" s="36">
        <f>AW127-AW128</f>
        <v/>
      </c>
      <c r="AX129" s="36">
        <f>AX127-AX128</f>
        <v/>
      </c>
      <c r="AY129" s="36">
        <f>AY127-AY128</f>
        <v/>
      </c>
      <c r="AZ129" s="36">
        <f>AZ127-AZ128</f>
        <v/>
      </c>
      <c r="BA129" s="36">
        <f>BA127-BA128</f>
        <v/>
      </c>
      <c r="BB129" s="36">
        <f>BB127-BB128</f>
        <v/>
      </c>
      <c r="BC129" s="36">
        <f>BC127-BC128</f>
        <v/>
      </c>
      <c r="BD129" s="36">
        <f>BD127-BD128</f>
        <v/>
      </c>
      <c r="BE129" s="36">
        <f>BE127-BE128</f>
        <v/>
      </c>
      <c r="BF129" s="36">
        <f>BF127-BF128</f>
        <v/>
      </c>
      <c r="BG129" s="36">
        <f>BG127-BG128</f>
        <v/>
      </c>
      <c r="BH129" s="36">
        <f>BH127-BH128</f>
        <v/>
      </c>
      <c r="BI129" s="36">
        <f>BI127-BI128</f>
        <v/>
      </c>
      <c r="BJ129" s="36">
        <f>BJ127-BJ128</f>
        <v/>
      </c>
      <c r="BK129" s="36">
        <f>BK127-BK128</f>
        <v/>
      </c>
      <c r="BL129" s="36">
        <f>BL127-BL128</f>
        <v/>
      </c>
      <c r="BM129" s="36">
        <f>BM127-BM128</f>
        <v/>
      </c>
      <c r="BN129" s="36">
        <f>BN127-BN128</f>
        <v/>
      </c>
      <c r="BO129" s="36">
        <f>BO127-BO128</f>
        <v/>
      </c>
      <c r="BP129" s="36">
        <f>BP127-BP128</f>
        <v/>
      </c>
      <c r="BQ129" s="36">
        <f>BQ127-BQ128</f>
        <v/>
      </c>
      <c r="BR129" s="36">
        <f>BR127-BR128</f>
        <v/>
      </c>
      <c r="BS129" s="36">
        <f>BS127-BS128</f>
        <v/>
      </c>
      <c r="BT129" s="36">
        <f>BT127-BT128</f>
        <v/>
      </c>
      <c r="BU129" s="36">
        <f>BU127-BU128</f>
        <v/>
      </c>
      <c r="BV129" s="36">
        <f>BV127-BV128</f>
        <v/>
      </c>
      <c r="BW129" s="36">
        <f>BW127-BW128</f>
        <v/>
      </c>
      <c r="BX129" s="36">
        <f>BX127-BX128</f>
        <v/>
      </c>
      <c r="BY129" s="36">
        <f>BY127-BY128</f>
        <v/>
      </c>
      <c r="BZ129" s="36">
        <f>BZ127-BZ128</f>
        <v/>
      </c>
      <c r="CA129" s="36">
        <f>CA127-CA128</f>
        <v/>
      </c>
      <c r="CB129" s="36">
        <f>CB127-CB128</f>
        <v/>
      </c>
      <c r="CC129" s="36">
        <f>CC127-CC128</f>
        <v/>
      </c>
      <c r="CD129" s="36">
        <f>CD127-CD128</f>
        <v/>
      </c>
      <c r="CE129" s="36">
        <f>CE127-CE128</f>
        <v/>
      </c>
      <c r="CF129" s="36">
        <f>CF127-CF128</f>
        <v/>
      </c>
      <c r="CG129" s="36">
        <f>CG127-CG128</f>
        <v/>
      </c>
      <c r="CH129" s="36">
        <f>CH127-CH128</f>
        <v/>
      </c>
      <c r="CI129" s="36">
        <f>CI127-CI128</f>
        <v/>
      </c>
      <c r="CJ129" s="36">
        <f>CJ127-CJ128</f>
        <v/>
      </c>
      <c r="CK129" s="36">
        <f>CK127-CK128</f>
        <v/>
      </c>
      <c r="CL129" s="36">
        <f>CL127-CL128</f>
        <v/>
      </c>
      <c r="CM129" s="36">
        <f>CM127-CM128</f>
        <v/>
      </c>
      <c r="CN129" s="36">
        <f>CN127-CN128</f>
        <v/>
      </c>
      <c r="CO129" s="36">
        <f>CO127-CO128</f>
        <v/>
      </c>
      <c r="CP129" s="36">
        <f>CP127-CP128</f>
        <v/>
      </c>
      <c r="CQ129" s="36">
        <f>CQ127-CQ128</f>
        <v/>
      </c>
      <c r="CR129" s="36">
        <f>CR127-CR128</f>
        <v/>
      </c>
      <c r="CS129" s="36">
        <f>CS127-CS128</f>
        <v/>
      </c>
      <c r="CT129" s="36">
        <f>CT127-CT128</f>
        <v/>
      </c>
      <c r="CU129" s="36">
        <f>CU127-CU128</f>
        <v/>
      </c>
      <c r="CV129" s="36">
        <f>CV127-CV128</f>
        <v/>
      </c>
      <c r="CW129" s="36">
        <f>CW127-CW128</f>
        <v/>
      </c>
      <c r="CX129" s="36">
        <f>CX127-CX128</f>
        <v/>
      </c>
      <c r="CY129" s="36">
        <f>CY127-CY128</f>
        <v/>
      </c>
      <c r="CZ129" s="36">
        <f>CZ127-CZ128</f>
        <v/>
      </c>
      <c r="DA129" s="36">
        <f>DA127-DA128</f>
        <v/>
      </c>
      <c r="DB129" s="36">
        <f>DB127-DB128</f>
        <v/>
      </c>
      <c r="DC129" s="36">
        <f>DC127-DC128</f>
        <v/>
      </c>
      <c r="DD129" s="36">
        <f>DD127-DD128</f>
        <v/>
      </c>
      <c r="DE129" s="36">
        <f>DE127-DE128</f>
        <v/>
      </c>
      <c r="DL129" s="36">
        <f>SUM(C129:DE129)</f>
        <v/>
      </c>
    </row>
    <row r="130"/>
    <row r="131">
      <c r="B131" s="30" t="inlineStr">
        <is>
          <t>Nota</t>
        </is>
      </c>
      <c r="C131" s="30" t="inlineStr">
        <is>
          <t>Z contiene consumo intermedio nacional/domestico. El ajuste intermedio fuera de Z queda visible antes del valor agregado.</t>
        </is>
      </c>
    </row>
  </sheetData>
  <mergeCells count="9">
    <mergeCell ref="A3:H4"/>
    <mergeCell ref="DG10:DJ10"/>
    <mergeCell ref="B10:B12"/>
    <mergeCell ref="DL10:DL12"/>
    <mergeCell ref="DF10:DF12"/>
    <mergeCell ref="A10:A12"/>
    <mergeCell ref="DK10:DK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L13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2018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3" t="inlineStr">
        <is>
          <t>Total consumo intermedio</t>
        </is>
      </c>
      <c r="DG10" s="23" t="inlineStr">
        <is>
          <t>Demanda final</t>
        </is>
      </c>
      <c r="DH10" s="24" t="n"/>
      <c r="DI10" s="24" t="n"/>
      <c r="DJ10" s="24" t="n"/>
      <c r="DK10" s="23" t="inlineStr">
        <is>
          <t>Total demanda final</t>
        </is>
      </c>
      <c r="DL10" s="23" t="inlineStr">
        <is>
          <t>Total</t>
        </is>
      </c>
    </row>
    <row r="11" ht="15" customHeight="1">
      <c r="C11" s="25" t="inlineStr">
        <is>
          <t>011/014</t>
        </is>
      </c>
      <c r="D11" s="25" t="inlineStr">
        <is>
          <t>012</t>
        </is>
      </c>
      <c r="E11" s="25" t="inlineStr">
        <is>
          <t>015</t>
        </is>
      </c>
      <c r="F11" s="25" t="inlineStr">
        <is>
          <t>016</t>
        </is>
      </c>
      <c r="G11" s="25" t="inlineStr">
        <is>
          <t>020</t>
        </is>
      </c>
      <c r="H11" s="25" t="inlineStr">
        <is>
          <t>050</t>
        </is>
      </c>
      <c r="I11" s="25" t="inlineStr">
        <is>
          <t>101</t>
        </is>
      </c>
      <c r="J11" s="25" t="inlineStr">
        <is>
          <t>111</t>
        </is>
      </c>
      <c r="K11" s="25" t="inlineStr">
        <is>
          <t>112</t>
        </is>
      </c>
      <c r="L11" s="25" t="inlineStr">
        <is>
          <t>132</t>
        </is>
      </c>
      <c r="M11" s="25" t="inlineStr">
        <is>
          <t>141/142</t>
        </is>
      </c>
      <c r="N11" s="25" t="inlineStr">
        <is>
          <t>1511</t>
        </is>
      </c>
      <c r="O11" s="25" t="inlineStr">
        <is>
          <t>1512</t>
        </is>
      </c>
      <c r="P11" s="25" t="inlineStr">
        <is>
          <t>1513</t>
        </is>
      </c>
      <c r="Q11" s="25" t="inlineStr">
        <is>
          <t>1514</t>
        </is>
      </c>
      <c r="R11" s="25" t="inlineStr">
        <is>
          <t>1520</t>
        </is>
      </c>
      <c r="S11" s="25" t="inlineStr">
        <is>
          <t>1531/2</t>
        </is>
      </c>
      <c r="T11" s="25" t="inlineStr">
        <is>
          <t>15330</t>
        </is>
      </c>
      <c r="U11" s="25" t="inlineStr">
        <is>
          <t>1541</t>
        </is>
      </c>
      <c r="V11" s="25" t="inlineStr">
        <is>
          <t>15420</t>
        </is>
      </c>
      <c r="W11" s="25" t="inlineStr">
        <is>
          <t>15430</t>
        </is>
      </c>
      <c r="X11" s="25" t="inlineStr">
        <is>
          <t>1544</t>
        </is>
      </c>
      <c r="Y11" s="25" t="inlineStr">
        <is>
          <t>1549</t>
        </is>
      </c>
      <c r="Z11" s="25" t="inlineStr">
        <is>
          <t>15510</t>
        </is>
      </c>
      <c r="AA11" s="25" t="inlineStr">
        <is>
          <t>1552</t>
        </is>
      </c>
      <c r="AB11" s="25" t="inlineStr">
        <is>
          <t>15530</t>
        </is>
      </c>
      <c r="AC11" s="25" t="inlineStr">
        <is>
          <t>1554</t>
        </is>
      </c>
      <c r="AD11" s="25" t="inlineStr">
        <is>
          <t>160</t>
        </is>
      </c>
      <c r="AE11" s="25" t="inlineStr">
        <is>
          <t>171/2</t>
        </is>
      </c>
      <c r="AF11" s="25" t="inlineStr">
        <is>
          <t>18</t>
        </is>
      </c>
      <c r="AG11" s="25" t="inlineStr">
        <is>
          <t>191</t>
        </is>
      </c>
      <c r="AH11" s="25" t="inlineStr">
        <is>
          <t>192</t>
        </is>
      </c>
      <c r="AI11" s="25" t="inlineStr">
        <is>
          <t>201/2</t>
        </is>
      </c>
      <c r="AJ11" s="25" t="inlineStr">
        <is>
          <t>210</t>
        </is>
      </c>
      <c r="AK11" s="25" t="inlineStr">
        <is>
          <t>221</t>
        </is>
      </c>
      <c r="AL11" s="25" t="inlineStr">
        <is>
          <t>222</t>
        </is>
      </c>
      <c r="AM11" s="25" t="inlineStr">
        <is>
          <t>23</t>
        </is>
      </c>
      <c r="AN11" s="25" t="inlineStr">
        <is>
          <t>2411</t>
        </is>
      </c>
      <c r="AO11" s="25" t="inlineStr">
        <is>
          <t>2412/2421</t>
        </is>
      </c>
      <c r="AP11" s="25" t="inlineStr">
        <is>
          <t>24130</t>
        </is>
      </c>
      <c r="AQ11" s="25" t="inlineStr">
        <is>
          <t>242</t>
        </is>
      </c>
      <c r="AR11" s="25" t="inlineStr">
        <is>
          <t>251</t>
        </is>
      </c>
      <c r="AS11" s="25" t="inlineStr">
        <is>
          <t>252</t>
        </is>
      </c>
      <c r="AT11" s="25" t="inlineStr">
        <is>
          <t>261</t>
        </is>
      </c>
      <c r="AU11" s="25" t="inlineStr">
        <is>
          <t>269</t>
        </is>
      </c>
      <c r="AV11" s="25" t="inlineStr">
        <is>
          <t>27100</t>
        </is>
      </c>
      <c r="AW11" s="25" t="inlineStr">
        <is>
          <t>272</t>
        </is>
      </c>
      <c r="AX11" s="25" t="inlineStr">
        <is>
          <t>273</t>
        </is>
      </c>
      <c r="AY11" s="25" t="inlineStr">
        <is>
          <t>281</t>
        </is>
      </c>
      <c r="AZ11" s="25" t="inlineStr">
        <is>
          <t>289</t>
        </is>
      </c>
      <c r="BA11" s="25" t="inlineStr">
        <is>
          <t>291</t>
        </is>
      </c>
      <c r="BB11" s="25" t="inlineStr">
        <is>
          <t>292</t>
        </is>
      </c>
      <c r="BC11" s="25" t="inlineStr">
        <is>
          <t>29300</t>
        </is>
      </c>
      <c r="BD11" s="25" t="inlineStr">
        <is>
          <t>30000</t>
        </is>
      </c>
      <c r="BE11" s="25" t="inlineStr">
        <is>
          <t>311/12</t>
        </is>
      </c>
      <c r="BF11" s="25" t="inlineStr">
        <is>
          <t>31300</t>
        </is>
      </c>
      <c r="BG11" s="25" t="inlineStr">
        <is>
          <t>314/15/19</t>
        </is>
      </c>
      <c r="BH11" s="25" t="inlineStr">
        <is>
          <t>32100/32200</t>
        </is>
      </c>
      <c r="BI11" s="25" t="inlineStr">
        <is>
          <t>32300</t>
        </is>
      </c>
      <c r="BJ11" s="25" t="inlineStr">
        <is>
          <t>331/332</t>
        </is>
      </c>
      <c r="BK11" s="25" t="inlineStr">
        <is>
          <t>341/2</t>
        </is>
      </c>
      <c r="BL11" s="25" t="inlineStr">
        <is>
          <t>34300</t>
        </is>
      </c>
      <c r="BM11" s="25" t="inlineStr">
        <is>
          <t>351/2/3/9</t>
        </is>
      </c>
      <c r="BN11" s="25" t="inlineStr">
        <is>
          <t>361/9</t>
        </is>
      </c>
      <c r="BO11" s="25" t="inlineStr">
        <is>
          <t>37/38</t>
        </is>
      </c>
      <c r="BP11" s="25" t="inlineStr">
        <is>
          <t>401</t>
        </is>
      </c>
      <c r="BQ11" s="25" t="inlineStr">
        <is>
          <t>402</t>
        </is>
      </c>
      <c r="BR11" s="25" t="inlineStr">
        <is>
          <t>41</t>
        </is>
      </c>
      <c r="BS11" s="25" t="inlineStr">
        <is>
          <t>45</t>
        </is>
      </c>
      <c r="BT11" s="25" t="inlineStr">
        <is>
          <t>502</t>
        </is>
      </c>
      <c r="BU11" s="25" t="inlineStr">
        <is>
          <t>51</t>
        </is>
      </c>
      <c r="BV11" s="25" t="inlineStr">
        <is>
          <t>521/5</t>
        </is>
      </c>
      <c r="BW11" s="25" t="inlineStr">
        <is>
          <t>526</t>
        </is>
      </c>
      <c r="BX11" s="25" t="inlineStr">
        <is>
          <t>551</t>
        </is>
      </c>
      <c r="BY11" s="25" t="inlineStr">
        <is>
          <t>552</t>
        </is>
      </c>
      <c r="BZ11" s="25" t="inlineStr">
        <is>
          <t>601</t>
        </is>
      </c>
      <c r="CA11" s="25" t="inlineStr">
        <is>
          <t>602</t>
        </is>
      </c>
      <c r="CB11" s="25" t="inlineStr">
        <is>
          <t>603</t>
        </is>
      </c>
      <c r="CC11" s="25" t="inlineStr">
        <is>
          <t>61</t>
        </is>
      </c>
      <c r="CD11" s="25" t="inlineStr">
        <is>
          <t>62</t>
        </is>
      </c>
      <c r="CE11" s="25" t="inlineStr">
        <is>
          <t>63</t>
        </is>
      </c>
      <c r="CF11" s="25" t="inlineStr">
        <is>
          <t>641</t>
        </is>
      </c>
      <c r="CG11" s="25" t="inlineStr">
        <is>
          <t>642</t>
        </is>
      </c>
      <c r="CH11" s="25" t="inlineStr">
        <is>
          <t>643</t>
        </is>
      </c>
      <c r="CI11" s="25" t="inlineStr">
        <is>
          <t>644</t>
        </is>
      </c>
      <c r="CJ11" s="25" t="inlineStr">
        <is>
          <t>651 2</t>
        </is>
      </c>
      <c r="CK11" s="25" t="inlineStr">
        <is>
          <t>659</t>
        </is>
      </c>
      <c r="CL11" s="25" t="inlineStr">
        <is>
          <t>66</t>
        </is>
      </c>
      <c r="CM11" s="25" t="inlineStr">
        <is>
          <t>67</t>
        </is>
      </c>
      <c r="CN11" s="25" t="inlineStr">
        <is>
          <t>701 A</t>
        </is>
      </c>
      <c r="CO11" s="25" t="inlineStr">
        <is>
          <t>701 B</t>
        </is>
      </c>
      <c r="CP11" s="25" t="inlineStr">
        <is>
          <t>702</t>
        </is>
      </c>
      <c r="CQ11" s="25" t="inlineStr">
        <is>
          <t>71</t>
        </is>
      </c>
      <c r="CR11" s="25" t="inlineStr">
        <is>
          <t>72</t>
        </is>
      </c>
      <c r="CS11" s="25" t="inlineStr">
        <is>
          <t>73 PR</t>
        </is>
      </c>
      <c r="CT11" s="25" t="inlineStr">
        <is>
          <t>73 PU</t>
        </is>
      </c>
      <c r="CU11" s="25" t="inlineStr">
        <is>
          <t>74</t>
        </is>
      </c>
      <c r="CV11" s="25" t="inlineStr">
        <is>
          <t>75</t>
        </is>
      </c>
      <c r="CW11" s="25" t="inlineStr">
        <is>
          <t>80 PR</t>
        </is>
      </c>
      <c r="CX11" s="25" t="inlineStr">
        <is>
          <t>80 PU</t>
        </is>
      </c>
      <c r="CY11" s="25" t="inlineStr">
        <is>
          <t>85 PR</t>
        </is>
      </c>
      <c r="CZ11" s="25" t="inlineStr">
        <is>
          <t>85 PU</t>
        </is>
      </c>
      <c r="DA11" s="25" t="inlineStr">
        <is>
          <t>900</t>
        </is>
      </c>
      <c r="DB11" s="25" t="inlineStr">
        <is>
          <t>919</t>
        </is>
      </c>
      <c r="DC11" s="25" t="inlineStr">
        <is>
          <t>92</t>
        </is>
      </c>
      <c r="DD11" s="25" t="inlineStr">
        <is>
          <t>930</t>
        </is>
      </c>
      <c r="DE11" s="25" t="inlineStr">
        <is>
          <t>950</t>
        </is>
      </c>
      <c r="DG11" s="25" t="inlineStr"/>
      <c r="DH11" s="25" t="inlineStr"/>
      <c r="DI11" s="25" t="inlineStr"/>
      <c r="DJ11" s="25" t="inlineStr"/>
    </row>
    <row r="12" ht="90" customHeight="1">
      <c r="A12" s="26" t="n"/>
      <c r="B12" s="26" t="n"/>
      <c r="C12" s="27" t="inlineStr">
        <is>
          <t>Cultivos agrícolas. Servicios agrícolas y pecuarios, excepto los veterinarios</t>
        </is>
      </c>
      <c r="D12" s="27" t="inlineStr">
        <is>
          <t>Cría de animales</t>
        </is>
      </c>
      <c r="E12" s="27" t="inlineStr">
        <is>
          <t>Caza, repoblación de animales de caza y servicios conexos</t>
        </is>
      </c>
      <c r="F12" s="27" t="inlineStr">
        <is>
          <t>Construcciones agropecuarias</t>
        </is>
      </c>
      <c r="G12" s="27" t="inlineStr">
        <is>
          <t>Silvicultura, extracción de madera y servicios conexos</t>
        </is>
      </c>
      <c r="H12" s="27" t="inlineStr">
        <is>
          <t>Pesca</t>
        </is>
      </c>
      <c r="I12" s="27" t="inlineStr">
        <is>
          <t>Extracción y aglomeración de carbón de piedra</t>
        </is>
      </c>
      <c r="J12" s="27" t="inlineStr">
        <is>
          <t>Extracción de petróleo crudo y gas natural.</t>
        </is>
      </c>
      <c r="K12" s="27" t="inlineStr">
        <is>
          <t>Actividades de servicios relacionadas con la extracción de petróleo y gas excepto las act. de prospección</t>
        </is>
      </c>
      <c r="L12" s="27" t="inlineStr">
        <is>
          <t>Extracción de minerales metalíferos no ferrosos, excepto los minerales de uranio y torio</t>
        </is>
      </c>
      <c r="M12" s="27" t="inlineStr">
        <is>
          <t>Extracción de piedra arena y arcilla. Explotación de minas y canteras n.c.p</t>
        </is>
      </c>
      <c r="N12" s="27" t="inlineStr">
        <is>
          <t>Producción, procesamiento y conservación de carne y productos cárnicos</t>
        </is>
      </c>
      <c r="O12" s="27" t="inlineStr">
        <is>
          <t>Elaboración de pescado y productos de pescado</t>
        </is>
      </c>
      <c r="P12" s="27" t="inlineStr">
        <is>
          <t>Preparación de frutas, hortalizas y legumbres</t>
        </is>
      </c>
      <c r="Q12" s="27" t="inlineStr">
        <is>
          <t>Elaboración de aceites y grasas de origen vegetal</t>
        </is>
      </c>
      <c r="R12" s="27" t="inlineStr">
        <is>
          <t>Elaboración de productos lácteos</t>
        </is>
      </c>
      <c r="S12" s="27" t="inlineStr">
        <is>
          <t>Elaboración de productos de molinería. Elaboración de almidones y productos derivados del almidón</t>
        </is>
      </c>
      <c r="T12" s="27" t="inlineStr">
        <is>
          <t>15330 - Elaboración de alimentos preparados para animales</t>
        </is>
      </c>
      <c r="U12" s="27" t="inlineStr">
        <is>
          <t>Elaboración de productos de panadería</t>
        </is>
      </c>
      <c r="V12" s="27" t="inlineStr">
        <is>
          <t>15420 - Elaboración de azúcar</t>
        </is>
      </c>
      <c r="W12" s="27" t="inlineStr">
        <is>
          <t>15430 - Elaboración de cacao y chocolate y de productos de confitería</t>
        </is>
      </c>
      <c r="X12" s="27" t="inlineStr">
        <is>
          <t>15441 - Elaboración de pastas alimenticias frescas. 15442 - Elaboración de pastas alimenticias secas</t>
        </is>
      </c>
      <c r="Y12" s="27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27" t="inlineStr">
        <is>
          <t>15510 - Destilación, rectificación y mezcla de bebidas alcohólicas; producción de alcohol etílico</t>
        </is>
      </c>
      <c r="AA12" s="27" t="inlineStr">
        <is>
          <t>15521 - Elaboración de vinos. 15529 - Elaboración de sidra y otras bebidas alcohólicas fermentadas a partir de frutas</t>
        </is>
      </c>
      <c r="AB12" s="27" t="inlineStr">
        <is>
          <t>15530 - Elaboración de cerveza, bebidas malteadas y de malta</t>
        </is>
      </c>
      <c r="AC12" s="27" t="inlineStr">
        <is>
          <t>15541 - Elaboración de soda y aguas. 15542 - Elaboración de bebidas gaseosas, excepto soda. 15549 - Elaboración de hielo, jugos envasados para diluir y otras bebidas no alcohólicas</t>
        </is>
      </c>
      <c r="AD12" s="27" t="inlineStr">
        <is>
          <t>16001 - Preparación de hojas de tabaco. 16009 - Elaboración de cigarrillos y productos de tabaco n.c.p.</t>
        </is>
      </c>
      <c r="AE12" s="27" t="inlineStr">
        <is>
          <t>Hilatura, tejedura y acabado de productos textiles. Fabricación de otros productos textiles</t>
        </is>
      </c>
      <c r="AF12" s="27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27" t="inlineStr">
        <is>
          <t>19110 - Curtido y terminación de cueros. 19120 - Fabricación de maletas, bolsos de mano y similares, artículos de talabartería y artículos de cuero n.c.p.</t>
        </is>
      </c>
      <c r="AH12" s="27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27" t="inlineStr">
        <is>
          <t>Aserrado y acepilladura de madera. Fabricación de productos de madera, corcho, paja y materiales trenzables</t>
        </is>
      </c>
      <c r="AJ12" s="27" t="inlineStr">
        <is>
          <t>Fabricación de papel y de productos de papel</t>
        </is>
      </c>
      <c r="AK12" s="27" t="inlineStr">
        <is>
          <t>Actividades de edición</t>
        </is>
      </c>
      <c r="AL12" s="27" t="inlineStr">
        <is>
          <t>22210 - Impresión. 22220-Servicios relacionados con la impresión</t>
        </is>
      </c>
      <c r="AM12" s="27" t="inlineStr">
        <is>
          <t>23200 - Fabricación de productos de la refinación del petróleo. 23300-Fabricación de combustible nuclear</t>
        </is>
      </c>
      <c r="AN12" s="27" t="inlineStr">
        <is>
          <t>24111 - Fabricación de gases comprimidos y licuados. 24119-Fabricación de materias químicas orgánicas básicas, n.c.p.</t>
        </is>
      </c>
      <c r="AO12" s="27" t="inlineStr">
        <is>
          <t>24120 - Fabricación de abonos y compuestos de nitrógeno. 24210 - Fabricación de plaguicidas y productos químicos de uso agropecuario</t>
        </is>
      </c>
      <c r="AP12" s="27" t="inlineStr">
        <is>
          <t>24130 - Fabricación de plásticos en formas primarias y de caucho sintético</t>
        </is>
      </c>
      <c r="AQ12" s="27" t="inlineStr">
        <is>
          <t>Fabricación de otros productos químicos (excl 24210 - Fabricación de plaguicidas y productos químicos de uso agropecuario)</t>
        </is>
      </c>
      <c r="AR12" s="27" t="inlineStr">
        <is>
          <t>Fabricación de productos de caucho</t>
        </is>
      </c>
      <c r="AS12" s="27" t="inlineStr">
        <is>
          <t>25201 - Fabricación de envases plásticos. 25209 - Fabricación de productos plásticos en formas básicas y artículos de plástico n.c.p., excepto muebles</t>
        </is>
      </c>
      <c r="AT12" s="27" t="inlineStr">
        <is>
          <t>26101 - Fabricación de envases de vidrio. 26102 - Fabricación y elaboración de vidrio plano. 26109 - Fabricación de productos de vidrio n.c.p.</t>
        </is>
      </c>
      <c r="AU12" s="27" t="inlineStr">
        <is>
          <t>Fabricación de productos minerales no metálicos n.c.p.</t>
        </is>
      </c>
      <c r="AV12" s="27" t="inlineStr">
        <is>
          <t>27100 - Industrias básicas de hierro y acero</t>
        </is>
      </c>
      <c r="AW12" s="27" t="inlineStr">
        <is>
          <t>27201 - Elaboración de aluminio primario y semielaborados de aluminio. 27209 - Producción de metales no ferrosos n.c.p. y sus semielaborados</t>
        </is>
      </c>
      <c r="AX12" s="27" t="inlineStr">
        <is>
          <t>27310 - Fundición de hierro y acero. 27320 - Fundición de metales no ferrosos</t>
        </is>
      </c>
      <c r="AY12" s="27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27" t="inlineStr">
        <is>
          <t>Fabricación de otros productos elaborados de metal; actividades de servicios de trabajo de metales</t>
        </is>
      </c>
      <c r="BA12" s="27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27" t="inlineStr">
        <is>
          <t>Fabricación de maquinaria de uso especial</t>
        </is>
      </c>
      <c r="BC12" s="27" t="inlineStr">
        <is>
          <t>29300 - Fabricación de aparatos de uso doméstico n.c.p.</t>
        </is>
      </c>
      <c r="BD12" s="27" t="inlineStr">
        <is>
          <t>30000 - Fabricación de maquinaria de oficina, contabilidad e informática</t>
        </is>
      </c>
      <c r="BE12" s="27" t="inlineStr">
        <is>
          <t>31100 - Fabricación de motores, generadores y transformadores eléctricos. 31200 - Fabricación de aparatos de distribución y control de la energía eléctrica</t>
        </is>
      </c>
      <c r="BF12" s="27" t="inlineStr">
        <is>
          <t>31300 - Fabricación de hilos y cables aislados</t>
        </is>
      </c>
      <c r="BG12" s="27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27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27" t="inlineStr">
        <is>
          <t>32300 - Fabricación de receptores de radio y televisión, aparatos de grabación y reproducción de sonido y video, y productos conexos</t>
        </is>
      </c>
      <c r="BJ12" s="27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27" t="inlineStr">
        <is>
          <t>Fabricación de vehículos automotores. Fabricación de carrocerías para vehículos automotores; fabricación de remolques y semirremolques</t>
        </is>
      </c>
      <c r="BL12" s="27" t="inlineStr">
        <is>
          <t>34300 - Fabricación de partes; piezas y accesorios para vehículos automotores y sus motores</t>
        </is>
      </c>
      <c r="BM12" s="27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27" t="inlineStr">
        <is>
          <t>Fabricación de muebles. Industrias manufactureras, n.c.p.</t>
        </is>
      </c>
      <c r="BO12" s="27" t="inlineStr">
        <is>
          <t>Reciclado. Reparación y mantenimiento</t>
        </is>
      </c>
      <c r="BP12" s="27" t="inlineStr">
        <is>
          <t>Generación captación y distribución de energía eléctrica</t>
        </is>
      </c>
      <c r="BQ12" s="27" t="inlineStr">
        <is>
          <t>Fabricación de gas ; distribución de combustibles gaseosos por tuberías</t>
        </is>
      </c>
      <c r="BR12" s="27" t="inlineStr">
        <is>
          <t>Captación , depuración y distribución de agua</t>
        </is>
      </c>
      <c r="BS12" s="27" t="inlineStr">
        <is>
          <t>Construcción</t>
        </is>
      </c>
      <c r="BT12" s="27" t="inlineStr">
        <is>
          <t>Comercios por mayor y menor, mantenimiento y reparación de automotores</t>
        </is>
      </c>
      <c r="BU12" s="27" t="inlineStr">
        <is>
          <t>Comercio mayorista</t>
        </is>
      </c>
      <c r="BV12" s="27" t="inlineStr">
        <is>
          <t>521/5 - Comercio minorista excepto reparaciones</t>
        </is>
      </c>
      <c r="BW12" s="27" t="inlineStr">
        <is>
          <t>Reparación de efectos personales y enseres domésticos</t>
        </is>
      </c>
      <c r="BX12" s="27" t="inlineStr">
        <is>
          <t>Hoteles ; campamentos y otros tipos de hospedaje temporal</t>
        </is>
      </c>
      <c r="BY12" s="27" t="inlineStr">
        <is>
          <t>Restaurantes, bares y cantinas</t>
        </is>
      </c>
      <c r="BZ12" s="27" t="inlineStr">
        <is>
          <t>Servicio de transporte ferroviario</t>
        </is>
      </c>
      <c r="CA12" s="27" t="inlineStr">
        <is>
          <t>Servicio de transporte automotor</t>
        </is>
      </c>
      <c r="CB12" s="27" t="inlineStr">
        <is>
          <t>Transporte por tuberías</t>
        </is>
      </c>
      <c r="CC12" s="27" t="inlineStr">
        <is>
          <t>TRANSPORTE POR VÍA ACUÁTICA</t>
        </is>
      </c>
      <c r="CD12" s="27" t="inlineStr">
        <is>
          <t>TRANSPORTE POR VÍA AÉREA</t>
        </is>
      </c>
      <c r="CE12" s="27" t="inlineStr">
        <is>
          <t>ACTIVIDADES DE TRANSPORTE COMPLEMENTARIAS Y AUXILIARES; ACTIVIDADES DE AGENCIAS DE VIAJES</t>
        </is>
      </c>
      <c r="CF12" s="27" t="inlineStr">
        <is>
          <t>Servicios de correos</t>
        </is>
      </c>
      <c r="CG12" s="27" t="inlineStr">
        <is>
          <t>Servicios de transmisión de radio y televisión</t>
        </is>
      </c>
      <c r="CH12" s="27" t="inlineStr">
        <is>
          <t>Servicios de Telecomunicaciones</t>
        </is>
      </c>
      <c r="CI12" s="27" t="inlineStr">
        <is>
          <t>Servicios de Internet</t>
        </is>
      </c>
      <c r="CJ12" s="27" t="inlineStr">
        <is>
          <t>651 2 - Intermediación monetaria</t>
        </is>
      </c>
      <c r="CK12" s="27" t="inlineStr">
        <is>
          <t>Otros tipos de intermediación financiera</t>
        </is>
      </c>
      <c r="CL12" s="27" t="inlineStr">
        <is>
          <t>Financiación de planes de seguros y de pensiones, excepto los planes</t>
        </is>
      </c>
      <c r="CM12" s="27" t="inlineStr">
        <is>
          <t>ACTIVIDADES AUXILIARES DE LA INTERMEDIACIÓN</t>
        </is>
      </c>
      <c r="CN12" s="27" t="inlineStr">
        <is>
          <t>701 A - Propiedad de la vivienda.</t>
        </is>
      </c>
      <c r="CO12" s="27" t="inlineStr">
        <is>
          <t>701 B - Alquiler de los sectores productores.</t>
        </is>
      </c>
      <c r="CP12" s="27" t="inlineStr">
        <is>
          <t>Actividades inmobiliarias realizadas a cambio de una retribución o por contrata</t>
        </is>
      </c>
      <c r="CQ12" s="27" t="inlineStr">
        <is>
          <t>ALQUILER DE MAQUINARIA Y EQUIPO SIN OPERARIOS Y DE EFECTOS PERSONALES Y ENSERES DOMÉSTICOS</t>
        </is>
      </c>
      <c r="CR12" s="27" t="inlineStr">
        <is>
          <t>Informática y actividades conexas</t>
        </is>
      </c>
      <c r="CS12" s="27" t="inlineStr">
        <is>
          <t>Servicios de Investigación y Desarrollo - PRIVADO</t>
        </is>
      </c>
      <c r="CT12" s="27" t="inlineStr">
        <is>
          <t>Servicios de Investigación y Desarrollo - PUBLICO</t>
        </is>
      </c>
      <c r="CU12" s="27" t="inlineStr">
        <is>
          <t>OTRAS ACTIVIDADES EMPRESARIALES</t>
        </is>
      </c>
      <c r="CV12" s="27" t="inlineStr">
        <is>
          <t>Administración Pública y Defensa; Planes de Seguridad Social de Afiliación Obligatoria</t>
        </is>
      </c>
      <c r="CW12" s="27" t="inlineStr">
        <is>
          <t>Enseñanza Privada - Adultos y otros servicios de enseñanza</t>
        </is>
      </c>
      <c r="CX12" s="27" t="inlineStr">
        <is>
          <t>Enseñanza Pública - Todos los niveles</t>
        </is>
      </c>
      <c r="CY12" s="27" t="inlineStr">
        <is>
          <t>SERVICIOS SOCIALES Y DE SALUD - Privados</t>
        </is>
      </c>
      <c r="CZ12" s="27" t="inlineStr">
        <is>
          <t>SERVICIOS SOCIALES Y DE SALUD - Públicos</t>
        </is>
      </c>
      <c r="DA12" s="27" t="inlineStr">
        <is>
          <t>Eliminación de desperdicios y aguas residuales, saneamiento y servicios similares</t>
        </is>
      </c>
      <c r="DB12" s="27" t="inlineStr">
        <is>
          <t>Servicios de asociaciones n.c.p.</t>
        </is>
      </c>
      <c r="DC12" s="27" t="inlineStr">
        <is>
          <t>ACTIVIDADES DE ESPARCIMIENTO Y ACTIVIDADES CULTURALES Y DEPORTIVAS</t>
        </is>
      </c>
      <c r="DD12" s="27" t="inlineStr">
        <is>
          <t>Otras actividades de servicios</t>
        </is>
      </c>
      <c r="DE12" s="27" t="inlineStr">
        <is>
          <t>Servicios de hogares privados que contratan servicio doméstico</t>
        </is>
      </c>
      <c r="DF12" s="26" t="n"/>
      <c r="DG12" s="27" t="inlineStr">
        <is>
          <t>Gasto de consumo final</t>
        </is>
      </c>
      <c r="DH12" s="27" t="inlineStr">
        <is>
          <t>Formacion bruta de capital</t>
        </is>
      </c>
      <c r="DI12" s="27" t="inlineStr">
        <is>
          <t>Exportaciones netas</t>
        </is>
      </c>
      <c r="DJ12" s="27" t="inlineStr">
        <is>
          <t>Sin desglose fuente</t>
        </is>
      </c>
      <c r="DK12" s="26" t="n"/>
      <c r="DL12" s="26" t="n"/>
    </row>
    <row r="13"/>
    <row r="14">
      <c r="A14" s="28" t="inlineStr">
        <is>
          <t>011/014</t>
        </is>
      </c>
      <c r="B14" s="28" t="inlineStr">
        <is>
          <t>Cultivos agrícolas. Servicios agrícolas y pecuarios, excepto los veterinarios</t>
        </is>
      </c>
      <c r="C14" s="29" t="n">
        <v>7435372.547757274</v>
      </c>
      <c r="D14" s="29" t="n">
        <v>1495606.251921892</v>
      </c>
      <c r="E14" s="29" t="n">
        <v>0</v>
      </c>
      <c r="F14" s="29" t="n">
        <v>88891.3186862084</v>
      </c>
      <c r="G14" s="29" t="n">
        <v>70838.12313355331</v>
      </c>
      <c r="H14" s="29" t="n">
        <v>3432.286670235078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86933.19495440491</v>
      </c>
      <c r="O14" s="29" t="n">
        <v>0</v>
      </c>
      <c r="P14" s="29" t="n">
        <v>10700122.53773979</v>
      </c>
      <c r="Q14" s="29" t="n">
        <v>65212413.43617217</v>
      </c>
      <c r="R14" s="29" t="n">
        <v>376741.7825872779</v>
      </c>
      <c r="S14" s="29" t="n">
        <v>2021694.802449504</v>
      </c>
      <c r="T14" s="29" t="n">
        <v>1977755.529297666</v>
      </c>
      <c r="U14" s="29" t="n">
        <v>1601594.895817074</v>
      </c>
      <c r="V14" s="29" t="n">
        <v>139460.556331763</v>
      </c>
      <c r="W14" s="29" t="n">
        <v>447740.1528709315</v>
      </c>
      <c r="X14" s="29" t="n">
        <v>235700.5581614536</v>
      </c>
      <c r="Y14" s="29" t="n">
        <v>7312937.782410099</v>
      </c>
      <c r="Z14" s="29" t="n">
        <v>53504.14949465643</v>
      </c>
      <c r="AA14" s="29" t="n">
        <v>5976622.282948906</v>
      </c>
      <c r="AB14" s="29" t="n">
        <v>60610.57427231297</v>
      </c>
      <c r="AC14" s="29" t="n">
        <v>384354.3245721649</v>
      </c>
      <c r="AD14" s="29" t="n">
        <v>-489453.1488426384</v>
      </c>
      <c r="AE14" s="29" t="n">
        <v>587684.3687650263</v>
      </c>
      <c r="AF14" s="29" t="n">
        <v>0</v>
      </c>
      <c r="AG14" s="29" t="n">
        <v>0</v>
      </c>
      <c r="AH14" s="29" t="n">
        <v>0</v>
      </c>
      <c r="AI14" s="29" t="n">
        <v>380.8961781107461</v>
      </c>
      <c r="AJ14" s="29" t="n">
        <v>618.6911832442034</v>
      </c>
      <c r="AK14" s="29" t="n">
        <v>0</v>
      </c>
      <c r="AL14" s="29" t="n">
        <v>0</v>
      </c>
      <c r="AM14" s="29" t="n">
        <v>0</v>
      </c>
      <c r="AN14" s="29" t="n">
        <v>185.9624819681219</v>
      </c>
      <c r="AO14" s="29" t="n">
        <v>0</v>
      </c>
      <c r="AP14" s="29" t="n">
        <v>40188.73768761118</v>
      </c>
      <c r="AQ14" s="29" t="n">
        <v>192128.2457304537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13912.29993763232</v>
      </c>
      <c r="BA14" s="29" t="n">
        <v>0</v>
      </c>
      <c r="BB14" s="29" t="n">
        <v>20.53806409935577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3166.969503037102</v>
      </c>
      <c r="BM14" s="29" t="n">
        <v>0</v>
      </c>
      <c r="BN14" s="29" t="n">
        <v>0</v>
      </c>
      <c r="BO14" s="29" t="n">
        <v>0</v>
      </c>
      <c r="BP14" s="29" t="n">
        <v>221.8380723219538</v>
      </c>
      <c r="BQ14" s="29" t="n">
        <v>0</v>
      </c>
      <c r="BR14" s="29" t="n">
        <v>0</v>
      </c>
      <c r="BS14" s="29" t="n">
        <v>3853.646144222558</v>
      </c>
      <c r="BT14" s="29" t="n">
        <v>0</v>
      </c>
      <c r="BU14" s="29" t="n">
        <v>0</v>
      </c>
      <c r="BV14" s="29" t="n">
        <v>0</v>
      </c>
      <c r="BW14" s="29" t="n">
        <v>0</v>
      </c>
      <c r="BX14" s="29" t="n">
        <v>200673.8896704839</v>
      </c>
      <c r="BY14" s="29" t="n">
        <v>38058219.3368976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15.43072578234079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43992.83417858537</v>
      </c>
      <c r="CT14" s="29" t="n">
        <v>40170.2954631436</v>
      </c>
      <c r="CU14" s="29" t="n">
        <v>76367.79887951993</v>
      </c>
      <c r="CV14" s="29" t="n">
        <v>2143107.178790052</v>
      </c>
      <c r="CW14" s="29" t="n">
        <v>17.32246807979883</v>
      </c>
      <c r="CX14" s="29" t="n">
        <v>345781.4528015777</v>
      </c>
      <c r="CY14" s="29" t="n">
        <v>96611.64027425015</v>
      </c>
      <c r="CZ14" s="29" t="n">
        <v>9717.922334348179</v>
      </c>
      <c r="DA14" s="29" t="n">
        <v>0</v>
      </c>
      <c r="DB14" s="29" t="n">
        <v>16888.95094367533</v>
      </c>
      <c r="DC14" s="29" t="n">
        <v>4908.047133460705</v>
      </c>
      <c r="DD14" s="29" t="n">
        <v>0</v>
      </c>
      <c r="DE14" s="29" t="n">
        <v>0</v>
      </c>
      <c r="DF14" s="29">
        <f>SUM(C14:DE14)</f>
        <v/>
      </c>
      <c r="DG14" s="29" t="n">
        <v>0</v>
      </c>
      <c r="DH14" s="29" t="n">
        <v>0</v>
      </c>
      <c r="DI14" s="29" t="n">
        <v>0</v>
      </c>
      <c r="DJ14" s="29" t="n">
        <v>0</v>
      </c>
      <c r="DK14" s="29">
        <f>SUM(DG14:DJ14)</f>
        <v/>
      </c>
      <c r="DL14" s="29">
        <f>DF14+DK14</f>
        <v/>
      </c>
    </row>
    <row r="15">
      <c r="A15" s="30" t="inlineStr">
        <is>
          <t>012</t>
        </is>
      </c>
      <c r="B15" s="30" t="inlineStr">
        <is>
          <t>Cría de animales</t>
        </is>
      </c>
      <c r="C15" s="31" t="n">
        <v>536110.5731291812</v>
      </c>
      <c r="D15" s="31" t="n">
        <v>1638617.254130774</v>
      </c>
      <c r="E15" s="31" t="n">
        <v>0</v>
      </c>
      <c r="F15" s="31" t="n">
        <v>362543.224977104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2007062.446435297</v>
      </c>
      <c r="O15" s="31" t="n">
        <v>0</v>
      </c>
      <c r="P15" s="31" t="n">
        <v>0</v>
      </c>
      <c r="Q15" s="31" t="n">
        <v>708.7112077522931</v>
      </c>
      <c r="R15" s="31" t="n">
        <v>13718330.96289121</v>
      </c>
      <c r="S15" s="31" t="n">
        <v>0</v>
      </c>
      <c r="T15" s="31" t="n">
        <v>0</v>
      </c>
      <c r="U15" s="31" t="n">
        <v>130259.1763589959</v>
      </c>
      <c r="V15" s="31" t="n">
        <v>0</v>
      </c>
      <c r="W15" s="31" t="n">
        <v>16188.44665745005</v>
      </c>
      <c r="X15" s="31" t="n">
        <v>82116.27661601503</v>
      </c>
      <c r="Y15" s="31" t="n">
        <v>654702.9051048895</v>
      </c>
      <c r="Z15" s="31" t="n">
        <v>0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252465.3433815303</v>
      </c>
      <c r="AF15" s="31" t="n">
        <v>10718.97821343876</v>
      </c>
      <c r="AG15" s="31" t="n">
        <v>2171368.887156205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101881.5684872078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3.832623341524309</v>
      </c>
      <c r="BO15" s="31" t="n">
        <v>0</v>
      </c>
      <c r="BP15" s="31" t="n">
        <v>178.0465769646671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16572.93200236139</v>
      </c>
      <c r="BV15" s="31" t="n">
        <v>206593.0082512744</v>
      </c>
      <c r="BW15" s="31" t="n">
        <v>0</v>
      </c>
      <c r="BX15" s="31" t="n">
        <v>4083.721995374806</v>
      </c>
      <c r="BY15" s="31" t="n">
        <v>1457713.949572713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1447.258273229033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545.5915316580474</v>
      </c>
      <c r="CT15" s="31" t="n">
        <v>498.185066684365</v>
      </c>
      <c r="CU15" s="31" t="n">
        <v>311466.0520215642</v>
      </c>
      <c r="CV15" s="31" t="n">
        <v>26578.44510396607</v>
      </c>
      <c r="CW15" s="31" t="n">
        <v>36.87054888720016</v>
      </c>
      <c r="CX15" s="31" t="n">
        <v>626.5996376745298</v>
      </c>
      <c r="CY15" s="31" t="n">
        <v>28978.3258541517</v>
      </c>
      <c r="CZ15" s="31" t="n">
        <v>348.6806087725318</v>
      </c>
      <c r="DA15" s="31" t="n">
        <v>0</v>
      </c>
      <c r="DB15" s="31" t="n">
        <v>48841.81038502018</v>
      </c>
      <c r="DC15" s="31" t="n">
        <v>3.172257728080695</v>
      </c>
      <c r="DD15" s="31" t="n">
        <v>0</v>
      </c>
      <c r="DE15" s="31" t="n">
        <v>0</v>
      </c>
      <c r="DF15" s="31">
        <f>SUM(C15:DE15)</f>
        <v/>
      </c>
      <c r="DG15" s="31" t="n">
        <v>0</v>
      </c>
      <c r="DH15" s="31" t="n">
        <v>0</v>
      </c>
      <c r="DI15" s="31" t="n">
        <v>0</v>
      </c>
      <c r="DJ15" s="31" t="n">
        <v>0</v>
      </c>
      <c r="DK15" s="31">
        <f>SUM(DG15:DJ15)</f>
        <v/>
      </c>
      <c r="DL15" s="31">
        <f>DF15+DK15</f>
        <v/>
      </c>
    </row>
    <row r="16">
      <c r="A16" s="28" t="inlineStr">
        <is>
          <t>015</t>
        </is>
      </c>
      <c r="B16" s="28" t="inlineStr">
        <is>
          <t>Caza, repoblación de animales de caza y servicios conexos</t>
        </is>
      </c>
      <c r="C16" s="29" t="n">
        <v>0</v>
      </c>
      <c r="D16" s="29" t="n">
        <v>5968.531828926923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4715.672355922839</v>
      </c>
      <c r="O16" s="29" t="n">
        <v>0</v>
      </c>
      <c r="P16" s="29" t="n">
        <v>0</v>
      </c>
      <c r="Q16" s="29" t="n">
        <v>0</v>
      </c>
      <c r="R16" s="29" t="n">
        <v>472413.6289561584</v>
      </c>
      <c r="S16" s="29" t="n">
        <v>0</v>
      </c>
      <c r="T16" s="29" t="n">
        <v>0</v>
      </c>
      <c r="U16" s="29" t="n">
        <v>4485.692200826189</v>
      </c>
      <c r="V16" s="29" t="n">
        <v>0</v>
      </c>
      <c r="W16" s="29" t="n">
        <v>557.4761866655965</v>
      </c>
      <c r="X16" s="29" t="n">
        <v>2827.811075376156</v>
      </c>
      <c r="Y16" s="29" t="n">
        <v>22545.7875397078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8694.065580948416</v>
      </c>
      <c r="AF16" s="29" t="n">
        <v>369.1259097196606</v>
      </c>
      <c r="AG16" s="29" t="n">
        <v>74774.71264972082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3507.640643989355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0.1319827831890992</v>
      </c>
      <c r="BO16" s="29" t="n">
        <v>0</v>
      </c>
      <c r="BP16" s="29" t="n">
        <v>6.131331119990225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570.7165814017611</v>
      </c>
      <c r="BV16" s="29" t="n">
        <v>7114.375138561679</v>
      </c>
      <c r="BW16" s="29" t="n">
        <v>0</v>
      </c>
      <c r="BX16" s="29" t="n">
        <v>130.4094125945397</v>
      </c>
      <c r="BY16" s="29" t="n">
        <v>50198.81345336229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49.8387547831006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6.068831791953029</v>
      </c>
      <c r="CT16" s="29" t="n">
        <v>5.541510810811565</v>
      </c>
      <c r="CU16" s="29" t="n">
        <v>0</v>
      </c>
      <c r="CV16" s="29" t="n">
        <v>295.6426250558514</v>
      </c>
      <c r="CW16" s="29" t="n">
        <v>0</v>
      </c>
      <c r="CX16" s="29" t="n">
        <v>17.89553828219717</v>
      </c>
      <c r="CY16" s="29" t="n">
        <v>997.9170290369412</v>
      </c>
      <c r="CZ16" s="29" t="n">
        <v>9.409332742466789</v>
      </c>
      <c r="DA16" s="29" t="n">
        <v>0</v>
      </c>
      <c r="DB16" s="29" t="n">
        <v>554.618303088513</v>
      </c>
      <c r="DC16" s="29" t="n">
        <v>0</v>
      </c>
      <c r="DD16" s="29" t="n">
        <v>0</v>
      </c>
      <c r="DE16" s="29" t="n">
        <v>0</v>
      </c>
      <c r="DF16" s="29">
        <f>SUM(C16:DE16)</f>
        <v/>
      </c>
      <c r="DG16" s="29" t="n">
        <v>0</v>
      </c>
      <c r="DH16" s="29" t="n">
        <v>0</v>
      </c>
      <c r="DI16" s="29" t="n">
        <v>0</v>
      </c>
      <c r="DJ16" s="29" t="n">
        <v>0</v>
      </c>
      <c r="DK16" s="29">
        <f>SUM(DG16:DJ16)</f>
        <v/>
      </c>
      <c r="DL16" s="29">
        <f>DF16+DK16</f>
        <v/>
      </c>
    </row>
    <row r="17">
      <c r="A17" s="30" t="inlineStr">
        <is>
          <t>016</t>
        </is>
      </c>
      <c r="B17" s="30" t="inlineStr">
        <is>
          <t>Construcciones agropecuarias</t>
        </is>
      </c>
      <c r="C17" s="31" t="n">
        <v>0</v>
      </c>
      <c r="D17" s="31" t="n">
        <v>0</v>
      </c>
      <c r="E17" s="31" t="n">
        <v>0</v>
      </c>
      <c r="F17" s="31" t="n">
        <v>0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0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0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0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0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97.33574931351268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0</v>
      </c>
      <c r="CV17" s="31" t="n">
        <v>0</v>
      </c>
      <c r="CW17" s="31" t="n">
        <v>0</v>
      </c>
      <c r="CX17" s="31" t="n">
        <v>0</v>
      </c>
      <c r="CY17" s="31" t="n">
        <v>0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>
        <f>SUM(C17:DE17)</f>
        <v/>
      </c>
      <c r="DG17" s="31" t="n">
        <v>0</v>
      </c>
      <c r="DH17" s="31" t="n">
        <v>0</v>
      </c>
      <c r="DI17" s="31" t="n">
        <v>0</v>
      </c>
      <c r="DJ17" s="31" t="n">
        <v>0</v>
      </c>
      <c r="DK17" s="31">
        <f>SUM(DG17:DJ17)</f>
        <v/>
      </c>
      <c r="DL17" s="31">
        <f>DF17+DK17</f>
        <v/>
      </c>
    </row>
    <row r="18">
      <c r="A18" s="28" t="inlineStr">
        <is>
          <t>020</t>
        </is>
      </c>
      <c r="B18" s="28" t="inlineStr">
        <is>
          <t>Silvicultura, extracción de madera y servicios conexos</t>
        </is>
      </c>
      <c r="C18" s="29" t="n">
        <v>184844.8864210928</v>
      </c>
      <c r="D18" s="29" t="n">
        <v>352528.582225872</v>
      </c>
      <c r="E18" s="29" t="n">
        <v>0</v>
      </c>
      <c r="F18" s="29" t="n">
        <v>531302.4338070183</v>
      </c>
      <c r="G18" s="29" t="n">
        <v>1056.354162012305</v>
      </c>
      <c r="H18" s="29" t="n">
        <v>178.7626100267222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255.4239715730376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6051.953697853026</v>
      </c>
      <c r="Z18" s="29" t="n">
        <v>142.5835643862628</v>
      </c>
      <c r="AA18" s="29" t="n">
        <v>49211.33221580776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13339.13657597318</v>
      </c>
      <c r="AI18" s="29" t="n">
        <v>698545.6543573933</v>
      </c>
      <c r="AJ18" s="29" t="n">
        <v>452346.5109660289</v>
      </c>
      <c r="AK18" s="29" t="n">
        <v>37.99200251162681</v>
      </c>
      <c r="AL18" s="29" t="n">
        <v>0</v>
      </c>
      <c r="AM18" s="29" t="n">
        <v>0</v>
      </c>
      <c r="AN18" s="29" t="n">
        <v>26000.18997050285</v>
      </c>
      <c r="AO18" s="29" t="n">
        <v>0.8926013528168711</v>
      </c>
      <c r="AP18" s="29" t="n">
        <v>0</v>
      </c>
      <c r="AQ18" s="29" t="n">
        <v>21990.91418206159</v>
      </c>
      <c r="AR18" s="29" t="n">
        <v>102494.474258816</v>
      </c>
      <c r="AS18" s="29" t="n">
        <v>408.1455966672692</v>
      </c>
      <c r="AT18" s="29" t="n">
        <v>160.9030121737978</v>
      </c>
      <c r="AU18" s="29" t="n">
        <v>26561.54254516802</v>
      </c>
      <c r="AV18" s="29" t="n">
        <v>0</v>
      </c>
      <c r="AW18" s="29" t="n">
        <v>0</v>
      </c>
      <c r="AX18" s="29" t="n">
        <v>0</v>
      </c>
      <c r="AY18" s="29" t="n">
        <v>27.29992047850063</v>
      </c>
      <c r="AZ18" s="29" t="n">
        <v>13.59912300437683</v>
      </c>
      <c r="BA18" s="29" t="n">
        <v>3395.001038591309</v>
      </c>
      <c r="BB18" s="29" t="n">
        <v>136.4620245892255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14.44259947181488</v>
      </c>
      <c r="BK18" s="29" t="n">
        <v>0</v>
      </c>
      <c r="BL18" s="29" t="n">
        <v>4732.076710730669</v>
      </c>
      <c r="BM18" s="29" t="n">
        <v>633.6527240124909</v>
      </c>
      <c r="BN18" s="29" t="n">
        <v>20241.96195867813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4616.064628880095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90.36219123335989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248.9235215889534</v>
      </c>
      <c r="CT18" s="29" t="n">
        <v>227.294549138684</v>
      </c>
      <c r="CU18" s="29" t="n">
        <v>94831.34559361146</v>
      </c>
      <c r="CV18" s="29" t="n">
        <v>12126.28820233328</v>
      </c>
      <c r="CW18" s="29" t="n">
        <v>11.18488311822627</v>
      </c>
      <c r="CX18" s="29" t="n">
        <v>32.55808382845281</v>
      </c>
      <c r="CY18" s="29" t="n">
        <v>0</v>
      </c>
      <c r="CZ18" s="29" t="n">
        <v>22.51383808575408</v>
      </c>
      <c r="DA18" s="29" t="n">
        <v>0</v>
      </c>
      <c r="DB18" s="29" t="n">
        <v>12092.80276654332</v>
      </c>
      <c r="DC18" s="29" t="n">
        <v>0.04320597915328685</v>
      </c>
      <c r="DD18" s="29" t="n">
        <v>0</v>
      </c>
      <c r="DE18" s="29" t="n">
        <v>0</v>
      </c>
      <c r="DF18" s="29">
        <f>SUM(C18:DE18)</f>
        <v/>
      </c>
      <c r="DG18" s="29" t="n">
        <v>0</v>
      </c>
      <c r="DH18" s="29" t="n">
        <v>0</v>
      </c>
      <c r="DI18" s="29" t="n">
        <v>0</v>
      </c>
      <c r="DJ18" s="29" t="n">
        <v>0</v>
      </c>
      <c r="DK18" s="29">
        <f>SUM(DG18:DJ18)</f>
        <v/>
      </c>
      <c r="DL18" s="29">
        <f>DF18+DK18</f>
        <v/>
      </c>
    </row>
    <row r="19">
      <c r="A19" s="30" t="inlineStr">
        <is>
          <t>050</t>
        </is>
      </c>
      <c r="B19" s="30" t="inlineStr">
        <is>
          <t>Pesca</t>
        </is>
      </c>
      <c r="C19" s="31" t="n">
        <v>0</v>
      </c>
      <c r="D19" s="31" t="n">
        <v>0</v>
      </c>
      <c r="E19" s="31" t="n">
        <v>0</v>
      </c>
      <c r="F19" s="31" t="n">
        <v>0</v>
      </c>
      <c r="G19" s="31" t="n">
        <v>0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12166.24126345967</v>
      </c>
      <c r="O19" s="31" t="n">
        <v>361550.4684541847</v>
      </c>
      <c r="P19" s="31" t="n">
        <v>0</v>
      </c>
      <c r="Q19" s="31" t="n">
        <v>0</v>
      </c>
      <c r="R19" s="31" t="n">
        <v>0</v>
      </c>
      <c r="S19" s="31" t="n">
        <v>68.05674473432477</v>
      </c>
      <c r="T19" s="31" t="n">
        <v>79810.33657051474</v>
      </c>
      <c r="U19" s="31" t="n">
        <v>4866.496505383877</v>
      </c>
      <c r="V19" s="31" t="n">
        <v>0</v>
      </c>
      <c r="W19" s="31" t="n">
        <v>0</v>
      </c>
      <c r="X19" s="31" t="n">
        <v>0</v>
      </c>
      <c r="Y19" s="31" t="n">
        <v>36498.72379037903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0</v>
      </c>
      <c r="AE19" s="31" t="n">
        <v>0</v>
      </c>
      <c r="AF19" s="31" t="n">
        <v>0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2485.676082059259</v>
      </c>
      <c r="AR19" s="31" t="n">
        <v>0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</v>
      </c>
      <c r="AZ19" s="31" t="n">
        <v>0</v>
      </c>
      <c r="BA19" s="31" t="n">
        <v>0</v>
      </c>
      <c r="BB19" s="31" t="n">
        <v>0</v>
      </c>
      <c r="BC19" s="31" t="n">
        <v>0</v>
      </c>
      <c r="BD19" s="31" t="n">
        <v>0</v>
      </c>
      <c r="BE19" s="31" t="n">
        <v>0</v>
      </c>
      <c r="BF19" s="31" t="n">
        <v>0</v>
      </c>
      <c r="BG19" s="31" t="n">
        <v>0</v>
      </c>
      <c r="BH19" s="31" t="n">
        <v>0</v>
      </c>
      <c r="BI19" s="31" t="n">
        <v>0</v>
      </c>
      <c r="BJ19" s="31" t="n">
        <v>0</v>
      </c>
      <c r="BK19" s="31" t="n">
        <v>0</v>
      </c>
      <c r="BL19" s="31" t="n">
        <v>0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0</v>
      </c>
      <c r="BR19" s="31" t="n">
        <v>0</v>
      </c>
      <c r="BS19" s="31" t="n">
        <v>0</v>
      </c>
      <c r="BT19" s="31" t="n">
        <v>0</v>
      </c>
      <c r="BU19" s="31" t="n">
        <v>0</v>
      </c>
      <c r="BV19" s="31" t="n">
        <v>0</v>
      </c>
      <c r="BW19" s="31" t="n">
        <v>0</v>
      </c>
      <c r="BX19" s="31" t="n">
        <v>4779.629542762776</v>
      </c>
      <c r="BY19" s="31" t="n">
        <v>416409.7545374411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0</v>
      </c>
      <c r="CF19" s="31" t="n">
        <v>0</v>
      </c>
      <c r="CG19" s="31" t="n">
        <v>0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0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>
        <f>SUM(C19:DE19)</f>
        <v/>
      </c>
      <c r="DG19" s="31" t="n">
        <v>0</v>
      </c>
      <c r="DH19" s="31" t="n">
        <v>0</v>
      </c>
      <c r="DI19" s="31" t="n">
        <v>0</v>
      </c>
      <c r="DJ19" s="31" t="n">
        <v>0</v>
      </c>
      <c r="DK19" s="31">
        <f>SUM(DG19:DJ19)</f>
        <v/>
      </c>
      <c r="DL19" s="31">
        <f>DF19+DK19</f>
        <v/>
      </c>
    </row>
    <row r="20">
      <c r="A20" s="28" t="inlineStr">
        <is>
          <t>101</t>
        </is>
      </c>
      <c r="B20" s="28" t="inlineStr">
        <is>
          <t>Extracción y aglomeración de carbón de piedra</t>
        </is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5169165.379347747</v>
      </c>
      <c r="AW20" s="29" t="n">
        <v>0</v>
      </c>
      <c r="AX20" s="29" t="n">
        <v>140430.3317242508</v>
      </c>
      <c r="AY20" s="29" t="n">
        <v>0</v>
      </c>
      <c r="AZ20" s="29" t="n">
        <v>2885.994046825434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67979.79868494003</v>
      </c>
      <c r="BM20" s="29" t="n">
        <v>0</v>
      </c>
      <c r="BN20" s="29" t="n">
        <v>0</v>
      </c>
      <c r="BO20" s="29" t="n">
        <v>0</v>
      </c>
      <c r="BP20" s="29" t="n">
        <v>2935480.752237572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0</v>
      </c>
      <c r="CY20" s="29" t="n">
        <v>0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>
        <f>SUM(C20:DE20)</f>
        <v/>
      </c>
      <c r="DG20" s="29" t="n">
        <v>0</v>
      </c>
      <c r="DH20" s="29" t="n">
        <v>0</v>
      </c>
      <c r="DI20" s="29" t="n">
        <v>0</v>
      </c>
      <c r="DJ20" s="29" t="n">
        <v>0</v>
      </c>
      <c r="DK20" s="29">
        <f>SUM(DG20:DJ20)</f>
        <v/>
      </c>
      <c r="DL20" s="29">
        <f>DF20+DK20</f>
        <v/>
      </c>
    </row>
    <row r="21">
      <c r="A21" s="30" t="inlineStr">
        <is>
          <t>111</t>
        </is>
      </c>
      <c r="B21" s="30" t="inlineStr">
        <is>
          <t>Extracción de petróleo crudo y gas natural.</t>
        </is>
      </c>
      <c r="C21" s="31" t="n">
        <v>-530292.3726035726</v>
      </c>
      <c r="D21" s="31" t="n">
        <v>-57050.62895032942</v>
      </c>
      <c r="E21" s="31" t="n">
        <v>0</v>
      </c>
      <c r="F21" s="31" t="n">
        <v>0</v>
      </c>
      <c r="G21" s="31" t="n">
        <v>0</v>
      </c>
      <c r="H21" s="31" t="n">
        <v>1336.569632782531</v>
      </c>
      <c r="I21" s="31" t="n">
        <v>167.2931621293506</v>
      </c>
      <c r="J21" s="31" t="n">
        <v>21948.50978858</v>
      </c>
      <c r="K21" s="31" t="n">
        <v>11387.49382225459</v>
      </c>
      <c r="L21" s="31" t="n">
        <v>1985.728234157822</v>
      </c>
      <c r="M21" s="31" t="n">
        <v>1871.709497621591</v>
      </c>
      <c r="N21" s="31" t="n">
        <v>-28080.36360389004</v>
      </c>
      <c r="O21" s="31" t="n">
        <v>-10339.83575331668</v>
      </c>
      <c r="P21" s="31" t="n">
        <v>-3315.797600849407</v>
      </c>
      <c r="Q21" s="31" t="n">
        <v>-77986.7101953419</v>
      </c>
      <c r="R21" s="31" t="n">
        <v>-13284.44496440926</v>
      </c>
      <c r="S21" s="31" t="n">
        <v>-15425.61678092378</v>
      </c>
      <c r="T21" s="31" t="n">
        <v>-26907.00386361295</v>
      </c>
      <c r="U21" s="31" t="n">
        <v>-8781.508392901378</v>
      </c>
      <c r="V21" s="31" t="n">
        <v>-2647.723336195058</v>
      </c>
      <c r="W21" s="31" t="n">
        <v>-5862.047147712635</v>
      </c>
      <c r="X21" s="31" t="n">
        <v>-3014.260113107751</v>
      </c>
      <c r="Y21" s="31" t="n">
        <v>-43734.02855429918</v>
      </c>
      <c r="Z21" s="31" t="n">
        <v>-6553.143843688482</v>
      </c>
      <c r="AA21" s="31" t="n">
        <v>-14497.8838432082</v>
      </c>
      <c r="AB21" s="31" t="n">
        <v>-1876.744218264641</v>
      </c>
      <c r="AC21" s="31" t="n">
        <v>-3025.148557223614</v>
      </c>
      <c r="AD21" s="31" t="n">
        <v>-11.94438808878694</v>
      </c>
      <c r="AE21" s="31" t="n">
        <v>-2738.44980456706</v>
      </c>
      <c r="AF21" s="31" t="n">
        <v>-9741.661764676162</v>
      </c>
      <c r="AG21" s="31" t="n">
        <v>-3939.164239250646</v>
      </c>
      <c r="AH21" s="31" t="n">
        <v>-379.2198840994747</v>
      </c>
      <c r="AI21" s="31" t="n">
        <v>-1428.284095717444</v>
      </c>
      <c r="AJ21" s="31" t="n">
        <v>-5825.669105984983</v>
      </c>
      <c r="AK21" s="31" t="n">
        <v>-6909.828294082435</v>
      </c>
      <c r="AL21" s="31" t="n">
        <v>-1438.20787244084</v>
      </c>
      <c r="AM21" s="31" t="n">
        <v>15483626.55282606</v>
      </c>
      <c r="AN21" s="31" t="n">
        <v>2370013.592012329</v>
      </c>
      <c r="AO21" s="31" t="n">
        <v>3297470.014461809</v>
      </c>
      <c r="AP21" s="31" t="n">
        <v>834024.7153642606</v>
      </c>
      <c r="AQ21" s="31" t="n">
        <v>-31484.91585239541</v>
      </c>
      <c r="AR21" s="31" t="n">
        <v>-1767.261646896881</v>
      </c>
      <c r="AS21" s="31" t="n">
        <v>-3885.836457964425</v>
      </c>
      <c r="AT21" s="31" t="n">
        <v>5449.272606842444</v>
      </c>
      <c r="AU21" s="31" t="n">
        <v>34011.0919275601</v>
      </c>
      <c r="AV21" s="31" t="n">
        <v>-12270.10238448191</v>
      </c>
      <c r="AW21" s="31" t="n">
        <v>496753.0628795843</v>
      </c>
      <c r="AX21" s="31" t="n">
        <v>-778.4194223965744</v>
      </c>
      <c r="AY21" s="31" t="n">
        <v>-110.6775883836262</v>
      </c>
      <c r="AZ21" s="31" t="n">
        <v>5219.985881484671</v>
      </c>
      <c r="BA21" s="31" t="n">
        <v>-3646.94751583485</v>
      </c>
      <c r="BB21" s="31" t="n">
        <v>-10919.24446589148</v>
      </c>
      <c r="BC21" s="31" t="n">
        <v>-1705.833596057622</v>
      </c>
      <c r="BD21" s="31" t="n">
        <v>-285.5586777870968</v>
      </c>
      <c r="BE21" s="31" t="n">
        <v>-1415.598250854701</v>
      </c>
      <c r="BF21" s="31" t="n">
        <v>-889.9489653727577</v>
      </c>
      <c r="BG21" s="31" t="n">
        <v>-6.0638573372363</v>
      </c>
      <c r="BH21" s="31" t="n">
        <v>169.6157382869263</v>
      </c>
      <c r="BI21" s="31" t="n">
        <v>-71.7322748006909</v>
      </c>
      <c r="BJ21" s="31" t="n">
        <v>-1658.148844415624</v>
      </c>
      <c r="BK21" s="31" t="n">
        <v>-67657.563231929</v>
      </c>
      <c r="BL21" s="31" t="n">
        <v>-1153.713014303022</v>
      </c>
      <c r="BM21" s="31" t="n">
        <v>-919.8447088824574</v>
      </c>
      <c r="BN21" s="31" t="n">
        <v>6336.720691777235</v>
      </c>
      <c r="BO21" s="31" t="n">
        <v>-2967.562878232303</v>
      </c>
      <c r="BP21" s="31" t="n">
        <v>33598192.12912203</v>
      </c>
      <c r="BQ21" s="31" t="n">
        <v>34037786.85546933</v>
      </c>
      <c r="BR21" s="31" t="n">
        <v>29620.77389338739</v>
      </c>
      <c r="BS21" s="31" t="n">
        <v>20780.99858931798</v>
      </c>
      <c r="BT21" s="31" t="n">
        <v>27507.49976470262</v>
      </c>
      <c r="BU21" s="31" t="n">
        <v>79297.57948503149</v>
      </c>
      <c r="BV21" s="31" t="n">
        <v>118351.5156499346</v>
      </c>
      <c r="BW21" s="31" t="n">
        <v>0</v>
      </c>
      <c r="BX21" s="31" t="n">
        <v>7490.742718888275</v>
      </c>
      <c r="BY21" s="31" t="n">
        <v>14672.44878896048</v>
      </c>
      <c r="BZ21" s="31" t="n">
        <v>7228.458675760771</v>
      </c>
      <c r="CA21" s="31" t="n">
        <v>132875.5387077456</v>
      </c>
      <c r="CB21" s="31" t="n">
        <v>28595.25460648315</v>
      </c>
      <c r="CC21" s="31" t="n">
        <v>627.670493592823</v>
      </c>
      <c r="CD21" s="31" t="n">
        <v>15314.71441733895</v>
      </c>
      <c r="CE21" s="31" t="n">
        <v>72264.9870927692</v>
      </c>
      <c r="CF21" s="31" t="n">
        <v>150.4320788764278</v>
      </c>
      <c r="CG21" s="31" t="n">
        <v>-9113.176669120268</v>
      </c>
      <c r="CH21" s="31" t="n">
        <v>-496689.0521671912</v>
      </c>
      <c r="CI21" s="31" t="n">
        <v>2069.557764372345</v>
      </c>
      <c r="CJ21" s="31" t="n">
        <v>100.2075445292483</v>
      </c>
      <c r="CK21" s="31" t="n">
        <v>5847.801635942814</v>
      </c>
      <c r="CL21" s="31" t="n">
        <v>18543.3376598699</v>
      </c>
      <c r="CM21" s="31" t="n">
        <v>1901.657319066426</v>
      </c>
      <c r="CN21" s="31" t="n">
        <v>342010.9574034774</v>
      </c>
      <c r="CO21" s="31" t="n">
        <v>153619.5379861582</v>
      </c>
      <c r="CP21" s="31" t="n">
        <v>2900.701540785665</v>
      </c>
      <c r="CQ21" s="31" t="n">
        <v>2235.817135256665</v>
      </c>
      <c r="CR21" s="31" t="n">
        <v>-43058.53007310411</v>
      </c>
      <c r="CS21" s="31" t="n">
        <v>5723.572937330332</v>
      </c>
      <c r="CT21" s="31" t="n">
        <v>5226.251508690703</v>
      </c>
      <c r="CU21" s="31" t="n">
        <v>16246.74176801963</v>
      </c>
      <c r="CV21" s="31" t="n">
        <v>278823.3692907185</v>
      </c>
      <c r="CW21" s="31" t="n">
        <v>117456.0134613725</v>
      </c>
      <c r="CX21" s="31" t="n">
        <v>12646.86301746583</v>
      </c>
      <c r="CY21" s="31" t="n">
        <v>90398.68326538835</v>
      </c>
      <c r="CZ21" s="31" t="n">
        <v>39871.780660943</v>
      </c>
      <c r="DA21" s="31" t="n">
        <v>10523.94230339047</v>
      </c>
      <c r="DB21" s="31" t="n">
        <v>22426.25344695881</v>
      </c>
      <c r="DC21" s="31" t="n">
        <v>-126795.3642109548</v>
      </c>
      <c r="DD21" s="31" t="n">
        <v>4715.046304494</v>
      </c>
      <c r="DE21" s="31" t="n">
        <v>0</v>
      </c>
      <c r="DF21" s="31">
        <f>SUM(C21:DE21)</f>
        <v/>
      </c>
      <c r="DG21" s="31" t="n">
        <v>0</v>
      </c>
      <c r="DH21" s="31" t="n">
        <v>0</v>
      </c>
      <c r="DI21" s="31" t="n">
        <v>0</v>
      </c>
      <c r="DJ21" s="31" t="n">
        <v>0</v>
      </c>
      <c r="DK21" s="31">
        <f>SUM(DG21:DJ21)</f>
        <v/>
      </c>
      <c r="DL21" s="31">
        <f>DF21+DK21</f>
        <v/>
      </c>
    </row>
    <row r="22">
      <c r="A22" s="28" t="inlineStr">
        <is>
          <t>112</t>
        </is>
      </c>
      <c r="B22" s="28" t="inlineStr">
        <is>
          <t>Actividades de servicios relacionadas con la extracción de petróleo y gas excepto las act. de prospección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1598.985885246864</v>
      </c>
      <c r="J22" s="29" t="n">
        <v>7873493.466831982</v>
      </c>
      <c r="K22" s="29" t="n">
        <v>0</v>
      </c>
      <c r="L22" s="29" t="n">
        <v>0</v>
      </c>
      <c r="M22" s="29" t="n">
        <v>54555.31874547666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0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</v>
      </c>
      <c r="BR22" s="29" t="n">
        <v>0</v>
      </c>
      <c r="BS22" s="29" t="n">
        <v>41731.98136726557</v>
      </c>
      <c r="BT22" s="29" t="n">
        <v>0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 t="n">
        <v>0</v>
      </c>
      <c r="CU22" s="29" t="n">
        <v>312530.9349329332</v>
      </c>
      <c r="CV22" s="29" t="n">
        <v>0</v>
      </c>
      <c r="CW22" s="29" t="n">
        <v>0</v>
      </c>
      <c r="CX22" s="29" t="n">
        <v>0</v>
      </c>
      <c r="CY22" s="29" t="n">
        <v>0</v>
      </c>
      <c r="CZ22" s="29" t="n">
        <v>0</v>
      </c>
      <c r="DA22" s="29" t="n">
        <v>0</v>
      </c>
      <c r="DB22" s="29" t="n">
        <v>0</v>
      </c>
      <c r="DC22" s="29" t="n">
        <v>0</v>
      </c>
      <c r="DD22" s="29" t="n">
        <v>0</v>
      </c>
      <c r="DE22" s="29" t="n">
        <v>0</v>
      </c>
      <c r="DF22" s="29">
        <f>SUM(C22:DE22)</f>
        <v/>
      </c>
      <c r="DG22" s="29" t="n">
        <v>0</v>
      </c>
      <c r="DH22" s="29" t="n">
        <v>0</v>
      </c>
      <c r="DI22" s="29" t="n">
        <v>0</v>
      </c>
      <c r="DJ22" s="29" t="n">
        <v>0</v>
      </c>
      <c r="DK22" s="29">
        <f>SUM(DG22:DJ22)</f>
        <v/>
      </c>
      <c r="DL22" s="29">
        <f>DF22+DK22</f>
        <v/>
      </c>
    </row>
    <row r="23">
      <c r="A23" s="30" t="inlineStr">
        <is>
          <t>132</t>
        </is>
      </c>
      <c r="B23" s="30" t="inlineStr">
        <is>
          <t>Extracción de minerales metalíferos no ferrosos, excepto los minerales de uranio y torio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253283.6287217801</v>
      </c>
      <c r="M23" s="31" t="n">
        <v>0</v>
      </c>
      <c r="N23" s="31" t="n">
        <v>0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283.1235321151025</v>
      </c>
      <c r="AK23" s="31" t="n">
        <v>0</v>
      </c>
      <c r="AL23" s="31" t="n">
        <v>0</v>
      </c>
      <c r="AM23" s="31" t="n">
        <v>112914.7852726807</v>
      </c>
      <c r="AN23" s="31" t="n">
        <v>4317.795276063043</v>
      </c>
      <c r="AO23" s="31" t="n">
        <v>0</v>
      </c>
      <c r="AP23" s="31" t="n">
        <v>0</v>
      </c>
      <c r="AQ23" s="31" t="n">
        <v>59138.80724105868</v>
      </c>
      <c r="AR23" s="31" t="n">
        <v>0</v>
      </c>
      <c r="AS23" s="31" t="n">
        <v>0</v>
      </c>
      <c r="AT23" s="31" t="n">
        <v>399.429532758516</v>
      </c>
      <c r="AU23" s="31" t="n">
        <v>18307.95994032541</v>
      </c>
      <c r="AV23" s="31" t="n">
        <v>18302.74589929444</v>
      </c>
      <c r="AW23" s="31" t="n">
        <v>263446.9615091309</v>
      </c>
      <c r="AX23" s="31" t="n">
        <v>57178.44090862968</v>
      </c>
      <c r="AY23" s="31" t="n">
        <v>0.2303581379524253</v>
      </c>
      <c r="AZ23" s="31" t="n">
        <v>6741.458729354694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64.18307234426084</v>
      </c>
      <c r="BH23" s="31" t="n">
        <v>0</v>
      </c>
      <c r="BI23" s="31" t="n">
        <v>0</v>
      </c>
      <c r="BJ23" s="31" t="n">
        <v>142.4914265342522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3846.68174758341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14357.9583892157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>
        <f>SUM(C23:DE23)</f>
        <v/>
      </c>
      <c r="DG23" s="31" t="n">
        <v>0</v>
      </c>
      <c r="DH23" s="31" t="n">
        <v>0</v>
      </c>
      <c r="DI23" s="31" t="n">
        <v>0</v>
      </c>
      <c r="DJ23" s="31" t="n">
        <v>0</v>
      </c>
      <c r="DK23" s="31">
        <f>SUM(DG23:DJ23)</f>
        <v/>
      </c>
      <c r="DL23" s="31">
        <f>DF23+DK23</f>
        <v/>
      </c>
    </row>
    <row r="24">
      <c r="A24" s="28" t="inlineStr">
        <is>
          <t>141/142</t>
        </is>
      </c>
      <c r="B24" s="28" t="inlineStr">
        <is>
          <t>Extracción de piedra arena y arcilla. Explotación de minas y canteras n.c.p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5.046185662755326</v>
      </c>
      <c r="I24" s="29" t="n">
        <v>0</v>
      </c>
      <c r="J24" s="29" t="n">
        <v>876995.4362412839</v>
      </c>
      <c r="K24" s="29" t="n">
        <v>0</v>
      </c>
      <c r="L24" s="29" t="n">
        <v>124.7750614698245</v>
      </c>
      <c r="M24" s="29" t="n">
        <v>155322.4564546876</v>
      </c>
      <c r="N24" s="29" t="n">
        <v>3097.733262233676</v>
      </c>
      <c r="O24" s="29" t="n">
        <v>461.5865082241494</v>
      </c>
      <c r="P24" s="29" t="n">
        <v>6820.707897704116</v>
      </c>
      <c r="Q24" s="29" t="n">
        <v>25369.68493043815</v>
      </c>
      <c r="R24" s="29" t="n">
        <v>91930.72464125608</v>
      </c>
      <c r="S24" s="29" t="n">
        <v>95305.8562741183</v>
      </c>
      <c r="T24" s="29" t="n">
        <v>377526.1810559563</v>
      </c>
      <c r="U24" s="29" t="n">
        <v>9085.681480543581</v>
      </c>
      <c r="V24" s="29" t="n">
        <v>13394.90368109982</v>
      </c>
      <c r="W24" s="29" t="n">
        <v>32293.53612742819</v>
      </c>
      <c r="X24" s="29" t="n">
        <v>1585.647675702835</v>
      </c>
      <c r="Y24" s="29" t="n">
        <v>284850.3677095611</v>
      </c>
      <c r="Z24" s="29" t="n">
        <v>0</v>
      </c>
      <c r="AA24" s="29" t="n">
        <v>122417.5897286745</v>
      </c>
      <c r="AB24" s="29" t="n">
        <v>0</v>
      </c>
      <c r="AC24" s="29" t="n">
        <v>520.3156726509305</v>
      </c>
      <c r="AD24" s="29" t="n">
        <v>0</v>
      </c>
      <c r="AE24" s="29" t="n">
        <v>27773.58363320156</v>
      </c>
      <c r="AF24" s="29" t="n">
        <v>6923.952125144688</v>
      </c>
      <c r="AG24" s="29" t="n">
        <v>10971.04496466761</v>
      </c>
      <c r="AH24" s="29" t="n">
        <v>33.47569827611913</v>
      </c>
      <c r="AI24" s="29" t="n">
        <v>0</v>
      </c>
      <c r="AJ24" s="29" t="n">
        <v>73739.70223194073</v>
      </c>
      <c r="AK24" s="29" t="n">
        <v>0</v>
      </c>
      <c r="AL24" s="29" t="n">
        <v>0</v>
      </c>
      <c r="AM24" s="29" t="n">
        <v>239.6978228116188</v>
      </c>
      <c r="AN24" s="29" t="n">
        <v>268657.0698342032</v>
      </c>
      <c r="AO24" s="29" t="n">
        <v>1284.408188955541</v>
      </c>
      <c r="AP24" s="29" t="n">
        <v>1062.500264382774</v>
      </c>
      <c r="AQ24" s="29" t="n">
        <v>387777.0485959122</v>
      </c>
      <c r="AR24" s="29" t="n">
        <v>4660.387633950108</v>
      </c>
      <c r="AS24" s="29" t="n">
        <v>7367.59997557076</v>
      </c>
      <c r="AT24" s="29" t="n">
        <v>226972.0800463918</v>
      </c>
      <c r="AU24" s="29" t="n">
        <v>8978538.524193108</v>
      </c>
      <c r="AV24" s="29" t="n">
        <v>234343.0493835031</v>
      </c>
      <c r="AW24" s="29" t="n">
        <v>21493.62663429234</v>
      </c>
      <c r="AX24" s="29" t="n">
        <v>236623.4754260194</v>
      </c>
      <c r="AY24" s="29" t="n">
        <v>862.203530180425</v>
      </c>
      <c r="AZ24" s="29" t="n">
        <v>12095.71725801145</v>
      </c>
      <c r="BA24" s="29" t="n">
        <v>2.021899913226717</v>
      </c>
      <c r="BB24" s="29" t="n">
        <v>16.36650181206262</v>
      </c>
      <c r="BC24" s="29" t="n">
        <v>0</v>
      </c>
      <c r="BD24" s="29" t="n">
        <v>0</v>
      </c>
      <c r="BE24" s="29" t="n">
        <v>851.5047542185243</v>
      </c>
      <c r="BF24" s="29" t="n">
        <v>350.6165089920755</v>
      </c>
      <c r="BG24" s="29" t="n">
        <v>15.40504603528632</v>
      </c>
      <c r="BH24" s="29" t="n">
        <v>0</v>
      </c>
      <c r="BI24" s="29" t="n">
        <v>0</v>
      </c>
      <c r="BJ24" s="29" t="n">
        <v>305.3508412729245</v>
      </c>
      <c r="BK24" s="29" t="n">
        <v>2.348343394546952</v>
      </c>
      <c r="BL24" s="29" t="n">
        <v>140672.7518775038</v>
      </c>
      <c r="BM24" s="29" t="n">
        <v>12624.87185845749</v>
      </c>
      <c r="BN24" s="29" t="n">
        <v>13533.31729453196</v>
      </c>
      <c r="BO24" s="29" t="n">
        <v>2528.690997857512</v>
      </c>
      <c r="BP24" s="29" t="n">
        <v>4.826496753716681</v>
      </c>
      <c r="BQ24" s="29" t="n">
        <v>0</v>
      </c>
      <c r="BR24" s="29" t="n">
        <v>0</v>
      </c>
      <c r="BS24" s="29" t="n">
        <v>11864340.14370259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542.6030442820841</v>
      </c>
      <c r="BY24" s="29" t="n">
        <v>98621.34862461239</v>
      </c>
      <c r="BZ24" s="29" t="n">
        <v>0</v>
      </c>
      <c r="CA24" s="29" t="n">
        <v>0</v>
      </c>
      <c r="CB24" s="29" t="n">
        <v>0</v>
      </c>
      <c r="CC24" s="29" t="n">
        <v>0</v>
      </c>
      <c r="CD24" s="29" t="n">
        <v>0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926694.7728390282</v>
      </c>
      <c r="CO24" s="29" t="n">
        <v>579102.7894436099</v>
      </c>
      <c r="CP24" s="29" t="n">
        <v>0</v>
      </c>
      <c r="CQ24" s="29" t="n">
        <v>0</v>
      </c>
      <c r="CR24" s="29" t="n">
        <v>0</v>
      </c>
      <c r="CS24" s="29" t="n">
        <v>8319.385841441499</v>
      </c>
      <c r="CT24" s="29" t="n">
        <v>7596.514149690192</v>
      </c>
      <c r="CU24" s="29" t="n">
        <v>0</v>
      </c>
      <c r="CV24" s="29" t="n">
        <v>405278.174339502</v>
      </c>
      <c r="CW24" s="29" t="n">
        <v>11.55126415620807</v>
      </c>
      <c r="CX24" s="29" t="n">
        <v>2968.407662883816</v>
      </c>
      <c r="CY24" s="29" t="n">
        <v>29.14675577504447</v>
      </c>
      <c r="CZ24" s="29" t="n">
        <v>3162.225224926922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>
        <f>SUM(C24:DE24)</f>
        <v/>
      </c>
      <c r="DG24" s="29" t="n">
        <v>0</v>
      </c>
      <c r="DH24" s="29" t="n">
        <v>0</v>
      </c>
      <c r="DI24" s="29" t="n">
        <v>0</v>
      </c>
      <c r="DJ24" s="29" t="n">
        <v>0</v>
      </c>
      <c r="DK24" s="29">
        <f>SUM(DG24:DJ24)</f>
        <v/>
      </c>
      <c r="DL24" s="29">
        <f>DF24+DK24</f>
        <v/>
      </c>
    </row>
    <row r="25">
      <c r="A25" s="30" t="inlineStr">
        <is>
          <t>1511</t>
        </is>
      </c>
      <c r="B25" s="30" t="inlineStr">
        <is>
          <t>Producción, procesamiento y conservación de carne y productos cárnicos</t>
        </is>
      </c>
      <c r="C25" s="31" t="n">
        <v>-136556.3543225832</v>
      </c>
      <c r="D25" s="31" t="n">
        <v>82669.93477342236</v>
      </c>
      <c r="E25" s="31" t="n">
        <v>0</v>
      </c>
      <c r="F25" s="31" t="n">
        <v>0</v>
      </c>
      <c r="G25" s="31" t="n">
        <v>0</v>
      </c>
      <c r="H25" s="31" t="n">
        <v>25.74644439435421</v>
      </c>
      <c r="I25" s="31" t="n">
        <v>0.139526052701505</v>
      </c>
      <c r="J25" s="31" t="n">
        <v>484.7231425562947</v>
      </c>
      <c r="K25" s="31" t="n">
        <v>1442.895837620149</v>
      </c>
      <c r="L25" s="31" t="n">
        <v>11.70969891720631</v>
      </c>
      <c r="M25" s="31" t="n">
        <v>4.867967295891577</v>
      </c>
      <c r="N25" s="31" t="n">
        <v>8097907.149036233</v>
      </c>
      <c r="O25" s="31" t="n">
        <v>-816.1493471582419</v>
      </c>
      <c r="P25" s="31" t="n">
        <v>3730.990744823182</v>
      </c>
      <c r="Q25" s="31" t="n">
        <v>469902.6070354307</v>
      </c>
      <c r="R25" s="31" t="n">
        <v>7704623.494689023</v>
      </c>
      <c r="S25" s="31" t="n">
        <v>-3832.043797659439</v>
      </c>
      <c r="T25" s="31" t="n">
        <v>2117989.338162569</v>
      </c>
      <c r="U25" s="31" t="n">
        <v>174223.6668816018</v>
      </c>
      <c r="V25" s="31" t="n">
        <v>595.3220691247575</v>
      </c>
      <c r="W25" s="31" t="n">
        <v>23034.85397125506</v>
      </c>
      <c r="X25" s="31" t="n">
        <v>199421.8989270774</v>
      </c>
      <c r="Y25" s="31" t="n">
        <v>423756.9772624157</v>
      </c>
      <c r="Z25" s="31" t="n">
        <v>-1465.093390272748</v>
      </c>
      <c r="AA25" s="31" t="n">
        <v>-3440.67627316922</v>
      </c>
      <c r="AB25" s="31" t="n">
        <v>-165.8700638481969</v>
      </c>
      <c r="AC25" s="31" t="n">
        <v>-162.2126618562089</v>
      </c>
      <c r="AD25" s="31" t="n">
        <v>3556.558877071409</v>
      </c>
      <c r="AE25" s="31" t="n">
        <v>143407.6750958957</v>
      </c>
      <c r="AF25" s="31" t="n">
        <v>4652.989566554214</v>
      </c>
      <c r="AG25" s="31" t="n">
        <v>1220231.780276728</v>
      </c>
      <c r="AH25" s="31" t="n">
        <v>1421.793571917115</v>
      </c>
      <c r="AI25" s="31" t="n">
        <v>-365.1049941551585</v>
      </c>
      <c r="AJ25" s="31" t="n">
        <v>99009.99250319219</v>
      </c>
      <c r="AK25" s="31" t="n">
        <v>1743.363819469617</v>
      </c>
      <c r="AL25" s="31" t="n">
        <v>56.60505037029714</v>
      </c>
      <c r="AM25" s="31" t="n">
        <v>-42922.45687318615</v>
      </c>
      <c r="AN25" s="31" t="n">
        <v>7597.192458952099</v>
      </c>
      <c r="AO25" s="31" t="n">
        <v>-850.9650627283996</v>
      </c>
      <c r="AP25" s="31" t="n">
        <v>-94.59743282799536</v>
      </c>
      <c r="AQ25" s="31" t="n">
        <v>197881.9013553869</v>
      </c>
      <c r="AR25" s="31" t="n">
        <v>608.3493507570531</v>
      </c>
      <c r="AS25" s="31" t="n">
        <v>2848.821937876143</v>
      </c>
      <c r="AT25" s="31" t="n">
        <v>429.5487476442794</v>
      </c>
      <c r="AU25" s="31" t="n">
        <v>2038.129839088679</v>
      </c>
      <c r="AV25" s="31" t="n">
        <v>116327.4526755196</v>
      </c>
      <c r="AW25" s="31" t="n">
        <v>71010.37378456072</v>
      </c>
      <c r="AX25" s="31" t="n">
        <v>112620.5630402746</v>
      </c>
      <c r="AY25" s="31" t="n">
        <v>-218.7603975669682</v>
      </c>
      <c r="AZ25" s="31" t="n">
        <v>19241.21552000934</v>
      </c>
      <c r="BA25" s="31" t="n">
        <v>-607.4543286342442</v>
      </c>
      <c r="BB25" s="31" t="n">
        <v>-3045.229536036659</v>
      </c>
      <c r="BC25" s="31" t="n">
        <v>-40.21977088077222</v>
      </c>
      <c r="BD25" s="31" t="n">
        <v>-51.54061216676927</v>
      </c>
      <c r="BE25" s="31" t="n">
        <v>73.49041579417583</v>
      </c>
      <c r="BF25" s="31" t="n">
        <v>13098.11502342239</v>
      </c>
      <c r="BG25" s="31" t="n">
        <v>624.9416454542384</v>
      </c>
      <c r="BH25" s="31" t="n">
        <v>2679.599328923587</v>
      </c>
      <c r="BI25" s="31" t="n">
        <v>3.017801166607954</v>
      </c>
      <c r="BJ25" s="31" t="n">
        <v>-183.5639518446091</v>
      </c>
      <c r="BK25" s="31" t="n">
        <v>-13194.72877998853</v>
      </c>
      <c r="BL25" s="31" t="n">
        <v>2085.410819430298</v>
      </c>
      <c r="BM25" s="31" t="n">
        <v>8.085259268619527</v>
      </c>
      <c r="BN25" s="31" t="n">
        <v>409.0823090282538</v>
      </c>
      <c r="BO25" s="31" t="n">
        <v>93750.80484805958</v>
      </c>
      <c r="BP25" s="31" t="n">
        <v>466.1817185922912</v>
      </c>
      <c r="BQ25" s="31" t="n">
        <v>56.46237729083481</v>
      </c>
      <c r="BR25" s="31" t="n">
        <v>13.59201102123171</v>
      </c>
      <c r="BS25" s="31" t="n">
        <v>114.9752400404883</v>
      </c>
      <c r="BT25" s="31" t="n">
        <v>2330.60047309099</v>
      </c>
      <c r="BU25" s="31" t="n">
        <v>12580.79024165</v>
      </c>
      <c r="BV25" s="31" t="n">
        <v>124935.7297560911</v>
      </c>
      <c r="BW25" s="31" t="n">
        <v>0.02128232764658541</v>
      </c>
      <c r="BX25" s="31" t="n">
        <v>198991.249183419</v>
      </c>
      <c r="BY25" s="31" t="n">
        <v>38196497.22310643</v>
      </c>
      <c r="BZ25" s="31" t="n">
        <v>28.52947842539437</v>
      </c>
      <c r="CA25" s="31" t="n">
        <v>64.53386601713528</v>
      </c>
      <c r="CB25" s="31" t="n">
        <v>376.1532263514808</v>
      </c>
      <c r="CC25" s="31" t="n">
        <v>1.173837173455339</v>
      </c>
      <c r="CD25" s="31" t="n">
        <v>98.06293008456255</v>
      </c>
      <c r="CE25" s="31" t="n">
        <v>69.40813725230296</v>
      </c>
      <c r="CF25" s="31" t="n">
        <v>-861.9682295561543</v>
      </c>
      <c r="CG25" s="31" t="n">
        <v>12478.90252668176</v>
      </c>
      <c r="CH25" s="31" t="n">
        <v>-161419.3816983673</v>
      </c>
      <c r="CI25" s="31" t="n">
        <v>5764.523352212317</v>
      </c>
      <c r="CJ25" s="31" t="n">
        <v>2925.757983382373</v>
      </c>
      <c r="CK25" s="31" t="n">
        <v>325.4397418819195</v>
      </c>
      <c r="CL25" s="31" t="n">
        <v>1166.214590084558</v>
      </c>
      <c r="CM25" s="31" t="n">
        <v>121.8420667286938</v>
      </c>
      <c r="CN25" s="31" t="n">
        <v>11.01151764350016</v>
      </c>
      <c r="CO25" s="31" t="n">
        <v>4.945994320659516</v>
      </c>
      <c r="CP25" s="31" t="n">
        <v>33.07716145717193</v>
      </c>
      <c r="CQ25" s="31" t="n">
        <v>-291.231372421445</v>
      </c>
      <c r="CR25" s="31" t="n">
        <v>9724.68259594749</v>
      </c>
      <c r="CS25" s="31" t="n">
        <v>73445.50531761843</v>
      </c>
      <c r="CT25" s="31" t="n">
        <v>67063.82310064408</v>
      </c>
      <c r="CU25" s="31" t="n">
        <v>-2529.541666346279</v>
      </c>
      <c r="CV25" s="31" t="n">
        <v>3579088.702158664</v>
      </c>
      <c r="CW25" s="31" t="n">
        <v>8493.063001132139</v>
      </c>
      <c r="CX25" s="31" t="n">
        <v>455825.7781876768</v>
      </c>
      <c r="CY25" s="31" t="n">
        <v>277129.8250757055</v>
      </c>
      <c r="CZ25" s="31" t="n">
        <v>772204.6925007787</v>
      </c>
      <c r="DA25" s="31" t="n">
        <v>-74.94641000450734</v>
      </c>
      <c r="DB25" s="31" t="n">
        <v>131504.575005551</v>
      </c>
      <c r="DC25" s="31" t="n">
        <v>-14975.73145513431</v>
      </c>
      <c r="DD25" s="31" t="n">
        <v>149.9028293408729</v>
      </c>
      <c r="DE25" s="31" t="n">
        <v>0</v>
      </c>
      <c r="DF25" s="31">
        <f>SUM(C25:DE25)</f>
        <v/>
      </c>
      <c r="DG25" s="31" t="n">
        <v>0</v>
      </c>
      <c r="DH25" s="31" t="n">
        <v>0</v>
      </c>
      <c r="DI25" s="31" t="n">
        <v>0</v>
      </c>
      <c r="DJ25" s="31" t="n">
        <v>0</v>
      </c>
      <c r="DK25" s="31">
        <f>SUM(DG25:DJ25)</f>
        <v/>
      </c>
      <c r="DL25" s="31">
        <f>DF25+DK25</f>
        <v/>
      </c>
    </row>
    <row r="26">
      <c r="A26" s="28" t="inlineStr">
        <is>
          <t>1512</t>
        </is>
      </c>
      <c r="B26" s="28" t="inlineStr">
        <is>
          <t>Elaboración de pescado y productos de pescado</t>
        </is>
      </c>
      <c r="C26" s="29" t="n">
        <v>-103577.2328141096</v>
      </c>
      <c r="D26" s="29" t="n">
        <v>-11140.24206185272</v>
      </c>
      <c r="E26" s="29" t="n">
        <v>0</v>
      </c>
      <c r="F26" s="29" t="n">
        <v>0</v>
      </c>
      <c r="G26" s="29" t="n">
        <v>0</v>
      </c>
      <c r="H26" s="29" t="n">
        <v>3866.534800011498</v>
      </c>
      <c r="I26" s="29" t="n">
        <v>63.33060982634462</v>
      </c>
      <c r="J26" s="29" t="n">
        <v>10832.51940841096</v>
      </c>
      <c r="K26" s="29" t="n">
        <v>33887.88839092542</v>
      </c>
      <c r="L26" s="29" t="n">
        <v>5700.108273088726</v>
      </c>
      <c r="M26" s="29" t="n">
        <v>2102.892725956787</v>
      </c>
      <c r="N26" s="29" t="n">
        <v>-3886.254155830151</v>
      </c>
      <c r="O26" s="29" t="n">
        <v>310568.8935147531</v>
      </c>
      <c r="P26" s="29" t="n">
        <v>62.48915193938547</v>
      </c>
      <c r="Q26" s="29" t="n">
        <v>-14548.718572594</v>
      </c>
      <c r="R26" s="29" t="n">
        <v>-490.0006391102384</v>
      </c>
      <c r="S26" s="29" t="n">
        <v>-2704.855568937611</v>
      </c>
      <c r="T26" s="29" t="n">
        <v>51591.60850335397</v>
      </c>
      <c r="U26" s="29" t="n">
        <v>-927.6548503850274</v>
      </c>
      <c r="V26" s="29" t="n">
        <v>-428.4999419361664</v>
      </c>
      <c r="W26" s="29" t="n">
        <v>-987.6313610971321</v>
      </c>
      <c r="X26" s="29" t="n">
        <v>-465.7773356344164</v>
      </c>
      <c r="Y26" s="29" t="n">
        <v>-6117.721083123076</v>
      </c>
      <c r="Z26" s="29" t="n">
        <v>-808.970393028668</v>
      </c>
      <c r="AA26" s="29" t="n">
        <v>-2302.358370583849</v>
      </c>
      <c r="AB26" s="29" t="n">
        <v>30.90829632072068</v>
      </c>
      <c r="AC26" s="29" t="n">
        <v>956.3602222972737</v>
      </c>
      <c r="AD26" s="29" t="n">
        <v>141.9499260336187</v>
      </c>
      <c r="AE26" s="29" t="n">
        <v>270.1998720677836</v>
      </c>
      <c r="AF26" s="29" t="n">
        <v>-1745.219901794264</v>
      </c>
      <c r="AG26" s="29" t="n">
        <v>-557.8130400853474</v>
      </c>
      <c r="AH26" s="29" t="n">
        <v>-28.02314291324372</v>
      </c>
      <c r="AI26" s="29" t="n">
        <v>360.6663763728364</v>
      </c>
      <c r="AJ26" s="29" t="n">
        <v>42.32818853214257</v>
      </c>
      <c r="AK26" s="29" t="n">
        <v>-664.8852219726533</v>
      </c>
      <c r="AL26" s="29" t="n">
        <v>925.869794995497</v>
      </c>
      <c r="AM26" s="29" t="n">
        <v>-30190.75452900918</v>
      </c>
      <c r="AN26" s="29" t="n">
        <v>-2469.594578594223</v>
      </c>
      <c r="AO26" s="29" t="n">
        <v>-665.4616211624123</v>
      </c>
      <c r="AP26" s="29" t="n">
        <v>-566.1052446534653</v>
      </c>
      <c r="AQ26" s="29" t="n">
        <v>-4136.03360768696</v>
      </c>
      <c r="AR26" s="29" t="n">
        <v>-48.89303381014015</v>
      </c>
      <c r="AS26" s="29" t="n">
        <v>-667.7750690507285</v>
      </c>
      <c r="AT26" s="29" t="n">
        <v>239.5035016936525</v>
      </c>
      <c r="AU26" s="29" t="n">
        <v>2528.138673403461</v>
      </c>
      <c r="AV26" s="29" t="n">
        <v>-753.8891574142681</v>
      </c>
      <c r="AW26" s="29" t="n">
        <v>-531.5218808618885</v>
      </c>
      <c r="AX26" s="29" t="n">
        <v>-13.19402924810628</v>
      </c>
      <c r="AY26" s="29" t="n">
        <v>481.0317432297527</v>
      </c>
      <c r="AZ26" s="29" t="n">
        <v>94.87316867581941</v>
      </c>
      <c r="BA26" s="29" t="n">
        <v>-271.4906094685746</v>
      </c>
      <c r="BB26" s="29" t="n">
        <v>-485.2254294381057</v>
      </c>
      <c r="BC26" s="29" t="n">
        <v>-218.4641149393058</v>
      </c>
      <c r="BD26" s="29" t="n">
        <v>-45.0680949265205</v>
      </c>
      <c r="BE26" s="29" t="n">
        <v>-173.2083540668472</v>
      </c>
      <c r="BF26" s="29" t="n">
        <v>-110.5164534101179</v>
      </c>
      <c r="BG26" s="29" t="n">
        <v>121.4682693963929</v>
      </c>
      <c r="BH26" s="29" t="n">
        <v>965.2870832717334</v>
      </c>
      <c r="BI26" s="29" t="n">
        <v>-7.186685430696163</v>
      </c>
      <c r="BJ26" s="29" t="n">
        <v>-231.8798231577182</v>
      </c>
      <c r="BK26" s="29" t="n">
        <v>-9947.418721618336</v>
      </c>
      <c r="BL26" s="29" t="n">
        <v>231.0577038303151</v>
      </c>
      <c r="BM26" s="29" t="n">
        <v>76.64740456619467</v>
      </c>
      <c r="BN26" s="29" t="n">
        <v>-405.4770344818183</v>
      </c>
      <c r="BO26" s="29" t="n">
        <v>-269.2320137029221</v>
      </c>
      <c r="BP26" s="29" t="n">
        <v>10054.56972119663</v>
      </c>
      <c r="BQ26" s="29" t="n">
        <v>3763.745474191262</v>
      </c>
      <c r="BR26" s="29" t="n">
        <v>1000.767878376839</v>
      </c>
      <c r="BS26" s="29" t="n">
        <v>57946.85852913051</v>
      </c>
      <c r="BT26" s="29" t="n">
        <v>18649.1679960103</v>
      </c>
      <c r="BU26" s="29" t="n">
        <v>27078.81468701922</v>
      </c>
      <c r="BV26" s="29" t="n">
        <v>14580.99644346532</v>
      </c>
      <c r="BW26" s="29" t="n">
        <v>0.01319480425748994</v>
      </c>
      <c r="BX26" s="29" t="n">
        <v>39330.75109879478</v>
      </c>
      <c r="BY26" s="29" t="n">
        <v>1232687.498569468</v>
      </c>
      <c r="BZ26" s="29" t="n">
        <v>409.6654576222373</v>
      </c>
      <c r="CA26" s="29" t="n">
        <v>12557.60394608732</v>
      </c>
      <c r="CB26" s="29" t="n">
        <v>13.82598212684697</v>
      </c>
      <c r="CC26" s="29" t="n">
        <v>389.597360062623</v>
      </c>
      <c r="CD26" s="29" t="n">
        <v>44146.41346830183</v>
      </c>
      <c r="CE26" s="29" t="n">
        <v>12671.76963078426</v>
      </c>
      <c r="CF26" s="29" t="n">
        <v>109.1944485256706</v>
      </c>
      <c r="CG26" s="29" t="n">
        <v>10577.32812931808</v>
      </c>
      <c r="CH26" s="29" t="n">
        <v>-3897.93967174567</v>
      </c>
      <c r="CI26" s="29" t="n">
        <v>3990.705540437245</v>
      </c>
      <c r="CJ26" s="29" t="n">
        <v>530.7720767147132</v>
      </c>
      <c r="CK26" s="29" t="n">
        <v>14514.31123938843</v>
      </c>
      <c r="CL26" s="29" t="n">
        <v>6242.810949367677</v>
      </c>
      <c r="CM26" s="29" t="n">
        <v>1623.701753440098</v>
      </c>
      <c r="CN26" s="29" t="n">
        <v>0</v>
      </c>
      <c r="CO26" s="29" t="n">
        <v>0</v>
      </c>
      <c r="CP26" s="29" t="n">
        <v>1035.916268382764</v>
      </c>
      <c r="CQ26" s="29" t="n">
        <v>391.5933521896054</v>
      </c>
      <c r="CR26" s="29" t="n">
        <v>8305.776087866983</v>
      </c>
      <c r="CS26" s="29" t="n">
        <v>644.8060447525511</v>
      </c>
      <c r="CT26" s="29" t="n">
        <v>588.7788276832472</v>
      </c>
      <c r="CU26" s="29" t="n">
        <v>10067.78878904278</v>
      </c>
      <c r="CV26" s="29" t="n">
        <v>31411.67167877257</v>
      </c>
      <c r="CW26" s="29" t="n">
        <v>1354.579323936924</v>
      </c>
      <c r="CX26" s="29" t="n">
        <v>4167.781139442901</v>
      </c>
      <c r="CY26" s="29" t="n">
        <v>54726.30650485208</v>
      </c>
      <c r="CZ26" s="29" t="n">
        <v>91331.45118269738</v>
      </c>
      <c r="DA26" s="29" t="n">
        <v>11477.53987874605</v>
      </c>
      <c r="DB26" s="29" t="n">
        <v>1089.535072878355</v>
      </c>
      <c r="DC26" s="29" t="n">
        <v>-13126.91112160029</v>
      </c>
      <c r="DD26" s="29" t="n">
        <v>11.37204935978253</v>
      </c>
      <c r="DE26" s="29" t="n">
        <v>0</v>
      </c>
      <c r="DF26" s="29">
        <f>SUM(C26:DE26)</f>
        <v/>
      </c>
      <c r="DG26" s="29" t="n">
        <v>0</v>
      </c>
      <c r="DH26" s="29" t="n">
        <v>0</v>
      </c>
      <c r="DI26" s="29" t="n">
        <v>0</v>
      </c>
      <c r="DJ26" s="29" t="n">
        <v>0</v>
      </c>
      <c r="DK26" s="29">
        <f>SUM(DG26:DJ26)</f>
        <v/>
      </c>
      <c r="DL26" s="29">
        <f>DF26+DK26</f>
        <v/>
      </c>
    </row>
    <row r="27">
      <c r="A27" s="30" t="inlineStr">
        <is>
          <t>1513</t>
        </is>
      </c>
      <c r="B27" s="30" t="inlineStr">
        <is>
          <t>Preparación de frutas, hortalizas y legumbres</t>
        </is>
      </c>
      <c r="C27" s="31" t="n">
        <v>-162926.2802769995</v>
      </c>
      <c r="D27" s="31" t="n">
        <v>-16838.71802267243</v>
      </c>
      <c r="E27" s="31" t="n">
        <v>0</v>
      </c>
      <c r="F27" s="31" t="n">
        <v>0</v>
      </c>
      <c r="G27" s="31" t="n">
        <v>0</v>
      </c>
      <c r="H27" s="31" t="n">
        <v>4371.468735862394</v>
      </c>
      <c r="I27" s="31" t="n">
        <v>0.5608240530818615</v>
      </c>
      <c r="J27" s="31" t="n">
        <v>90.94750003895879</v>
      </c>
      <c r="K27" s="31" t="n">
        <v>36.53069678065329</v>
      </c>
      <c r="L27" s="31" t="n">
        <v>22981.82527809864</v>
      </c>
      <c r="M27" s="31" t="n">
        <v>4045.448905452562</v>
      </c>
      <c r="N27" s="31" t="n">
        <v>-4577.170638738486</v>
      </c>
      <c r="O27" s="31" t="n">
        <v>-3258.923095949957</v>
      </c>
      <c r="P27" s="31" t="n">
        <v>347600.135239905</v>
      </c>
      <c r="Q27" s="31" t="n">
        <v>56205.69110726906</v>
      </c>
      <c r="R27" s="31" t="n">
        <v>26788.16944284252</v>
      </c>
      <c r="S27" s="31" t="n">
        <v>1989.452522169593</v>
      </c>
      <c r="T27" s="31" t="n">
        <v>291857.7350806986</v>
      </c>
      <c r="U27" s="31" t="n">
        <v>68663.85279200785</v>
      </c>
      <c r="V27" s="31" t="n">
        <v>-550.6620554731235</v>
      </c>
      <c r="W27" s="31" t="n">
        <v>13398.71454652005</v>
      </c>
      <c r="X27" s="31" t="n">
        <v>13568.18430120131</v>
      </c>
      <c r="Y27" s="31" t="n">
        <v>1279605.46498444</v>
      </c>
      <c r="Z27" s="31" t="n">
        <v>-252.3405280499862</v>
      </c>
      <c r="AA27" s="31" t="n">
        <v>110008.9301373408</v>
      </c>
      <c r="AB27" s="31" t="n">
        <v>-547.4698381019516</v>
      </c>
      <c r="AC27" s="31" t="n">
        <v>671941.7809644758</v>
      </c>
      <c r="AD27" s="31" t="n">
        <v>3978.040235355599</v>
      </c>
      <c r="AE27" s="31" t="n">
        <v>4264.193369511305</v>
      </c>
      <c r="AF27" s="31" t="n">
        <v>-1831.202322392652</v>
      </c>
      <c r="AG27" s="31" t="n">
        <v>-241.59306184841</v>
      </c>
      <c r="AH27" s="31" t="n">
        <v>2960.359872529667</v>
      </c>
      <c r="AI27" s="31" t="n">
        <v>8730.64022232668</v>
      </c>
      <c r="AJ27" s="31" t="n">
        <v>50245.932868139</v>
      </c>
      <c r="AK27" s="31" t="n">
        <v>-518.2739264788124</v>
      </c>
      <c r="AL27" s="31" t="n">
        <v>3629.106001160344</v>
      </c>
      <c r="AM27" s="31" t="n">
        <v>-20927.79083542957</v>
      </c>
      <c r="AN27" s="31" t="n">
        <v>16662.03613064816</v>
      </c>
      <c r="AO27" s="31" t="n">
        <v>-163.637745755721</v>
      </c>
      <c r="AP27" s="31" t="n">
        <v>15933.01469187742</v>
      </c>
      <c r="AQ27" s="31" t="n">
        <v>105577.9509509</v>
      </c>
      <c r="AR27" s="31" t="n">
        <v>4149.071829699899</v>
      </c>
      <c r="AS27" s="31" t="n">
        <v>2730.135022171037</v>
      </c>
      <c r="AT27" s="31" t="n">
        <v>393.9022359002739</v>
      </c>
      <c r="AU27" s="31" t="n">
        <v>2280.921317465375</v>
      </c>
      <c r="AV27" s="31" t="n">
        <v>29230.09357868749</v>
      </c>
      <c r="AW27" s="31" t="n">
        <v>13528.25868998632</v>
      </c>
      <c r="AX27" s="31" t="n">
        <v>24998.28693785041</v>
      </c>
      <c r="AY27" s="31" t="n">
        <v>-843.5301670223977</v>
      </c>
      <c r="AZ27" s="31" t="n">
        <v>9879.337963328086</v>
      </c>
      <c r="BA27" s="31" t="n">
        <v>9.944486127829805</v>
      </c>
      <c r="BB27" s="31" t="n">
        <v>-5217.417292941473</v>
      </c>
      <c r="BC27" s="31" t="n">
        <v>-358.975858799716</v>
      </c>
      <c r="BD27" s="31" t="n">
        <v>-85.3793373006868</v>
      </c>
      <c r="BE27" s="31" t="n">
        <v>-107.6010351089195</v>
      </c>
      <c r="BF27" s="31" t="n">
        <v>2314.517027452502</v>
      </c>
      <c r="BG27" s="31" t="n">
        <v>325.2081527621742</v>
      </c>
      <c r="BH27" s="31" t="n">
        <v>640.8401193481743</v>
      </c>
      <c r="BI27" s="31" t="n">
        <v>9.04290823188521</v>
      </c>
      <c r="BJ27" s="31" t="n">
        <v>-346.4362302508994</v>
      </c>
      <c r="BK27" s="31" t="n">
        <v>-19716.17491823757</v>
      </c>
      <c r="BL27" s="31" t="n">
        <v>4683.861694633517</v>
      </c>
      <c r="BM27" s="31" t="n">
        <v>-229.1150015205333</v>
      </c>
      <c r="BN27" s="31" t="n">
        <v>3132.560660512706</v>
      </c>
      <c r="BO27" s="31" t="n">
        <v>17401.89520082346</v>
      </c>
      <c r="BP27" s="31" t="n">
        <v>158.2107449495395</v>
      </c>
      <c r="BQ27" s="31" t="n">
        <v>44.18720632220465</v>
      </c>
      <c r="BR27" s="31" t="n">
        <v>17.94488616999601</v>
      </c>
      <c r="BS27" s="31" t="n">
        <v>570.7874868176087</v>
      </c>
      <c r="BT27" s="31" t="n">
        <v>242.0070696150825</v>
      </c>
      <c r="BU27" s="31" t="n">
        <v>671.9169971459545</v>
      </c>
      <c r="BV27" s="31" t="n">
        <v>1247.398203618155</v>
      </c>
      <c r="BW27" s="31" t="n">
        <v>8.271562933925079</v>
      </c>
      <c r="BX27" s="31" t="n">
        <v>4763.931142354838</v>
      </c>
      <c r="BY27" s="31" t="n">
        <v>360832.8245201247</v>
      </c>
      <c r="BZ27" s="31" t="n">
        <v>8.833181302045784</v>
      </c>
      <c r="CA27" s="31" t="n">
        <v>146.7544626196376</v>
      </c>
      <c r="CB27" s="31" t="n">
        <v>46.40271023082478</v>
      </c>
      <c r="CC27" s="31" t="n">
        <v>3.508195760336952</v>
      </c>
      <c r="CD27" s="31" t="n">
        <v>352.0918116395287</v>
      </c>
      <c r="CE27" s="31" t="n">
        <v>116.5980593142853</v>
      </c>
      <c r="CF27" s="31" t="n">
        <v>-957.4779944614204</v>
      </c>
      <c r="CG27" s="31" t="n">
        <v>-5374.852243830081</v>
      </c>
      <c r="CH27" s="31" t="n">
        <v>-207901.4221112516</v>
      </c>
      <c r="CI27" s="31" t="n">
        <v>-317.3891441318206</v>
      </c>
      <c r="CJ27" s="31" t="n">
        <v>127.3750020111949</v>
      </c>
      <c r="CK27" s="31" t="n">
        <v>146.9030210947147</v>
      </c>
      <c r="CL27" s="31" t="n">
        <v>439.41356679806</v>
      </c>
      <c r="CM27" s="31" t="n">
        <v>-13.30676519701669</v>
      </c>
      <c r="CN27" s="31" t="n">
        <v>148.2913685574781</v>
      </c>
      <c r="CO27" s="31" t="n">
        <v>76.66031375172953</v>
      </c>
      <c r="CP27" s="31" t="n">
        <v>12.18160970343526</v>
      </c>
      <c r="CQ27" s="31" t="n">
        <v>-542.5912981469454</v>
      </c>
      <c r="CR27" s="31" t="n">
        <v>-16608.50147989772</v>
      </c>
      <c r="CS27" s="31" t="n">
        <v>2276.317678032223</v>
      </c>
      <c r="CT27" s="31" t="n">
        <v>2078.528364945445</v>
      </c>
      <c r="CU27" s="31" t="n">
        <v>-17005.26804473786</v>
      </c>
      <c r="CV27" s="31" t="n">
        <v>110919.5759456205</v>
      </c>
      <c r="CW27" s="31" t="n">
        <v>-222.8629144823728</v>
      </c>
      <c r="CX27" s="31" t="n">
        <v>3675.160522905026</v>
      </c>
      <c r="CY27" s="31" t="n">
        <v>213805.1745217843</v>
      </c>
      <c r="CZ27" s="31" t="n">
        <v>408983.643070152</v>
      </c>
      <c r="DA27" s="31" t="n">
        <v>-120.4198385430697</v>
      </c>
      <c r="DB27" s="31" t="n">
        <v>17154.37613598177</v>
      </c>
      <c r="DC27" s="31" t="n">
        <v>-41796.02819090548</v>
      </c>
      <c r="DD27" s="31" t="n">
        <v>16.26779307756228</v>
      </c>
      <c r="DE27" s="31" t="n">
        <v>0</v>
      </c>
      <c r="DF27" s="31">
        <f>SUM(C27:DE27)</f>
        <v/>
      </c>
      <c r="DG27" s="31" t="n">
        <v>0</v>
      </c>
      <c r="DH27" s="31" t="n">
        <v>0</v>
      </c>
      <c r="DI27" s="31" t="n">
        <v>0</v>
      </c>
      <c r="DJ27" s="31" t="n">
        <v>0</v>
      </c>
      <c r="DK27" s="31">
        <f>SUM(DG27:DJ27)</f>
        <v/>
      </c>
      <c r="DL27" s="31">
        <f>DF27+DK27</f>
        <v/>
      </c>
    </row>
    <row r="28">
      <c r="A28" s="28" t="inlineStr">
        <is>
          <t>1514</t>
        </is>
      </c>
      <c r="B28" s="28" t="inlineStr">
        <is>
          <t>Elaboración de aceites y grasas de origen vegetal</t>
        </is>
      </c>
      <c r="C28" s="29" t="n">
        <v>-2833971.047508505</v>
      </c>
      <c r="D28" s="29" t="n">
        <v>-304701.5792942645</v>
      </c>
      <c r="E28" s="29" t="n">
        <v>0</v>
      </c>
      <c r="F28" s="29" t="n">
        <v>0</v>
      </c>
      <c r="G28" s="29" t="n">
        <v>0</v>
      </c>
      <c r="H28" s="29" t="n">
        <v>1185.75300471621</v>
      </c>
      <c r="I28" s="29" t="n">
        <v>0.7471251906596575</v>
      </c>
      <c r="J28" s="29" t="n">
        <v>327.912209026918</v>
      </c>
      <c r="K28" s="29" t="n">
        <v>-3703.671788557455</v>
      </c>
      <c r="L28" s="29" t="n">
        <v>32870.85733359554</v>
      </c>
      <c r="M28" s="29" t="n">
        <v>5771.076259487099</v>
      </c>
      <c r="N28" s="29" t="n">
        <v>41394.30044150629</v>
      </c>
      <c r="O28" s="29" t="n">
        <v>-15497.90839755418</v>
      </c>
      <c r="P28" s="29" t="n">
        <v>107110.1829349551</v>
      </c>
      <c r="Q28" s="29" t="n">
        <v>12438309.69650339</v>
      </c>
      <c r="R28" s="29" t="n">
        <v>-30080.68012333757</v>
      </c>
      <c r="S28" s="29" t="n">
        <v>-78802.17800281748</v>
      </c>
      <c r="T28" s="29" t="n">
        <v>2130220.525054729</v>
      </c>
      <c r="U28" s="29" t="n">
        <v>2494504.044106288</v>
      </c>
      <c r="V28" s="29" t="n">
        <v>-12128.62769765748</v>
      </c>
      <c r="W28" s="29" t="n">
        <v>383191.4191690259</v>
      </c>
      <c r="X28" s="29" t="n">
        <v>219266.1164238755</v>
      </c>
      <c r="Y28" s="29" t="n">
        <v>1259333.258784568</v>
      </c>
      <c r="Z28" s="29" t="n">
        <v>-33448.97939952405</v>
      </c>
      <c r="AA28" s="29" t="n">
        <v>-71150.90708076987</v>
      </c>
      <c r="AB28" s="29" t="n">
        <v>-8224.475768682536</v>
      </c>
      <c r="AC28" s="29" t="n">
        <v>-1978.775596350848</v>
      </c>
      <c r="AD28" s="29" t="n">
        <v>7166.274917685832</v>
      </c>
      <c r="AE28" s="29" t="n">
        <v>-7376.64636459113</v>
      </c>
      <c r="AF28" s="29" t="n">
        <v>-49164.02388422351</v>
      </c>
      <c r="AG28" s="29" t="n">
        <v>16922.7270406225</v>
      </c>
      <c r="AH28" s="29" t="n">
        <v>2409.680997824686</v>
      </c>
      <c r="AI28" s="29" t="n">
        <v>4831.338623105201</v>
      </c>
      <c r="AJ28" s="29" t="n">
        <v>16606.07597868776</v>
      </c>
      <c r="AK28" s="29" t="n">
        <v>-34324.36946270454</v>
      </c>
      <c r="AL28" s="29" t="n">
        <v>-4657.883362113651</v>
      </c>
      <c r="AM28" s="29" t="n">
        <v>-855872.3290672676</v>
      </c>
      <c r="AN28" s="29" t="n">
        <v>-63807.72017629929</v>
      </c>
      <c r="AO28" s="29" t="n">
        <v>-23601.90823176987</v>
      </c>
      <c r="AP28" s="29" t="n">
        <v>5685.492453702711</v>
      </c>
      <c r="AQ28" s="29" t="n">
        <v>1677581.520812429</v>
      </c>
      <c r="AR28" s="29" t="n">
        <v>-1738.370531107842</v>
      </c>
      <c r="AS28" s="29" t="n">
        <v>-14506.82314178375</v>
      </c>
      <c r="AT28" s="29" t="n">
        <v>-15.44287112318898</v>
      </c>
      <c r="AU28" s="29" t="n">
        <v>-25807.00760310819</v>
      </c>
      <c r="AV28" s="29" t="n">
        <v>-42882.34114254814</v>
      </c>
      <c r="AW28" s="29" t="n">
        <v>-10906.41622022678</v>
      </c>
      <c r="AX28" s="29" t="n">
        <v>9780.799684267815</v>
      </c>
      <c r="AY28" s="29" t="n">
        <v>-15775.60810463719</v>
      </c>
      <c r="AZ28" s="29" t="n">
        <v>-8586.925934250572</v>
      </c>
      <c r="BA28" s="29" t="n">
        <v>-21303.03097012493</v>
      </c>
      <c r="BB28" s="29" t="n">
        <v>-99484.28661352955</v>
      </c>
      <c r="BC28" s="29" t="n">
        <v>-9564.539816318009</v>
      </c>
      <c r="BD28" s="29" t="n">
        <v>-1495.951086561156</v>
      </c>
      <c r="BE28" s="29" t="n">
        <v>-6711.988415476133</v>
      </c>
      <c r="BF28" s="29" t="n">
        <v>-3722.683006901026</v>
      </c>
      <c r="BG28" s="29" t="n">
        <v>-560.095352708443</v>
      </c>
      <c r="BH28" s="29" t="n">
        <v>5449.359074493505</v>
      </c>
      <c r="BI28" s="29" t="n">
        <v>-244.4451465944768</v>
      </c>
      <c r="BJ28" s="29" t="n">
        <v>-8471.728436376041</v>
      </c>
      <c r="BK28" s="29" t="n">
        <v>-363794.9095625834</v>
      </c>
      <c r="BL28" s="29" t="n">
        <v>951.4630815048849</v>
      </c>
      <c r="BM28" s="29" t="n">
        <v>-4867.943863286182</v>
      </c>
      <c r="BN28" s="29" t="n">
        <v>-12937.10864501745</v>
      </c>
      <c r="BO28" s="29" t="n">
        <v>-19154.20374904993</v>
      </c>
      <c r="BP28" s="29" t="n">
        <v>8210.583191419679</v>
      </c>
      <c r="BQ28" s="29" t="n">
        <v>1848.083247429327</v>
      </c>
      <c r="BR28" s="29" t="n">
        <v>448.1439826397742</v>
      </c>
      <c r="BS28" s="29" t="n">
        <v>337.3194322222449</v>
      </c>
      <c r="BT28" s="29" t="n">
        <v>1967.483838148837</v>
      </c>
      <c r="BU28" s="29" t="n">
        <v>6213.827196848372</v>
      </c>
      <c r="BV28" s="29" t="n">
        <v>19294.01578065932</v>
      </c>
      <c r="BW28" s="29" t="n">
        <v>12.5453492625676</v>
      </c>
      <c r="BX28" s="29" t="n">
        <v>-61447.57814304886</v>
      </c>
      <c r="BY28" s="29" t="n">
        <v>1698763.229066591</v>
      </c>
      <c r="BZ28" s="29" t="n">
        <v>73.5040974833389</v>
      </c>
      <c r="CA28" s="29" t="n">
        <v>864.3907976748752</v>
      </c>
      <c r="CB28" s="29" t="n">
        <v>483.9363270602633</v>
      </c>
      <c r="CC28" s="29" t="n">
        <v>11.59195539234901</v>
      </c>
      <c r="CD28" s="29" t="n">
        <v>158.2417942008899</v>
      </c>
      <c r="CE28" s="29" t="n">
        <v>446.6358570831951</v>
      </c>
      <c r="CF28" s="29" t="n">
        <v>-17868.72581866526</v>
      </c>
      <c r="CG28" s="29" t="n">
        <v>-91095.38429055605</v>
      </c>
      <c r="CH28" s="29" t="n">
        <v>-3624829.880381169</v>
      </c>
      <c r="CI28" s="29" t="n">
        <v>-5624.658293582071</v>
      </c>
      <c r="CJ28" s="29" t="n">
        <v>6962.163121964506</v>
      </c>
      <c r="CK28" s="29" t="n">
        <v>543.1020538740345</v>
      </c>
      <c r="CL28" s="29" t="n">
        <v>4396.192055630439</v>
      </c>
      <c r="CM28" s="29" t="n">
        <v>-35.26322788955287</v>
      </c>
      <c r="CN28" s="29" t="n">
        <v>1177.323490616205</v>
      </c>
      <c r="CO28" s="29" t="n">
        <v>528.8131469874176</v>
      </c>
      <c r="CP28" s="29" t="n">
        <v>904.0761263284634</v>
      </c>
      <c r="CQ28" s="29" t="n">
        <v>-9490.269397047545</v>
      </c>
      <c r="CR28" s="29" t="n">
        <v>-275433.6656234525</v>
      </c>
      <c r="CS28" s="29" t="n">
        <v>2439.170598490202</v>
      </c>
      <c r="CT28" s="29" t="n">
        <v>2227.230990133829</v>
      </c>
      <c r="CU28" s="29" t="n">
        <v>-299279.1712690258</v>
      </c>
      <c r="CV28" s="29" t="n">
        <v>119384.4722846982</v>
      </c>
      <c r="CW28" s="29" t="n">
        <v>-6606.561209506996</v>
      </c>
      <c r="CX28" s="29" t="n">
        <v>4187.717279050799</v>
      </c>
      <c r="CY28" s="29" t="n">
        <v>146496.2127554924</v>
      </c>
      <c r="CZ28" s="29" t="n">
        <v>480680.4687491003</v>
      </c>
      <c r="DA28" s="29" t="n">
        <v>-2846.509270323598</v>
      </c>
      <c r="DB28" s="29" t="n">
        <v>14116.35417611724</v>
      </c>
      <c r="DC28" s="29" t="n">
        <v>-725412.456924789</v>
      </c>
      <c r="DD28" s="29" t="n">
        <v>130.2976584909931</v>
      </c>
      <c r="DE28" s="29" t="n">
        <v>0</v>
      </c>
      <c r="DF28" s="29">
        <f>SUM(C28:DE28)</f>
        <v/>
      </c>
      <c r="DG28" s="29" t="n">
        <v>0</v>
      </c>
      <c r="DH28" s="29" t="n">
        <v>0</v>
      </c>
      <c r="DI28" s="29" t="n">
        <v>0</v>
      </c>
      <c r="DJ28" s="29" t="n">
        <v>0</v>
      </c>
      <c r="DK28" s="29">
        <f>SUM(DG28:DJ28)</f>
        <v/>
      </c>
      <c r="DL28" s="29">
        <f>DF28+DK28</f>
        <v/>
      </c>
    </row>
    <row r="29">
      <c r="A29" s="30" t="inlineStr">
        <is>
          <t>1520</t>
        </is>
      </c>
      <c r="B29" s="30" t="inlineStr">
        <is>
          <t>Elaboración de productos lácteos</t>
        </is>
      </c>
      <c r="C29" s="31" t="n">
        <v>-212055.4853282394</v>
      </c>
      <c r="D29" s="31" t="n">
        <v>-22695.83408993806</v>
      </c>
      <c r="E29" s="31" t="n">
        <v>0</v>
      </c>
      <c r="F29" s="31" t="n">
        <v>0</v>
      </c>
      <c r="G29" s="31" t="n">
        <v>0</v>
      </c>
      <c r="H29" s="31" t="n">
        <v>22035.86415680121</v>
      </c>
      <c r="I29" s="31" t="n">
        <v>0.6221561778766482</v>
      </c>
      <c r="J29" s="31" t="n">
        <v>1736.146926875107</v>
      </c>
      <c r="K29" s="31" t="n">
        <v>5566.781217890054</v>
      </c>
      <c r="L29" s="31" t="n">
        <v>434.7685958494453</v>
      </c>
      <c r="M29" s="31" t="n">
        <v>94.92163099363256</v>
      </c>
      <c r="N29" s="31" t="n">
        <v>-4792.648436505437</v>
      </c>
      <c r="O29" s="31" t="n">
        <v>-4031.259908841799</v>
      </c>
      <c r="P29" s="31" t="n">
        <v>262.1933411321785</v>
      </c>
      <c r="Q29" s="31" t="n">
        <v>14634.64886615674</v>
      </c>
      <c r="R29" s="31" t="n">
        <v>4368365.267332049</v>
      </c>
      <c r="S29" s="31" t="n">
        <v>25646.46036361585</v>
      </c>
      <c r="T29" s="31" t="n">
        <v>414620.3288096844</v>
      </c>
      <c r="U29" s="31" t="n">
        <v>675633.9283577296</v>
      </c>
      <c r="V29" s="31" t="n">
        <v>-322.9413228412521</v>
      </c>
      <c r="W29" s="31" t="n">
        <v>1266421.281765127</v>
      </c>
      <c r="X29" s="31" t="n">
        <v>300535.1074497981</v>
      </c>
      <c r="Y29" s="31" t="n">
        <v>303571.1918271178</v>
      </c>
      <c r="Z29" s="31" t="n">
        <v>393.5175818460234</v>
      </c>
      <c r="AA29" s="31" t="n">
        <v>-280.9656499153452</v>
      </c>
      <c r="AB29" s="31" t="n">
        <v>462.9378742474524</v>
      </c>
      <c r="AC29" s="31" t="n">
        <v>469423.1632629506</v>
      </c>
      <c r="AD29" s="31" t="n">
        <v>12520.96322052081</v>
      </c>
      <c r="AE29" s="31" t="n">
        <v>-323.7535048682766</v>
      </c>
      <c r="AF29" s="31" t="n">
        <v>-2586.844008975739</v>
      </c>
      <c r="AG29" s="31" t="n">
        <v>-1241.235289882722</v>
      </c>
      <c r="AH29" s="31" t="n">
        <v>564.0436208226192</v>
      </c>
      <c r="AI29" s="31" t="n">
        <v>-306.8057212014039</v>
      </c>
      <c r="AJ29" s="31" t="n">
        <v>14798.32042620996</v>
      </c>
      <c r="AK29" s="31" t="n">
        <v>7484.959443102524</v>
      </c>
      <c r="AL29" s="31" t="n">
        <v>-190.404814023597</v>
      </c>
      <c r="AM29" s="31" t="n">
        <v>-65133.66557367984</v>
      </c>
      <c r="AN29" s="31" t="n">
        <v>-2538.009867744277</v>
      </c>
      <c r="AO29" s="31" t="n">
        <v>3149.857085390164</v>
      </c>
      <c r="AP29" s="31" t="n">
        <v>870.0001514986492</v>
      </c>
      <c r="AQ29" s="31" t="n">
        <v>244569.789627179</v>
      </c>
      <c r="AR29" s="31" t="n">
        <v>2782.001639684961</v>
      </c>
      <c r="AS29" s="31" t="n">
        <v>1079.727832467875</v>
      </c>
      <c r="AT29" s="31" t="n">
        <v>577.8045537229568</v>
      </c>
      <c r="AU29" s="31" t="n">
        <v>-1806.805809491137</v>
      </c>
      <c r="AV29" s="31" t="n">
        <v>2826.921224789556</v>
      </c>
      <c r="AW29" s="31" t="n">
        <v>1967.694034975056</v>
      </c>
      <c r="AX29" s="31" t="n">
        <v>5122.812739206877</v>
      </c>
      <c r="AY29" s="31" t="n">
        <v>-706.4490072514249</v>
      </c>
      <c r="AZ29" s="31" t="n">
        <v>649.9156884486027</v>
      </c>
      <c r="BA29" s="31" t="n">
        <v>-1112.670359501247</v>
      </c>
      <c r="BB29" s="31" t="n">
        <v>-6759.97960244055</v>
      </c>
      <c r="BC29" s="31" t="n">
        <v>-7.615640641492924</v>
      </c>
      <c r="BD29" s="31" t="n">
        <v>-80.61754931954852</v>
      </c>
      <c r="BE29" s="31" t="n">
        <v>102.8570029615185</v>
      </c>
      <c r="BF29" s="31" t="n">
        <v>841.2971698705105</v>
      </c>
      <c r="BG29" s="31" t="n">
        <v>62.97931660067538</v>
      </c>
      <c r="BH29" s="31" t="n">
        <v>1991.941051790462</v>
      </c>
      <c r="BI29" s="31" t="n">
        <v>14.13623002618795</v>
      </c>
      <c r="BJ29" s="31" t="n">
        <v>-97.23539179439668</v>
      </c>
      <c r="BK29" s="31" t="n">
        <v>-12206.84443817195</v>
      </c>
      <c r="BL29" s="31" t="n">
        <v>1116.784976728007</v>
      </c>
      <c r="BM29" s="31" t="n">
        <v>116.7941688579171</v>
      </c>
      <c r="BN29" s="31" t="n">
        <v>-728.7148627980557</v>
      </c>
      <c r="BO29" s="31" t="n">
        <v>2205.320063612722</v>
      </c>
      <c r="BP29" s="31" t="n">
        <v>1652.59196837111</v>
      </c>
      <c r="BQ29" s="31" t="n">
        <v>508.3028658429164</v>
      </c>
      <c r="BR29" s="31" t="n">
        <v>112.7541680052644</v>
      </c>
      <c r="BS29" s="31" t="n">
        <v>410.025815934221</v>
      </c>
      <c r="BT29" s="31" t="n">
        <v>8456.821486521238</v>
      </c>
      <c r="BU29" s="31" t="n">
        <v>11472.56723539918</v>
      </c>
      <c r="BV29" s="31" t="n">
        <v>34531.51331884604</v>
      </c>
      <c r="BW29" s="31" t="n">
        <v>0.3432027288647864</v>
      </c>
      <c r="BX29" s="31" t="n">
        <v>115272.7818939755</v>
      </c>
      <c r="BY29" s="31" t="n">
        <v>16249935.3265985</v>
      </c>
      <c r="BZ29" s="31" t="n">
        <v>118.5057431391755</v>
      </c>
      <c r="CA29" s="31" t="n">
        <v>554.0146859592974</v>
      </c>
      <c r="CB29" s="31" t="n">
        <v>731.6046077093504</v>
      </c>
      <c r="CC29" s="31" t="n">
        <v>6.554437817404304</v>
      </c>
      <c r="CD29" s="31" t="n">
        <v>380.3063443220407</v>
      </c>
      <c r="CE29" s="31" t="n">
        <v>702.0654303111829</v>
      </c>
      <c r="CF29" s="31" t="n">
        <v>-1244.962736192836</v>
      </c>
      <c r="CG29" s="31" t="n">
        <v>53614.07822223022</v>
      </c>
      <c r="CH29" s="31" t="n">
        <v>-222625.3904838777</v>
      </c>
      <c r="CI29" s="31" t="n">
        <v>20980.39789916942</v>
      </c>
      <c r="CJ29" s="31" t="n">
        <v>2468.04791102676</v>
      </c>
      <c r="CK29" s="31" t="n">
        <v>1399.769952415345</v>
      </c>
      <c r="CL29" s="31" t="n">
        <v>13599.63393517643</v>
      </c>
      <c r="CM29" s="31" t="n">
        <v>831.2529164607164</v>
      </c>
      <c r="CN29" s="31" t="n">
        <v>15.71759962111846</v>
      </c>
      <c r="CO29" s="31" t="n">
        <v>7.059804195685932</v>
      </c>
      <c r="CP29" s="31" t="n">
        <v>249.9993889728857</v>
      </c>
      <c r="CQ29" s="31" t="n">
        <v>-8.257938177790042</v>
      </c>
      <c r="CR29" s="31" t="n">
        <v>64686.80929184898</v>
      </c>
      <c r="CS29" s="31" t="n">
        <v>24020.68893149045</v>
      </c>
      <c r="CT29" s="31" t="n">
        <v>21933.53053111385</v>
      </c>
      <c r="CU29" s="31" t="n">
        <v>23183.16692630087</v>
      </c>
      <c r="CV29" s="31" t="n">
        <v>1174328.085700116</v>
      </c>
      <c r="CW29" s="31" t="n">
        <v>256667.0894267353</v>
      </c>
      <c r="CX29" s="31" t="n">
        <v>468479.4939939608</v>
      </c>
      <c r="CY29" s="31" t="n">
        <v>656489.3835547047</v>
      </c>
      <c r="CZ29" s="31" t="n">
        <v>1501111.005919316</v>
      </c>
      <c r="DA29" s="31" t="n">
        <v>318.8294328554177</v>
      </c>
      <c r="DB29" s="31" t="n">
        <v>489646.1893164108</v>
      </c>
      <c r="DC29" s="31" t="n">
        <v>16962.91618798518</v>
      </c>
      <c r="DD29" s="31" t="n">
        <v>612.6329040702919</v>
      </c>
      <c r="DE29" s="31" t="n">
        <v>0</v>
      </c>
      <c r="DF29" s="31">
        <f>SUM(C29:DE29)</f>
        <v/>
      </c>
      <c r="DG29" s="31" t="n">
        <v>0</v>
      </c>
      <c r="DH29" s="31" t="n">
        <v>0</v>
      </c>
      <c r="DI29" s="31" t="n">
        <v>0</v>
      </c>
      <c r="DJ29" s="31" t="n">
        <v>0</v>
      </c>
      <c r="DK29" s="31">
        <f>SUM(DG29:DJ29)</f>
        <v/>
      </c>
      <c r="DL29" s="31">
        <f>DF29+DK29</f>
        <v/>
      </c>
    </row>
    <row r="30">
      <c r="A30" s="28" t="inlineStr">
        <is>
          <t>1531/2</t>
        </is>
      </c>
      <c r="B30" s="28" t="inlineStr">
        <is>
          <t>Elaboración de productos de molinería. Elaboración de almidones y productos derivados del almidón</t>
        </is>
      </c>
      <c r="C30" s="29" t="n">
        <v>-422426.6912884887</v>
      </c>
      <c r="D30" s="29" t="n">
        <v>2606.467499046666</v>
      </c>
      <c r="E30" s="29" t="n">
        <v>0</v>
      </c>
      <c r="F30" s="29" t="n">
        <v>0</v>
      </c>
      <c r="G30" s="29" t="n">
        <v>0</v>
      </c>
      <c r="H30" s="29" t="n">
        <v>21938.76862265642</v>
      </c>
      <c r="I30" s="29" t="n">
        <v>0.3780234656314541</v>
      </c>
      <c r="J30" s="29" t="n">
        <v>71.870292280551</v>
      </c>
      <c r="K30" s="29" t="n">
        <v>-378.2831301901676</v>
      </c>
      <c r="L30" s="29" t="n">
        <v>1735.864152125396</v>
      </c>
      <c r="M30" s="29" t="n">
        <v>312.5145008767378</v>
      </c>
      <c r="N30" s="29" t="n">
        <v>25842.8976529423</v>
      </c>
      <c r="O30" s="29" t="n">
        <v>-8026.237257723099</v>
      </c>
      <c r="P30" s="29" t="n">
        <v>294586.8365181219</v>
      </c>
      <c r="Q30" s="29" t="n">
        <v>299412.1359209757</v>
      </c>
      <c r="R30" s="29" t="n">
        <v>284904.5045412608</v>
      </c>
      <c r="S30" s="29" t="n">
        <v>461078.1261547883</v>
      </c>
      <c r="T30" s="29" t="n">
        <v>357056.6708824693</v>
      </c>
      <c r="U30" s="29" t="n">
        <v>14201348.87143928</v>
      </c>
      <c r="V30" s="29" t="n">
        <v>76251.10642904176</v>
      </c>
      <c r="W30" s="29" t="n">
        <v>893864.1707942968</v>
      </c>
      <c r="X30" s="29" t="n">
        <v>2802517.265519081</v>
      </c>
      <c r="Y30" s="29" t="n">
        <v>699725.1745419528</v>
      </c>
      <c r="Z30" s="29" t="n">
        <v>149112.4353646069</v>
      </c>
      <c r="AA30" s="29" t="n">
        <v>26616.30562630613</v>
      </c>
      <c r="AB30" s="29" t="n">
        <v>753105.2275358636</v>
      </c>
      <c r="AC30" s="29" t="n">
        <v>1600240.860424282</v>
      </c>
      <c r="AD30" s="29" t="n">
        <v>494.7323512695771</v>
      </c>
      <c r="AE30" s="29" t="n">
        <v>13504.23102086118</v>
      </c>
      <c r="AF30" s="29" t="n">
        <v>-7091.53613995145</v>
      </c>
      <c r="AG30" s="29" t="n">
        <v>-2354.331849860841</v>
      </c>
      <c r="AH30" s="29" t="n">
        <v>777.3821048342892</v>
      </c>
      <c r="AI30" s="29" t="n">
        <v>-279.0177170692101</v>
      </c>
      <c r="AJ30" s="29" t="n">
        <v>167234.7570145432</v>
      </c>
      <c r="AK30" s="29" t="n">
        <v>-4948.171393628208</v>
      </c>
      <c r="AL30" s="29" t="n">
        <v>55456.35055145602</v>
      </c>
      <c r="AM30" s="29" t="n">
        <v>-131949.5191669137</v>
      </c>
      <c r="AN30" s="29" t="n">
        <v>66157.52621129551</v>
      </c>
      <c r="AO30" s="29" t="n">
        <v>712.3118297731617</v>
      </c>
      <c r="AP30" s="29" t="n">
        <v>-5131.344340044101</v>
      </c>
      <c r="AQ30" s="29" t="n">
        <v>195701.1643666856</v>
      </c>
      <c r="AR30" s="29" t="n">
        <v>12072.03734931721</v>
      </c>
      <c r="AS30" s="29" t="n">
        <v>1961.00896798729</v>
      </c>
      <c r="AT30" s="29" t="n">
        <v>1062.035929717218</v>
      </c>
      <c r="AU30" s="29" t="n">
        <v>49252.82798804533</v>
      </c>
      <c r="AV30" s="29" t="n">
        <v>58869.67361647842</v>
      </c>
      <c r="AW30" s="29" t="n">
        <v>51159.38611062492</v>
      </c>
      <c r="AX30" s="29" t="n">
        <v>62703.551569323</v>
      </c>
      <c r="AY30" s="29" t="n">
        <v>-1471.432007536391</v>
      </c>
      <c r="AZ30" s="29" t="n">
        <v>12527.59329036124</v>
      </c>
      <c r="BA30" s="29" t="n">
        <v>18965.12783083291</v>
      </c>
      <c r="BB30" s="29" t="n">
        <v>-13958.40366272531</v>
      </c>
      <c r="BC30" s="29" t="n">
        <v>-1325.454920697304</v>
      </c>
      <c r="BD30" s="29" t="n">
        <v>-206.5914557940985</v>
      </c>
      <c r="BE30" s="29" t="n">
        <v>-912.8188495049963</v>
      </c>
      <c r="BF30" s="29" t="n">
        <v>6763.295586325913</v>
      </c>
      <c r="BG30" s="29" t="n">
        <v>428.2959573726671</v>
      </c>
      <c r="BH30" s="29" t="n">
        <v>2273.838380136886</v>
      </c>
      <c r="BI30" s="29" t="n">
        <v>34738.09517547792</v>
      </c>
      <c r="BJ30" s="29" t="n">
        <v>-1194.5887968217</v>
      </c>
      <c r="BK30" s="29" t="n">
        <v>-36455.65808966619</v>
      </c>
      <c r="BL30" s="29" t="n">
        <v>863.2285586841432</v>
      </c>
      <c r="BM30" s="29" t="n">
        <v>8788.39915729548</v>
      </c>
      <c r="BN30" s="29" t="n">
        <v>-1689.437686061999</v>
      </c>
      <c r="BO30" s="29" t="n">
        <v>49316.07228539201</v>
      </c>
      <c r="BP30" s="29" t="n">
        <v>3514.489083737493</v>
      </c>
      <c r="BQ30" s="29" t="n">
        <v>1011.841968585725</v>
      </c>
      <c r="BR30" s="29" t="n">
        <v>201.5443800024748</v>
      </c>
      <c r="BS30" s="29" t="n">
        <v>302.6763291526112</v>
      </c>
      <c r="BT30" s="29" t="n">
        <v>1370.403285183678</v>
      </c>
      <c r="BU30" s="29" t="n">
        <v>2635.607133691208</v>
      </c>
      <c r="BV30" s="29" t="n">
        <v>218635.0443178335</v>
      </c>
      <c r="BW30" s="29" t="n">
        <v>149.1351386951624</v>
      </c>
      <c r="BX30" s="29" t="n">
        <v>5234.223947978255</v>
      </c>
      <c r="BY30" s="29" t="n">
        <v>2800867.811475214</v>
      </c>
      <c r="BZ30" s="29" t="n">
        <v>24.65925129794832</v>
      </c>
      <c r="CA30" s="29" t="n">
        <v>322.6840680647892</v>
      </c>
      <c r="CB30" s="29" t="n">
        <v>116.3528506326304</v>
      </c>
      <c r="CC30" s="29" t="n">
        <v>6.987896149529045</v>
      </c>
      <c r="CD30" s="29" t="n">
        <v>239.5365630511476</v>
      </c>
      <c r="CE30" s="29" t="n">
        <v>216.5521175165821</v>
      </c>
      <c r="CF30" s="29" t="n">
        <v>-2571.462318128042</v>
      </c>
      <c r="CG30" s="29" t="n">
        <v>-13193.89533609398</v>
      </c>
      <c r="CH30" s="29" t="n">
        <v>-538329.8468474294</v>
      </c>
      <c r="CI30" s="29" t="n">
        <v>-1145.183347892089</v>
      </c>
      <c r="CJ30" s="29" t="n">
        <v>3895.348462860948</v>
      </c>
      <c r="CK30" s="29" t="n">
        <v>474.1201328625029</v>
      </c>
      <c r="CL30" s="29" t="n">
        <v>2592.019016870486</v>
      </c>
      <c r="CM30" s="29" t="n">
        <v>499.0038866647673</v>
      </c>
      <c r="CN30" s="29" t="n">
        <v>42.04495700758917</v>
      </c>
      <c r="CO30" s="29" t="n">
        <v>18.88514601751195</v>
      </c>
      <c r="CP30" s="29" t="n">
        <v>503.0507947521616</v>
      </c>
      <c r="CQ30" s="29" t="n">
        <v>-1291.573392565802</v>
      </c>
      <c r="CR30" s="29" t="n">
        <v>-35903.81304511513</v>
      </c>
      <c r="CS30" s="29" t="n">
        <v>7434.617964638976</v>
      </c>
      <c r="CT30" s="29" t="n">
        <v>6788.623780927442</v>
      </c>
      <c r="CU30" s="29" t="n">
        <v>-39901.45373725861</v>
      </c>
      <c r="CV30" s="29" t="n">
        <v>362175.9003067056</v>
      </c>
      <c r="CW30" s="29" t="n">
        <v>504013.6938566687</v>
      </c>
      <c r="CX30" s="29" t="n">
        <v>991.2958543398544</v>
      </c>
      <c r="CY30" s="29" t="n">
        <v>90319.43665465301</v>
      </c>
      <c r="CZ30" s="29" t="n">
        <v>937354.3270163391</v>
      </c>
      <c r="DA30" s="29" t="n">
        <v>15.22085685073491</v>
      </c>
      <c r="DB30" s="29" t="n">
        <v>215217.839276464</v>
      </c>
      <c r="DC30" s="29" t="n">
        <v>-105135.3144177051</v>
      </c>
      <c r="DD30" s="29" t="n">
        <v>37.16368388012923</v>
      </c>
      <c r="DE30" s="29" t="n">
        <v>0</v>
      </c>
      <c r="DF30" s="29">
        <f>SUM(C30:DE30)</f>
        <v/>
      </c>
      <c r="DG30" s="29" t="n">
        <v>0</v>
      </c>
      <c r="DH30" s="29" t="n">
        <v>0</v>
      </c>
      <c r="DI30" s="29" t="n">
        <v>0</v>
      </c>
      <c r="DJ30" s="29" t="n">
        <v>0</v>
      </c>
      <c r="DK30" s="29">
        <f>SUM(DG30:DJ30)</f>
        <v/>
      </c>
      <c r="DL30" s="29">
        <f>DF30+DK30</f>
        <v/>
      </c>
    </row>
    <row r="31">
      <c r="A31" s="30" t="inlineStr">
        <is>
          <t>15330</t>
        </is>
      </c>
      <c r="B31" s="30" t="inlineStr">
        <is>
          <t>15330 - Elaboración de alimentos preparados para animales</t>
        </is>
      </c>
      <c r="C31" s="31" t="n">
        <v>-366000.5384448257</v>
      </c>
      <c r="D31" s="31" t="n">
        <v>26344597.21277339</v>
      </c>
      <c r="E31" s="31" t="n">
        <v>0</v>
      </c>
      <c r="F31" s="31" t="n">
        <v>0</v>
      </c>
      <c r="G31" s="31" t="n">
        <v>0</v>
      </c>
      <c r="H31" s="31" t="n">
        <v>144.2001430848959</v>
      </c>
      <c r="I31" s="31" t="n">
        <v>0.07768527527680319</v>
      </c>
      <c r="J31" s="31" t="n">
        <v>17.09428520380437</v>
      </c>
      <c r="K31" s="31" t="n">
        <v>-528.9815258918461</v>
      </c>
      <c r="L31" s="31" t="n">
        <v>6.107100976028986</v>
      </c>
      <c r="M31" s="31" t="n">
        <v>3.318457248462884</v>
      </c>
      <c r="N31" s="31" t="n">
        <v>1207942.166587354</v>
      </c>
      <c r="O31" s="31" t="n">
        <v>-7270.592372179787</v>
      </c>
      <c r="P31" s="31" t="n">
        <v>-2196.096745480505</v>
      </c>
      <c r="Q31" s="31" t="n">
        <v>-30383.4510743878</v>
      </c>
      <c r="R31" s="31" t="n">
        <v>-9456.329871223903</v>
      </c>
      <c r="S31" s="31" t="n">
        <v>-10040.51028999338</v>
      </c>
      <c r="T31" s="31" t="n">
        <v>2114628.093883922</v>
      </c>
      <c r="U31" s="31" t="n">
        <v>16966.74031954203</v>
      </c>
      <c r="V31" s="31" t="n">
        <v>-1529.972755019689</v>
      </c>
      <c r="W31" s="31" t="n">
        <v>-3109.972121049916</v>
      </c>
      <c r="X31" s="31" t="n">
        <v>2155.691964989878</v>
      </c>
      <c r="Y31" s="31" t="n">
        <v>-27342.30376769868</v>
      </c>
      <c r="Z31" s="31" t="n">
        <v>-4582.628378231181</v>
      </c>
      <c r="AA31" s="31" t="n">
        <v>-10030.73575567105</v>
      </c>
      <c r="AB31" s="31" t="n">
        <v>-546.5029404735549</v>
      </c>
      <c r="AC31" s="31" t="n">
        <v>-2202.509528254601</v>
      </c>
      <c r="AD31" s="31" t="n">
        <v>57.83326531952764</v>
      </c>
      <c r="AE31" s="31" t="n">
        <v>-1773.156688192489</v>
      </c>
      <c r="AF31" s="31" t="n">
        <v>-6506.00362655541</v>
      </c>
      <c r="AG31" s="31" t="n">
        <v>-2658.026273445925</v>
      </c>
      <c r="AH31" s="31" t="n">
        <v>-178.3320835635896</v>
      </c>
      <c r="AI31" s="31" t="n">
        <v>-1021.482054461773</v>
      </c>
      <c r="AJ31" s="31" t="n">
        <v>-2110.357840699222</v>
      </c>
      <c r="AK31" s="31" t="n">
        <v>-4647.548744402903</v>
      </c>
      <c r="AL31" s="31" t="n">
        <v>-1123.296326758112</v>
      </c>
      <c r="AM31" s="31" t="n">
        <v>-116963.39581207</v>
      </c>
      <c r="AN31" s="31" t="n">
        <v>-11764.69131241814</v>
      </c>
      <c r="AO31" s="31" t="n">
        <v>-3419.298053798096</v>
      </c>
      <c r="AP31" s="31" t="n">
        <v>-6579.417333290857</v>
      </c>
      <c r="AQ31" s="31" t="n">
        <v>29687.83446624915</v>
      </c>
      <c r="AR31" s="31" t="n">
        <v>-1156.242585371975</v>
      </c>
      <c r="AS31" s="31" t="n">
        <v>-2417.415238758995</v>
      </c>
      <c r="AT31" s="31" t="n">
        <v>-55.12141007005484</v>
      </c>
      <c r="AU31" s="31" t="n">
        <v>-3803.270854351106</v>
      </c>
      <c r="AV31" s="31" t="n">
        <v>-5697.437648514474</v>
      </c>
      <c r="AW31" s="31" t="n">
        <v>-563.4788382772792</v>
      </c>
      <c r="AX31" s="31" t="n">
        <v>2100.036175237875</v>
      </c>
      <c r="AY31" s="31" t="n">
        <v>-2016.987177134848</v>
      </c>
      <c r="AZ31" s="31" t="n">
        <v>6308.674098415626</v>
      </c>
      <c r="BA31" s="31" t="n">
        <v>-2962.059246385052</v>
      </c>
      <c r="BB31" s="31" t="n">
        <v>-12837.09314876862</v>
      </c>
      <c r="BC31" s="31" t="n">
        <v>-1260.203144771735</v>
      </c>
      <c r="BD31" s="31" t="n">
        <v>-191.3473077379033</v>
      </c>
      <c r="BE31" s="31" t="n">
        <v>-908.1764140679387</v>
      </c>
      <c r="BF31" s="31" t="n">
        <v>-315.677894573428</v>
      </c>
      <c r="BG31" s="31" t="n">
        <v>-98.92246656359457</v>
      </c>
      <c r="BH31" s="31" t="n">
        <v>864.2941804583675</v>
      </c>
      <c r="BI31" s="31" t="n">
        <v>-25.47310029691089</v>
      </c>
      <c r="BJ31" s="31" t="n">
        <v>-1110.307690746997</v>
      </c>
      <c r="BK31" s="31" t="n">
        <v>-47425.98193794084</v>
      </c>
      <c r="BL31" s="31" t="n">
        <v>-685.8288038959249</v>
      </c>
      <c r="BM31" s="31" t="n">
        <v>-630.3860869879514</v>
      </c>
      <c r="BN31" s="31" t="n">
        <v>-2379.866355735896</v>
      </c>
      <c r="BO31" s="31" t="n">
        <v>-1332.572044314093</v>
      </c>
      <c r="BP31" s="31" t="n">
        <v>1283.169046751228</v>
      </c>
      <c r="BQ31" s="31" t="n">
        <v>379.7865323153669</v>
      </c>
      <c r="BR31" s="31" t="n">
        <v>74.46590607385272</v>
      </c>
      <c r="BS31" s="31" t="n">
        <v>53.6447203574318</v>
      </c>
      <c r="BT31" s="31" t="n">
        <v>197.6150633858215</v>
      </c>
      <c r="BU31" s="31" t="n">
        <v>993.2817367695841</v>
      </c>
      <c r="BV31" s="31" t="n">
        <v>3232.713217808743</v>
      </c>
      <c r="BW31" s="31" t="n">
        <v>0.1725025014218882</v>
      </c>
      <c r="BX31" s="31" t="n">
        <v>-9116.643172069284</v>
      </c>
      <c r="BY31" s="31" t="n">
        <v>29174.32558460416</v>
      </c>
      <c r="BZ31" s="31" t="n">
        <v>9.08679119380731</v>
      </c>
      <c r="CA31" s="31" t="n">
        <v>112.8439973657726</v>
      </c>
      <c r="CB31" s="31" t="n">
        <v>49.56578425425359</v>
      </c>
      <c r="CC31" s="31" t="n">
        <v>2.279346624346022</v>
      </c>
      <c r="CD31" s="31" t="n">
        <v>48.66934128089405</v>
      </c>
      <c r="CE31" s="31" t="n">
        <v>80.33618974186837</v>
      </c>
      <c r="CF31" s="31" t="n">
        <v>-2288.041233920842</v>
      </c>
      <c r="CG31" s="31" t="n">
        <v>-12491.66873621616</v>
      </c>
      <c r="CH31" s="31" t="n">
        <v>-468307.9117360383</v>
      </c>
      <c r="CI31" s="31" t="n">
        <v>-1072.523753706111</v>
      </c>
      <c r="CJ31" s="31" t="n">
        <v>1489.005714303023</v>
      </c>
      <c r="CK31" s="31" t="n">
        <v>133.8832511237541</v>
      </c>
      <c r="CL31" s="31" t="n">
        <v>900.8470637081294</v>
      </c>
      <c r="CM31" s="31" t="n">
        <v>92.87167732571368</v>
      </c>
      <c r="CN31" s="31" t="n">
        <v>0</v>
      </c>
      <c r="CO31" s="31" t="n">
        <v>0</v>
      </c>
      <c r="CP31" s="31" t="n">
        <v>189.9558610467619</v>
      </c>
      <c r="CQ31" s="31" t="n">
        <v>-1208.736324340147</v>
      </c>
      <c r="CR31" s="31" t="n">
        <v>-35641.43763162703</v>
      </c>
      <c r="CS31" s="31" t="n">
        <v>443.1846856119695</v>
      </c>
      <c r="CT31" s="31" t="n">
        <v>404.6763546423022</v>
      </c>
      <c r="CU31" s="31" t="n">
        <v>-38311.2217127576</v>
      </c>
      <c r="CV31" s="31" t="n">
        <v>21589.70430068712</v>
      </c>
      <c r="CW31" s="31" t="n">
        <v>1178.392836733543</v>
      </c>
      <c r="CX31" s="31" t="n">
        <v>1071.814217834203</v>
      </c>
      <c r="CY31" s="31" t="n">
        <v>-5166.816573872788</v>
      </c>
      <c r="CZ31" s="31" t="n">
        <v>5235.519181625795</v>
      </c>
      <c r="DA31" s="31" t="n">
        <v>-286.9922484258943</v>
      </c>
      <c r="DB31" s="31" t="n">
        <v>1049.416106293016</v>
      </c>
      <c r="DC31" s="31" t="n">
        <v>25853.93687620874</v>
      </c>
      <c r="DD31" s="31" t="n">
        <v>11.75568460652263</v>
      </c>
      <c r="DE31" s="31" t="n">
        <v>0</v>
      </c>
      <c r="DF31" s="31">
        <f>SUM(C31:DE31)</f>
        <v/>
      </c>
      <c r="DG31" s="31" t="n">
        <v>0</v>
      </c>
      <c r="DH31" s="31" t="n">
        <v>0</v>
      </c>
      <c r="DI31" s="31" t="n">
        <v>0</v>
      </c>
      <c r="DJ31" s="31" t="n">
        <v>0</v>
      </c>
      <c r="DK31" s="31">
        <f>SUM(DG31:DJ31)</f>
        <v/>
      </c>
      <c r="DL31" s="31">
        <f>DF31+DK31</f>
        <v/>
      </c>
    </row>
    <row r="32">
      <c r="A32" s="28" t="inlineStr">
        <is>
          <t>1541</t>
        </is>
      </c>
      <c r="B32" s="28" t="inlineStr">
        <is>
          <t>Elaboración de productos de panadería</t>
        </is>
      </c>
      <c r="C32" s="29" t="n">
        <v>-547047.2702755803</v>
      </c>
      <c r="D32" s="29" t="n">
        <v>-58829.19340533655</v>
      </c>
      <c r="E32" s="29" t="n">
        <v>0</v>
      </c>
      <c r="F32" s="29" t="n">
        <v>0</v>
      </c>
      <c r="G32" s="29" t="n">
        <v>0</v>
      </c>
      <c r="H32" s="29" t="n">
        <v>349.6495565068338</v>
      </c>
      <c r="I32" s="29" t="n">
        <v>0.09974004707212859</v>
      </c>
      <c r="J32" s="29" t="n">
        <v>117.9352714340631</v>
      </c>
      <c r="K32" s="29" t="n">
        <v>-530.2611421999436</v>
      </c>
      <c r="L32" s="29" t="n">
        <v>6.09536455250443</v>
      </c>
      <c r="M32" s="29" t="n">
        <v>4.161646621230255</v>
      </c>
      <c r="N32" s="29" t="n">
        <v>-17461.54120766249</v>
      </c>
      <c r="O32" s="29" t="n">
        <v>-11001.03367013262</v>
      </c>
      <c r="P32" s="29" t="n">
        <v>-3584.001435158497</v>
      </c>
      <c r="Q32" s="29" t="n">
        <v>-75946.11241488426</v>
      </c>
      <c r="R32" s="29" t="n">
        <v>-12205.46944247489</v>
      </c>
      <c r="S32" s="29" t="n">
        <v>-10354.52733569671</v>
      </c>
      <c r="T32" s="29" t="n">
        <v>-18285.34243773934</v>
      </c>
      <c r="U32" s="29" t="n">
        <v>168457.6573084228</v>
      </c>
      <c r="V32" s="29" t="n">
        <v>-2064.098519131897</v>
      </c>
      <c r="W32" s="29" t="n">
        <v>1207.803829493506</v>
      </c>
      <c r="X32" s="29" t="n">
        <v>63176.55985930171</v>
      </c>
      <c r="Y32" s="29" t="n">
        <v>-35678.94571084276</v>
      </c>
      <c r="Z32" s="29" t="n">
        <v>-6831.088524044526</v>
      </c>
      <c r="AA32" s="29" t="n">
        <v>-14927.88433321642</v>
      </c>
      <c r="AB32" s="29" t="n">
        <v>5651.742613057753</v>
      </c>
      <c r="AC32" s="29" t="n">
        <v>2208.732659162893</v>
      </c>
      <c r="AD32" s="29" t="n">
        <v>737.5143971655305</v>
      </c>
      <c r="AE32" s="29" t="n">
        <v>-2469.897429985864</v>
      </c>
      <c r="AF32" s="29" t="n">
        <v>-9530.604172276397</v>
      </c>
      <c r="AG32" s="29" t="n">
        <v>-4061.791170004933</v>
      </c>
      <c r="AH32" s="29" t="n">
        <v>-151.6337049847911</v>
      </c>
      <c r="AI32" s="29" t="n">
        <v>-1616.553155874504</v>
      </c>
      <c r="AJ32" s="29" t="n">
        <v>4607.710965806798</v>
      </c>
      <c r="AK32" s="29" t="n">
        <v>-6318.098566086571</v>
      </c>
      <c r="AL32" s="29" t="n">
        <v>-1649.559640274344</v>
      </c>
      <c r="AM32" s="29" t="n">
        <v>-174955.1595095956</v>
      </c>
      <c r="AN32" s="29" t="n">
        <v>-16750.08194396035</v>
      </c>
      <c r="AO32" s="29" t="n">
        <v>-5032.082710761541</v>
      </c>
      <c r="AP32" s="29" t="n">
        <v>-9780.295092554948</v>
      </c>
      <c r="AQ32" s="29" t="n">
        <v>-31388.91103762205</v>
      </c>
      <c r="AR32" s="29" t="n">
        <v>-1615.721043654884</v>
      </c>
      <c r="AS32" s="29" t="n">
        <v>-3322.44725285925</v>
      </c>
      <c r="AT32" s="29" t="n">
        <v>-63.54193336351578</v>
      </c>
      <c r="AU32" s="29" t="n">
        <v>-5545.788766670968</v>
      </c>
      <c r="AV32" s="29" t="n">
        <v>255.0116045889372</v>
      </c>
      <c r="AW32" s="29" t="n">
        <v>4557.818368071235</v>
      </c>
      <c r="AX32" s="29" t="n">
        <v>11848.61500054455</v>
      </c>
      <c r="AY32" s="29" t="n">
        <v>-2968.704347122233</v>
      </c>
      <c r="AZ32" s="29" t="n">
        <v>-1052.504335300463</v>
      </c>
      <c r="BA32" s="29" t="n">
        <v>-4391.964069782825</v>
      </c>
      <c r="BB32" s="29" t="n">
        <v>-18972.19149240372</v>
      </c>
      <c r="BC32" s="29" t="n">
        <v>-1812.114216016279</v>
      </c>
      <c r="BD32" s="29" t="n">
        <v>-285.21454913856</v>
      </c>
      <c r="BE32" s="29" t="n">
        <v>-1290.11662535154</v>
      </c>
      <c r="BF32" s="29" t="n">
        <v>535.040816312578</v>
      </c>
      <c r="BG32" s="29" t="n">
        <v>-107.7162050090274</v>
      </c>
      <c r="BH32" s="29" t="n">
        <v>1481.212485102584</v>
      </c>
      <c r="BI32" s="29" t="n">
        <v>-52.84986018623135</v>
      </c>
      <c r="BJ32" s="29" t="n">
        <v>-1635.930179853281</v>
      </c>
      <c r="BK32" s="29" t="n">
        <v>-70035.54996004458</v>
      </c>
      <c r="BL32" s="29" t="n">
        <v>-838.5757063429961</v>
      </c>
      <c r="BM32" s="29" t="n">
        <v>-917.0321497823462</v>
      </c>
      <c r="BN32" s="29" t="n">
        <v>-3483.599580182445</v>
      </c>
      <c r="BO32" s="29" t="n">
        <v>5218.21940853922</v>
      </c>
      <c r="BP32" s="29" t="n">
        <v>837.3129666705277</v>
      </c>
      <c r="BQ32" s="29" t="n">
        <v>244.1709926484678</v>
      </c>
      <c r="BR32" s="29" t="n">
        <v>52.11466460766828</v>
      </c>
      <c r="BS32" s="29" t="n">
        <v>47.68678244721563</v>
      </c>
      <c r="BT32" s="29" t="n">
        <v>83564.9993668542</v>
      </c>
      <c r="BU32" s="29" t="n">
        <v>1412.614911679417</v>
      </c>
      <c r="BV32" s="29" t="n">
        <v>7154.458458314533</v>
      </c>
      <c r="BW32" s="29" t="n">
        <v>0.107513073371637</v>
      </c>
      <c r="BX32" s="29" t="n">
        <v>37711.17320672564</v>
      </c>
      <c r="BY32" s="29" t="n">
        <v>6677656.197331011</v>
      </c>
      <c r="BZ32" s="29" t="n">
        <v>14.20275174232936</v>
      </c>
      <c r="CA32" s="29" t="n">
        <v>134.1298740802483</v>
      </c>
      <c r="CB32" s="29" t="n">
        <v>155.274890826419</v>
      </c>
      <c r="CC32" s="29" t="n">
        <v>1.777862091654134</v>
      </c>
      <c r="CD32" s="29" t="n">
        <v>49.52667769272824</v>
      </c>
      <c r="CE32" s="29" t="n">
        <v>133.6786576285385</v>
      </c>
      <c r="CF32" s="29" t="n">
        <v>-3455.820185222993</v>
      </c>
      <c r="CG32" s="29" t="n">
        <v>-15775.27728078923</v>
      </c>
      <c r="CH32" s="29" t="n">
        <v>-698531.8068678107</v>
      </c>
      <c r="CI32" s="29" t="n">
        <v>-362.0350416231808</v>
      </c>
      <c r="CJ32" s="29" t="n">
        <v>1005.033832724306</v>
      </c>
      <c r="CK32" s="29" t="n">
        <v>109.2573867734736</v>
      </c>
      <c r="CL32" s="29" t="n">
        <v>21466.7247250899</v>
      </c>
      <c r="CM32" s="29" t="n">
        <v>-47.95949568848661</v>
      </c>
      <c r="CN32" s="29" t="n">
        <v>36.20306030688557</v>
      </c>
      <c r="CO32" s="29" t="n">
        <v>16.26116730367726</v>
      </c>
      <c r="CP32" s="29" t="n">
        <v>121.4205874236194</v>
      </c>
      <c r="CQ32" s="29" t="n">
        <v>-1826.270276059741</v>
      </c>
      <c r="CR32" s="29" t="n">
        <v>-51377.58106567034</v>
      </c>
      <c r="CS32" s="29" t="n">
        <v>9384.7963123031</v>
      </c>
      <c r="CT32" s="29" t="n">
        <v>8569.351071955854</v>
      </c>
      <c r="CU32" s="29" t="n">
        <v>-57101.04670618487</v>
      </c>
      <c r="CV32" s="29" t="n">
        <v>457427.7604351345</v>
      </c>
      <c r="CW32" s="29" t="n">
        <v>62959.00584889862</v>
      </c>
      <c r="CX32" s="29" t="n">
        <v>38310.97493539273</v>
      </c>
      <c r="CY32" s="29" t="n">
        <v>342893.0960836717</v>
      </c>
      <c r="CZ32" s="29" t="n">
        <v>35588.13332044415</v>
      </c>
      <c r="DA32" s="29" t="n">
        <v>-588.2570094512087</v>
      </c>
      <c r="DB32" s="29" t="n">
        <v>105777.3403145003</v>
      </c>
      <c r="DC32" s="29" t="n">
        <v>-137772.6978693493</v>
      </c>
      <c r="DD32" s="29" t="n">
        <v>43.11928285859648</v>
      </c>
      <c r="DE32" s="29" t="n">
        <v>0</v>
      </c>
      <c r="DF32" s="29">
        <f>SUM(C32:DE32)</f>
        <v/>
      </c>
      <c r="DG32" s="29" t="n">
        <v>0</v>
      </c>
      <c r="DH32" s="29" t="n">
        <v>0</v>
      </c>
      <c r="DI32" s="29" t="n">
        <v>0</v>
      </c>
      <c r="DJ32" s="29" t="n">
        <v>0</v>
      </c>
      <c r="DK32" s="29">
        <f>SUM(DG32:DJ32)</f>
        <v/>
      </c>
      <c r="DL32" s="29">
        <f>DF32+DK32</f>
        <v/>
      </c>
    </row>
    <row r="33">
      <c r="A33" s="30" t="inlineStr">
        <is>
          <t>15420</t>
        </is>
      </c>
      <c r="B33" s="30" t="inlineStr">
        <is>
          <t>15420 - Elaboración de azúcar</t>
        </is>
      </c>
      <c r="C33" s="31" t="n">
        <v>-187364.2743083788</v>
      </c>
      <c r="D33" s="31" t="n">
        <v>-20157.27595634485</v>
      </c>
      <c r="E33" s="31" t="n">
        <v>0</v>
      </c>
      <c r="F33" s="31" t="n">
        <v>0</v>
      </c>
      <c r="G33" s="31" t="n">
        <v>0</v>
      </c>
      <c r="H33" s="31" t="n">
        <v>29831.70880264267</v>
      </c>
      <c r="I33" s="31" t="n">
        <v>0.000845796624720449</v>
      </c>
      <c r="J33" s="31" t="n">
        <v>3.937686521591143</v>
      </c>
      <c r="K33" s="31" t="n">
        <v>-319.1704153550083</v>
      </c>
      <c r="L33" s="31" t="n">
        <v>0.02867901305004059</v>
      </c>
      <c r="M33" s="31" t="n">
        <v>0.1695692793102429</v>
      </c>
      <c r="N33" s="31" t="n">
        <v>-7819.458081348903</v>
      </c>
      <c r="O33" s="31" t="n">
        <v>-3389.212431187773</v>
      </c>
      <c r="P33" s="31" t="n">
        <v>206799.6036127005</v>
      </c>
      <c r="Q33" s="31" t="n">
        <v>-23991.05290337832</v>
      </c>
      <c r="R33" s="31" t="n">
        <v>1156095.925022507</v>
      </c>
      <c r="S33" s="31" t="n">
        <v>14230.35803054126</v>
      </c>
      <c r="T33" s="31" t="n">
        <v>-7946.039226909526</v>
      </c>
      <c r="U33" s="31" t="n">
        <v>1289578.395503156</v>
      </c>
      <c r="V33" s="31" t="n">
        <v>67026.56402489437</v>
      </c>
      <c r="W33" s="31" t="n">
        <v>1481771.553867426</v>
      </c>
      <c r="X33" s="31" t="n">
        <v>-944.7447190801485</v>
      </c>
      <c r="Y33" s="31" t="n">
        <v>724739.8456827288</v>
      </c>
      <c r="Z33" s="31" t="n">
        <v>356495.4670646337</v>
      </c>
      <c r="AA33" s="31" t="n">
        <v>18543.78158181651</v>
      </c>
      <c r="AB33" s="31" t="n">
        <v>-714.658043951405</v>
      </c>
      <c r="AC33" s="31" t="n">
        <v>1363772.96250225</v>
      </c>
      <c r="AD33" s="31" t="n">
        <v>-16.09457728699768</v>
      </c>
      <c r="AE33" s="31" t="n">
        <v>-162.0450372457728</v>
      </c>
      <c r="AF33" s="31" t="n">
        <v>-2403.285351476281</v>
      </c>
      <c r="AG33" s="31" t="n">
        <v>-1309.068234244867</v>
      </c>
      <c r="AH33" s="31" t="n">
        <v>21.92460016707443</v>
      </c>
      <c r="AI33" s="31" t="n">
        <v>-542.375044191555</v>
      </c>
      <c r="AJ33" s="31" t="n">
        <v>3022.133802116334</v>
      </c>
      <c r="AK33" s="31" t="n">
        <v>-1662.764427900198</v>
      </c>
      <c r="AL33" s="31" t="n">
        <v>1495.067693838785</v>
      </c>
      <c r="AM33" s="31" t="n">
        <v>-59995.50827021756</v>
      </c>
      <c r="AN33" s="31" t="n">
        <v>12469.43517945009</v>
      </c>
      <c r="AO33" s="31" t="n">
        <v>-1735.761837241772</v>
      </c>
      <c r="AP33" s="31" t="n">
        <v>-3408.997154792073</v>
      </c>
      <c r="AQ33" s="31" t="n">
        <v>311821.1296966524</v>
      </c>
      <c r="AR33" s="31" t="n">
        <v>-491.4120809818655</v>
      </c>
      <c r="AS33" s="31" t="n">
        <v>-928.6721260625295</v>
      </c>
      <c r="AT33" s="31" t="n">
        <v>-46.22507419657663</v>
      </c>
      <c r="AU33" s="31" t="n">
        <v>-1940.234835738282</v>
      </c>
      <c r="AV33" s="31" t="n">
        <v>-1436.258049285407</v>
      </c>
      <c r="AW33" s="31" t="n">
        <v>385.8059971284417</v>
      </c>
      <c r="AX33" s="31" t="n">
        <v>3408.760958305475</v>
      </c>
      <c r="AY33" s="31" t="n">
        <v>-809.2760553783659</v>
      </c>
      <c r="AZ33" s="31" t="n">
        <v>483.8092285898326</v>
      </c>
      <c r="BA33" s="31" t="n">
        <v>-1171.683427808093</v>
      </c>
      <c r="BB33" s="31" t="n">
        <v>-5315.55444926239</v>
      </c>
      <c r="BC33" s="31" t="n">
        <v>-358.5210449568243</v>
      </c>
      <c r="BD33" s="31" t="n">
        <v>-74.99579455892456</v>
      </c>
      <c r="BE33" s="31" t="n">
        <v>-164.8624838607085</v>
      </c>
      <c r="BF33" s="31" t="n">
        <v>-51.64352869235836</v>
      </c>
      <c r="BG33" s="31" t="n">
        <v>33.51731194009346</v>
      </c>
      <c r="BH33" s="31" t="n">
        <v>2922.531437631239</v>
      </c>
      <c r="BI33" s="31" t="n">
        <v>-6.650553217347126</v>
      </c>
      <c r="BJ33" s="31" t="n">
        <v>-468.0944722633853</v>
      </c>
      <c r="BK33" s="31" t="n">
        <v>-22579.01165293753</v>
      </c>
      <c r="BL33" s="31" t="n">
        <v>384.4162139536398</v>
      </c>
      <c r="BM33" s="31" t="n">
        <v>80.68738183566968</v>
      </c>
      <c r="BN33" s="31" t="n">
        <v>-1045.664793393256</v>
      </c>
      <c r="BO33" s="31" t="n">
        <v>241.7584463986984</v>
      </c>
      <c r="BP33" s="31" t="n">
        <v>4.659269282189246</v>
      </c>
      <c r="BQ33" s="31" t="n">
        <v>0.100707546329947</v>
      </c>
      <c r="BR33" s="31" t="n">
        <v>0.3172583941627158</v>
      </c>
      <c r="BS33" s="31" t="n">
        <v>1018.692189295523</v>
      </c>
      <c r="BT33" s="31" t="n">
        <v>158.9253095762958</v>
      </c>
      <c r="BU33" s="31" t="n">
        <v>409.5884205300147</v>
      </c>
      <c r="BV33" s="31" t="n">
        <v>1056.857246830423</v>
      </c>
      <c r="BW33" s="31" t="n">
        <v>1.870546612116603</v>
      </c>
      <c r="BX33" s="31" t="n">
        <v>3440.805542273191</v>
      </c>
      <c r="BY33" s="31" t="n">
        <v>340310.5611564096</v>
      </c>
      <c r="BZ33" s="31" t="n">
        <v>0.04125277156724035</v>
      </c>
      <c r="CA33" s="31" t="n">
        <v>0.7481616519894949</v>
      </c>
      <c r="CB33" s="31" t="n">
        <v>302.2921255198133</v>
      </c>
      <c r="CC33" s="31" t="n">
        <v>0.002867215519549568</v>
      </c>
      <c r="CD33" s="31" t="n">
        <v>0</v>
      </c>
      <c r="CE33" s="31" t="n">
        <v>0.3952882244471858</v>
      </c>
      <c r="CF33" s="31" t="n">
        <v>-1196.122860556424</v>
      </c>
      <c r="CG33" s="31" t="n">
        <v>-6810.662189345896</v>
      </c>
      <c r="CH33" s="31" t="n">
        <v>-240574.4445866163</v>
      </c>
      <c r="CI33" s="31" t="n">
        <v>-578.1957472076181</v>
      </c>
      <c r="CJ33" s="31" t="n">
        <v>5.109973553499781</v>
      </c>
      <c r="CK33" s="31" t="n">
        <v>-29.92690103719122</v>
      </c>
      <c r="CL33" s="31" t="n">
        <v>24.18402609737555</v>
      </c>
      <c r="CM33" s="31" t="n">
        <v>-85.85300981189312</v>
      </c>
      <c r="CN33" s="31" t="n">
        <v>1.990455325434048</v>
      </c>
      <c r="CO33" s="31" t="n">
        <v>0.8940439505116208</v>
      </c>
      <c r="CP33" s="31" t="n">
        <v>0.0148288284861436</v>
      </c>
      <c r="CQ33" s="31" t="n">
        <v>-644.2689739549152</v>
      </c>
      <c r="CR33" s="31" t="n">
        <v>-20025.25952373178</v>
      </c>
      <c r="CS33" s="31" t="n">
        <v>857.4031601758334</v>
      </c>
      <c r="CT33" s="31" t="n">
        <v>782.9033732057635</v>
      </c>
      <c r="CU33" s="31" t="n">
        <v>-21050.71857056312</v>
      </c>
      <c r="CV33" s="31" t="n">
        <v>41728.49498034986</v>
      </c>
      <c r="CW33" s="31" t="n">
        <v>36169.09831200411</v>
      </c>
      <c r="CX33" s="31" t="n">
        <v>2089.624564906544</v>
      </c>
      <c r="CY33" s="31" t="n">
        <v>104852.82867031</v>
      </c>
      <c r="CZ33" s="31" t="n">
        <v>447654.1660425597</v>
      </c>
      <c r="DA33" s="31" t="n">
        <v>-255.2256556386222</v>
      </c>
      <c r="DB33" s="31" t="n">
        <v>35591.11628734927</v>
      </c>
      <c r="DC33" s="31" t="n">
        <v>-42393.8623638852</v>
      </c>
      <c r="DD33" s="31" t="n">
        <v>0.1164965718606362</v>
      </c>
      <c r="DE33" s="31" t="n">
        <v>0</v>
      </c>
      <c r="DF33" s="31">
        <f>SUM(C33:DE33)</f>
        <v/>
      </c>
      <c r="DG33" s="31" t="n">
        <v>0</v>
      </c>
      <c r="DH33" s="31" t="n">
        <v>0</v>
      </c>
      <c r="DI33" s="31" t="n">
        <v>0</v>
      </c>
      <c r="DJ33" s="31" t="n">
        <v>0</v>
      </c>
      <c r="DK33" s="31">
        <f>SUM(DG33:DJ33)</f>
        <v/>
      </c>
      <c r="DL33" s="31">
        <f>DF33+DK33</f>
        <v/>
      </c>
    </row>
    <row r="34">
      <c r="A34" s="28" t="inlineStr">
        <is>
          <t>15430</t>
        </is>
      </c>
      <c r="B34" s="28" t="inlineStr">
        <is>
          <t>15430 - Elaboración de cacao y chocolate y de productos de confitería</t>
        </is>
      </c>
      <c r="C34" s="29" t="n">
        <v>0.03459040552452125</v>
      </c>
      <c r="D34" s="29" t="n">
        <v>0.008304132149755143</v>
      </c>
      <c r="E34" s="29" t="n">
        <v>0</v>
      </c>
      <c r="F34" s="29" t="n">
        <v>0</v>
      </c>
      <c r="G34" s="29" t="n">
        <v>0</v>
      </c>
      <c r="H34" s="29" t="n">
        <v>9.101005447791927</v>
      </c>
      <c r="I34" s="29" t="n">
        <v>0.02046812873017667</v>
      </c>
      <c r="J34" s="29" t="n">
        <v>27.48932304100494</v>
      </c>
      <c r="K34" s="29" t="n">
        <v>85.24639199398433</v>
      </c>
      <c r="L34" s="29" t="n">
        <v>790.1284913684301</v>
      </c>
      <c r="M34" s="29" t="n">
        <v>139.3304386816163</v>
      </c>
      <c r="N34" s="29" t="n">
        <v>847.99782608936</v>
      </c>
      <c r="O34" s="29" t="n">
        <v>10.10772469215371</v>
      </c>
      <c r="P34" s="29" t="n">
        <v>336.8741668895192</v>
      </c>
      <c r="Q34" s="29" t="n">
        <v>197.0311510099233</v>
      </c>
      <c r="R34" s="29" t="n">
        <v>862295.0248043011</v>
      </c>
      <c r="S34" s="29" t="n">
        <v>153.3963654125951</v>
      </c>
      <c r="T34" s="29" t="n">
        <v>3694.455514110077</v>
      </c>
      <c r="U34" s="29" t="n">
        <v>840476.7846618912</v>
      </c>
      <c r="V34" s="29" t="n">
        <v>89.59317918959766</v>
      </c>
      <c r="W34" s="29" t="n">
        <v>2818370.466777708</v>
      </c>
      <c r="X34" s="29" t="n">
        <v>1103.394062782525</v>
      </c>
      <c r="Y34" s="29" t="n">
        <v>148933.6920765247</v>
      </c>
      <c r="Z34" s="29" t="n">
        <v>65.06812576506699</v>
      </c>
      <c r="AA34" s="29" t="n">
        <v>3251.095764224315</v>
      </c>
      <c r="AB34" s="29" t="n">
        <v>246.2898630338985</v>
      </c>
      <c r="AC34" s="29" t="n">
        <v>1401.743653812243</v>
      </c>
      <c r="AD34" s="29" t="n">
        <v>298.1995478972066</v>
      </c>
      <c r="AE34" s="29" t="n">
        <v>255.0883627759575</v>
      </c>
      <c r="AF34" s="29" t="n">
        <v>69.3983632920777</v>
      </c>
      <c r="AG34" s="29" t="n">
        <v>38.21467906419243</v>
      </c>
      <c r="AH34" s="29" t="n">
        <v>155.9704737157611</v>
      </c>
      <c r="AI34" s="29" t="n">
        <v>316.9581119949463</v>
      </c>
      <c r="AJ34" s="29" t="n">
        <v>4986.184645246065</v>
      </c>
      <c r="AK34" s="29" t="n">
        <v>173.6268529468113</v>
      </c>
      <c r="AL34" s="29" t="n">
        <v>161.84212996221</v>
      </c>
      <c r="AM34" s="29" t="n">
        <v>1103.761117000978</v>
      </c>
      <c r="AN34" s="29" t="n">
        <v>1197.769490168683</v>
      </c>
      <c r="AO34" s="29" t="n">
        <v>28.3890339374047</v>
      </c>
      <c r="AP34" s="29" t="n">
        <v>709.7651976711198</v>
      </c>
      <c r="AQ34" s="29" t="n">
        <v>27851.8290082075</v>
      </c>
      <c r="AR34" s="29" t="n">
        <v>217.3314949933347</v>
      </c>
      <c r="AS34" s="29" t="n">
        <v>266.5622677687144</v>
      </c>
      <c r="AT34" s="29" t="n">
        <v>31.61558348476485</v>
      </c>
      <c r="AU34" s="29" t="n">
        <v>284.9976551399803</v>
      </c>
      <c r="AV34" s="29" t="n">
        <v>4998.901461564048</v>
      </c>
      <c r="AW34" s="29" t="n">
        <v>2824.98692529069</v>
      </c>
      <c r="AX34" s="29" t="n">
        <v>4491.436143108346</v>
      </c>
      <c r="AY34" s="29" t="n">
        <v>20.72341032232576</v>
      </c>
      <c r="AZ34" s="29" t="n">
        <v>810.5065206703754</v>
      </c>
      <c r="BA34" s="29" t="n">
        <v>79.40049301214952</v>
      </c>
      <c r="BB34" s="29" t="n">
        <v>66.16360337056383</v>
      </c>
      <c r="BC34" s="29" t="n">
        <v>20.80201830774386</v>
      </c>
      <c r="BD34" s="29" t="n">
        <v>0.78676140326662</v>
      </c>
      <c r="BE34" s="29" t="n">
        <v>23.42789454265742</v>
      </c>
      <c r="BF34" s="29" t="n">
        <v>521.8856204689279</v>
      </c>
      <c r="BG34" s="29" t="n">
        <v>34.29790508192295</v>
      </c>
      <c r="BH34" s="29" t="n">
        <v>72.91303662393739</v>
      </c>
      <c r="BI34" s="29" t="n">
        <v>27.42840210116254</v>
      </c>
      <c r="BJ34" s="29" t="n">
        <v>13.83364607064328</v>
      </c>
      <c r="BK34" s="29" t="n">
        <v>268.7472245556975</v>
      </c>
      <c r="BL34" s="29" t="n">
        <v>251.5682087336881</v>
      </c>
      <c r="BM34" s="29" t="n">
        <v>18.65907921700222</v>
      </c>
      <c r="BN34" s="29" t="n">
        <v>188.5998374531313</v>
      </c>
      <c r="BO34" s="29" t="n">
        <v>3716.053205464732</v>
      </c>
      <c r="BP34" s="29" t="n">
        <v>13.19435512095862</v>
      </c>
      <c r="BQ34" s="29" t="n">
        <v>3.078140206107872</v>
      </c>
      <c r="BR34" s="29" t="n">
        <v>1.389828802674391</v>
      </c>
      <c r="BS34" s="29" t="n">
        <v>12.77400598136184</v>
      </c>
      <c r="BT34" s="29" t="n">
        <v>1642.621997012746</v>
      </c>
      <c r="BU34" s="29" t="n">
        <v>182.7142905658362</v>
      </c>
      <c r="BV34" s="29" t="n">
        <v>811.3595743026191</v>
      </c>
      <c r="BW34" s="29" t="n">
        <v>0.2815813518586774</v>
      </c>
      <c r="BX34" s="29" t="n">
        <v>7035.325163898545</v>
      </c>
      <c r="BY34" s="29" t="n">
        <v>11920024.80924304</v>
      </c>
      <c r="BZ34" s="29" t="n">
        <v>2.558041929805678</v>
      </c>
      <c r="CA34" s="29" t="n">
        <v>26.44039591985935</v>
      </c>
      <c r="CB34" s="29" t="n">
        <v>15.95787158519131</v>
      </c>
      <c r="CC34" s="29" t="n">
        <v>0.1697659105410701</v>
      </c>
      <c r="CD34" s="29" t="n">
        <v>11.22386659310047</v>
      </c>
      <c r="CE34" s="29" t="n">
        <v>40.06386721582305</v>
      </c>
      <c r="CF34" s="29" t="n">
        <v>3.44286510621438</v>
      </c>
      <c r="CG34" s="29" t="n">
        <v>833.2280907070608</v>
      </c>
      <c r="CH34" s="29" t="n">
        <v>671.485147170849</v>
      </c>
      <c r="CI34" s="29" t="n">
        <v>301.5813027052904</v>
      </c>
      <c r="CJ34" s="29" t="n">
        <v>36.48632701694121</v>
      </c>
      <c r="CK34" s="29" t="n">
        <v>23.88528702710725</v>
      </c>
      <c r="CL34" s="29" t="n">
        <v>405.9904756605899</v>
      </c>
      <c r="CM34" s="29" t="n">
        <v>14.54886470598104</v>
      </c>
      <c r="CN34" s="29" t="n">
        <v>0</v>
      </c>
      <c r="CO34" s="29" t="n">
        <v>0</v>
      </c>
      <c r="CP34" s="29" t="n">
        <v>1.485144444191828</v>
      </c>
      <c r="CQ34" s="29" t="n">
        <v>11.25541167401829</v>
      </c>
      <c r="CR34" s="29" t="n">
        <v>1148.549080260654</v>
      </c>
      <c r="CS34" s="29" t="n">
        <v>441.6127861685557</v>
      </c>
      <c r="CT34" s="29" t="n">
        <v>403.2410375898947</v>
      </c>
      <c r="CU34" s="29" t="n">
        <v>617.8632206171154</v>
      </c>
      <c r="CV34" s="29" t="n">
        <v>21570.17037124199</v>
      </c>
      <c r="CW34" s="29" t="n">
        <v>1121510.332880576</v>
      </c>
      <c r="CX34" s="29" t="n">
        <v>1079.601084080887</v>
      </c>
      <c r="CY34" s="29" t="n">
        <v>559091.9837792721</v>
      </c>
      <c r="CZ34" s="29" t="n">
        <v>13899.51682688085</v>
      </c>
      <c r="DA34" s="29" t="n">
        <v>10.28938756502491</v>
      </c>
      <c r="DB34" s="29" t="n">
        <v>457801.1079329801</v>
      </c>
      <c r="DC34" s="29" t="n">
        <v>989.3335316350824</v>
      </c>
      <c r="DD34" s="29" t="n">
        <v>9.542777581970565</v>
      </c>
      <c r="DE34" s="29" t="n">
        <v>0</v>
      </c>
      <c r="DF34" s="29">
        <f>SUM(C34:DE34)</f>
        <v/>
      </c>
      <c r="DG34" s="29" t="n">
        <v>0</v>
      </c>
      <c r="DH34" s="29" t="n">
        <v>0</v>
      </c>
      <c r="DI34" s="29" t="n">
        <v>0</v>
      </c>
      <c r="DJ34" s="29" t="n">
        <v>0</v>
      </c>
      <c r="DK34" s="29">
        <f>SUM(DG34:DJ34)</f>
        <v/>
      </c>
      <c r="DL34" s="29">
        <f>DF34+DK34</f>
        <v/>
      </c>
    </row>
    <row r="35">
      <c r="A35" s="30" t="inlineStr">
        <is>
          <t>1544</t>
        </is>
      </c>
      <c r="B35" s="30" t="inlineStr">
        <is>
          <t>15441 - Elaboración de pastas alimenticias frescas. 15442 - Elaboración de pastas alimenticias secas</t>
        </is>
      </c>
      <c r="C35" s="31" t="n">
        <v>-26271.77333950657</v>
      </c>
      <c r="D35" s="31" t="n">
        <v>-2826.21572366627</v>
      </c>
      <c r="E35" s="31" t="n">
        <v>0</v>
      </c>
      <c r="F35" s="31" t="n">
        <v>0</v>
      </c>
      <c r="G35" s="31" t="n">
        <v>0</v>
      </c>
      <c r="H35" s="31" t="n">
        <v>444.8843591481225</v>
      </c>
      <c r="I35" s="31" t="n">
        <v>0.2563080451656551</v>
      </c>
      <c r="J35" s="31" t="n">
        <v>44.36285625664639</v>
      </c>
      <c r="K35" s="31" t="n">
        <v>92.56278917985607</v>
      </c>
      <c r="L35" s="31" t="n">
        <v>22.94776486847071</v>
      </c>
      <c r="M35" s="31" t="n">
        <v>8.612059429366241</v>
      </c>
      <c r="N35" s="31" t="n">
        <v>-1220.539995666596</v>
      </c>
      <c r="O35" s="31" t="n">
        <v>-525.4865681515796</v>
      </c>
      <c r="P35" s="31" t="n">
        <v>-152.8001025759019</v>
      </c>
      <c r="Q35" s="31" t="n">
        <v>-3732.78956668892</v>
      </c>
      <c r="R35" s="31" t="n">
        <v>-336.7300596276832</v>
      </c>
      <c r="S35" s="31" t="n">
        <v>-64.8846516575162</v>
      </c>
      <c r="T35" s="31" t="n">
        <v>-1035.709683861593</v>
      </c>
      <c r="U35" s="31" t="n">
        <v>4217.846089388128</v>
      </c>
      <c r="V35" s="31" t="n">
        <v>-103.9107133575633</v>
      </c>
      <c r="W35" s="31" t="n">
        <v>-245.5515049723908</v>
      </c>
      <c r="X35" s="31" t="n">
        <v>764.128303393202</v>
      </c>
      <c r="Y35" s="31" t="n">
        <v>8334.873544500133</v>
      </c>
      <c r="Z35" s="31" t="n">
        <v>-302.5882217162552</v>
      </c>
      <c r="AA35" s="31" t="n">
        <v>-625.9076813607637</v>
      </c>
      <c r="AB35" s="31" t="n">
        <v>67.65215407590587</v>
      </c>
      <c r="AC35" s="31" t="n">
        <v>9067.054056658053</v>
      </c>
      <c r="AD35" s="31" t="n">
        <v>-1.894036294169375</v>
      </c>
      <c r="AE35" s="31" t="n">
        <v>-123.4935434578182</v>
      </c>
      <c r="AF35" s="31" t="n">
        <v>-462.8408387332361</v>
      </c>
      <c r="AG35" s="31" t="n">
        <v>-195.666108130323</v>
      </c>
      <c r="AH35" s="31" t="n">
        <v>-11.78200459976681</v>
      </c>
      <c r="AI35" s="31" t="n">
        <v>-77.90736160662948</v>
      </c>
      <c r="AJ35" s="31" t="n">
        <v>238.39795221269</v>
      </c>
      <c r="AK35" s="31" t="n">
        <v>-333.8493714623926</v>
      </c>
      <c r="AL35" s="31" t="n">
        <v>-78.0699336424571</v>
      </c>
      <c r="AM35" s="31" t="n">
        <v>-8402.496109873142</v>
      </c>
      <c r="AN35" s="31" t="n">
        <v>-802.8336176025653</v>
      </c>
      <c r="AO35" s="31" t="n">
        <v>-155.5871475639661</v>
      </c>
      <c r="AP35" s="31" t="n">
        <v>-480.5725652329964</v>
      </c>
      <c r="AQ35" s="31" t="n">
        <v>-1375.599203623467</v>
      </c>
      <c r="AR35" s="31" t="n">
        <v>-89.03761978211864</v>
      </c>
      <c r="AS35" s="31" t="n">
        <v>-174.3568774978024</v>
      </c>
      <c r="AT35" s="31" t="n">
        <v>-5.168495710515497</v>
      </c>
      <c r="AU35" s="31" t="n">
        <v>-261.6297754543369</v>
      </c>
      <c r="AV35" s="31" t="n">
        <v>-195.7739372864422</v>
      </c>
      <c r="AW35" s="31" t="n">
        <v>99.23056038907691</v>
      </c>
      <c r="AX35" s="31" t="n">
        <v>381.8408696324177</v>
      </c>
      <c r="AY35" s="31" t="n">
        <v>-141.3322918986044</v>
      </c>
      <c r="AZ35" s="31" t="n">
        <v>-86.8273696509774</v>
      </c>
      <c r="BA35" s="31" t="n">
        <v>-212.6623202645033</v>
      </c>
      <c r="BB35" s="31" t="n">
        <v>-905.6851285229051</v>
      </c>
      <c r="BC35" s="31" t="n">
        <v>-89.59577343042642</v>
      </c>
      <c r="BD35" s="31" t="n">
        <v>-13.85574612403386</v>
      </c>
      <c r="BE35" s="31" t="n">
        <v>-64.48689174513359</v>
      </c>
      <c r="BF35" s="31" t="n">
        <v>1.793086652079097</v>
      </c>
      <c r="BG35" s="31" t="n">
        <v>-6.526852419603438</v>
      </c>
      <c r="BH35" s="31" t="n">
        <v>56.23842826529508</v>
      </c>
      <c r="BI35" s="31" t="n">
        <v>-3.121715596206331</v>
      </c>
      <c r="BJ35" s="31" t="n">
        <v>-80.61947919074136</v>
      </c>
      <c r="BK35" s="31" t="n">
        <v>-3395.344623327112</v>
      </c>
      <c r="BL35" s="31" t="n">
        <v>-48.22106797153359</v>
      </c>
      <c r="BM35" s="31" t="n">
        <v>-45.23630649394482</v>
      </c>
      <c r="BN35" s="31" t="n">
        <v>-171.0520375361075</v>
      </c>
      <c r="BO35" s="31" t="n">
        <v>96.65138451886753</v>
      </c>
      <c r="BP35" s="31" t="n">
        <v>47.83723357782291</v>
      </c>
      <c r="BQ35" s="31" t="n">
        <v>17.40119884187368</v>
      </c>
      <c r="BR35" s="31" t="n">
        <v>4.641492272649836</v>
      </c>
      <c r="BS35" s="31" t="n">
        <v>232.127540847507</v>
      </c>
      <c r="BT35" s="31" t="n">
        <v>286.1081224735645</v>
      </c>
      <c r="BU35" s="31" t="n">
        <v>129.9779444524745</v>
      </c>
      <c r="BV35" s="31" t="n">
        <v>245.6526146766468</v>
      </c>
      <c r="BW35" s="31" t="n">
        <v>0.0008500009074290951</v>
      </c>
      <c r="BX35" s="31" t="n">
        <v>12757.17719505383</v>
      </c>
      <c r="BY35" s="31" t="n">
        <v>4797155.194341021</v>
      </c>
      <c r="BZ35" s="31" t="n">
        <v>1.992333615246333</v>
      </c>
      <c r="CA35" s="31" t="n">
        <v>56.61502116727792</v>
      </c>
      <c r="CB35" s="31" t="n">
        <v>5.471052672159604</v>
      </c>
      <c r="CC35" s="31" t="n">
        <v>1.595506751356891</v>
      </c>
      <c r="CD35" s="31" t="n">
        <v>177.9147411548879</v>
      </c>
      <c r="CE35" s="31" t="n">
        <v>60.17149767376738</v>
      </c>
      <c r="CF35" s="31" t="n">
        <v>-163.6669798911521</v>
      </c>
      <c r="CG35" s="31" t="n">
        <v>-892.4700544346184</v>
      </c>
      <c r="CH35" s="31" t="n">
        <v>-33206.42555105676</v>
      </c>
      <c r="CI35" s="31" t="n">
        <v>-62.09210374557763</v>
      </c>
      <c r="CJ35" s="31" t="n">
        <v>16.87254120416091</v>
      </c>
      <c r="CK35" s="31" t="n">
        <v>56.53638073114525</v>
      </c>
      <c r="CL35" s="31" t="n">
        <v>89.544875820652</v>
      </c>
      <c r="CM35" s="31" t="n">
        <v>-2.7288514833216</v>
      </c>
      <c r="CN35" s="31" t="n">
        <v>0</v>
      </c>
      <c r="CO35" s="31" t="n">
        <v>0</v>
      </c>
      <c r="CP35" s="31" t="n">
        <v>5.33436180684517</v>
      </c>
      <c r="CQ35" s="31" t="n">
        <v>-87.82837660060531</v>
      </c>
      <c r="CR35" s="31" t="n">
        <v>-2715.729628626386</v>
      </c>
      <c r="CS35" s="31" t="n">
        <v>661.4713011038111</v>
      </c>
      <c r="CT35" s="31" t="n">
        <v>603.9960393973536</v>
      </c>
      <c r="CU35" s="31" t="n">
        <v>-2848.955148210897</v>
      </c>
      <c r="CV35" s="31" t="n">
        <v>32223.51822582107</v>
      </c>
      <c r="CW35" s="31" t="n">
        <v>77410.19169553339</v>
      </c>
      <c r="CX35" s="31" t="n">
        <v>2777.550917068493</v>
      </c>
      <c r="CY35" s="31" t="n">
        <v>93712.25698041849</v>
      </c>
      <c r="CZ35" s="31" t="n">
        <v>141382.0885549568</v>
      </c>
      <c r="DA35" s="31" t="n">
        <v>12.8891196836664</v>
      </c>
      <c r="DB35" s="31" t="n">
        <v>531885.0403356177</v>
      </c>
      <c r="DC35" s="31" t="n">
        <v>-6779.71777934859</v>
      </c>
      <c r="DD35" s="31" t="n">
        <v>0.7100774842899935</v>
      </c>
      <c r="DE35" s="31" t="n">
        <v>0</v>
      </c>
      <c r="DF35" s="31">
        <f>SUM(C35:DE35)</f>
        <v/>
      </c>
      <c r="DG35" s="31" t="n">
        <v>0</v>
      </c>
      <c r="DH35" s="31" t="n">
        <v>0</v>
      </c>
      <c r="DI35" s="31" t="n">
        <v>0</v>
      </c>
      <c r="DJ35" s="31" t="n">
        <v>0</v>
      </c>
      <c r="DK35" s="31">
        <f>SUM(DG35:DJ35)</f>
        <v/>
      </c>
      <c r="DL35" s="31">
        <f>DF35+DK35</f>
        <v/>
      </c>
    </row>
    <row r="36">
      <c r="A36" s="28" t="inlineStr">
        <is>
          <t>1549</t>
        </is>
      </c>
      <c r="B36" s="28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9" t="n">
        <v>-669492.3316419731</v>
      </c>
      <c r="D36" s="29" t="n">
        <v>-71004.41214261847</v>
      </c>
      <c r="E36" s="29" t="n">
        <v>0</v>
      </c>
      <c r="F36" s="29" t="n">
        <v>232.7394707229585</v>
      </c>
      <c r="G36" s="29" t="n">
        <v>0</v>
      </c>
      <c r="H36" s="29" t="n">
        <v>279357.3734061875</v>
      </c>
      <c r="I36" s="29" t="n">
        <v>0.1124357177033511</v>
      </c>
      <c r="J36" s="29" t="n">
        <v>200148.4004331531</v>
      </c>
      <c r="K36" s="29" t="n">
        <v>282.6350505486986</v>
      </c>
      <c r="L36" s="29" t="n">
        <v>1822.925111137342</v>
      </c>
      <c r="M36" s="29" t="n">
        <v>31523.42152661147</v>
      </c>
      <c r="N36" s="29" t="n">
        <v>10100.5237793003</v>
      </c>
      <c r="O36" s="29" t="n">
        <v>-13607.39414376533</v>
      </c>
      <c r="P36" s="29" t="n">
        <v>34596.90036683768</v>
      </c>
      <c r="Q36" s="29" t="n">
        <v>-92281.5511408451</v>
      </c>
      <c r="R36" s="29" t="n">
        <v>322355.0602092289</v>
      </c>
      <c r="S36" s="29" t="n">
        <v>374774.9953571659</v>
      </c>
      <c r="T36" s="29" t="n">
        <v>94307.38783520795</v>
      </c>
      <c r="U36" s="29" t="n">
        <v>653232.6685242292</v>
      </c>
      <c r="V36" s="29" t="n">
        <v>-2817.216817437112</v>
      </c>
      <c r="W36" s="29" t="n">
        <v>239300.4230227578</v>
      </c>
      <c r="X36" s="29" t="n">
        <v>43291.26134941497</v>
      </c>
      <c r="Y36" s="29" t="n">
        <v>712792.8327123905</v>
      </c>
      <c r="Z36" s="29" t="n">
        <v>10427.06750398921</v>
      </c>
      <c r="AA36" s="29" t="n">
        <v>46301.2659982114</v>
      </c>
      <c r="AB36" s="29" t="n">
        <v>-1058.409177015707</v>
      </c>
      <c r="AC36" s="29" t="n">
        <v>6026855.674596095</v>
      </c>
      <c r="AD36" s="29" t="n">
        <v>3292.950385849488</v>
      </c>
      <c r="AE36" s="29" t="n">
        <v>5650.076802697524</v>
      </c>
      <c r="AF36" s="29" t="n">
        <v>-9465.861869336091</v>
      </c>
      <c r="AG36" s="29" t="n">
        <v>-337.7571610791229</v>
      </c>
      <c r="AH36" s="29" t="n">
        <v>-98.62441318679913</v>
      </c>
      <c r="AI36" s="29" t="n">
        <v>-970.234386924476</v>
      </c>
      <c r="AJ36" s="29" t="n">
        <v>124309.6218739398</v>
      </c>
      <c r="AK36" s="29" t="n">
        <v>-6364.807030938249</v>
      </c>
      <c r="AL36" s="29" t="n">
        <v>-1730.923310928877</v>
      </c>
      <c r="AM36" s="29" t="n">
        <v>-211352.0839907135</v>
      </c>
      <c r="AN36" s="29" t="n">
        <v>84449.98708384986</v>
      </c>
      <c r="AO36" s="29" t="n">
        <v>53350.56042235924</v>
      </c>
      <c r="AP36" s="29" t="n">
        <v>-7753.637113508561</v>
      </c>
      <c r="AQ36" s="29" t="n">
        <v>236704.9768733114</v>
      </c>
      <c r="AR36" s="29" t="n">
        <v>-1004.278396266046</v>
      </c>
      <c r="AS36" s="29" t="n">
        <v>-3976.715078697053</v>
      </c>
      <c r="AT36" s="29" t="n">
        <v>7128.119332406946</v>
      </c>
      <c r="AU36" s="29" t="n">
        <v>132177.2064372119</v>
      </c>
      <c r="AV36" s="29" t="n">
        <v>7947.001544085197</v>
      </c>
      <c r="AW36" s="29" t="n">
        <v>3654.541254921478</v>
      </c>
      <c r="AX36" s="29" t="n">
        <v>13388.98775621475</v>
      </c>
      <c r="AY36" s="29" t="n">
        <v>-3751.361469869548</v>
      </c>
      <c r="AZ36" s="29" t="n">
        <v>-2722.723125681676</v>
      </c>
      <c r="BA36" s="29" t="n">
        <v>-5319.133487187197</v>
      </c>
      <c r="BB36" s="29" t="n">
        <v>-23906.76297572505</v>
      </c>
      <c r="BC36" s="29" t="n">
        <v>-2258.699878752462</v>
      </c>
      <c r="BD36" s="29" t="n">
        <v>-356.9998782664673</v>
      </c>
      <c r="BE36" s="29" t="n">
        <v>-1367.185423326348</v>
      </c>
      <c r="BF36" s="29" t="n">
        <v>-789.7348382094056</v>
      </c>
      <c r="BG36" s="29" t="n">
        <v>-234.5163778196746</v>
      </c>
      <c r="BH36" s="29" t="n">
        <v>256.5887715696249</v>
      </c>
      <c r="BI36" s="29" t="n">
        <v>86.02301902428178</v>
      </c>
      <c r="BJ36" s="29" t="n">
        <v>-1947.764268952721</v>
      </c>
      <c r="BK36" s="29" t="n">
        <v>-82854.89760960959</v>
      </c>
      <c r="BL36" s="29" t="n">
        <v>24017.05902626789</v>
      </c>
      <c r="BM36" s="29" t="n">
        <v>-1098.599334925485</v>
      </c>
      <c r="BN36" s="29" t="n">
        <v>-3479.763144808385</v>
      </c>
      <c r="BO36" s="29" t="n">
        <v>-4630.240368622378</v>
      </c>
      <c r="BP36" s="29" t="n">
        <v>178.9522630784456</v>
      </c>
      <c r="BQ36" s="29" t="n">
        <v>55.25267166293969</v>
      </c>
      <c r="BR36" s="29" t="n">
        <v>98.53413987473036</v>
      </c>
      <c r="BS36" s="29" t="n">
        <v>11557.45171548752</v>
      </c>
      <c r="BT36" s="29" t="n">
        <v>2156.696208849154</v>
      </c>
      <c r="BU36" s="29" t="n">
        <v>2706.618226184674</v>
      </c>
      <c r="BV36" s="29" t="n">
        <v>7631.147683210684</v>
      </c>
      <c r="BW36" s="29" t="n">
        <v>10.41556777365087</v>
      </c>
      <c r="BX36" s="29" t="n">
        <v>46162.27173844352</v>
      </c>
      <c r="BY36" s="29" t="n">
        <v>1212559.350299213</v>
      </c>
      <c r="BZ36" s="29" t="n">
        <v>27.67822768440081</v>
      </c>
      <c r="CA36" s="29" t="n">
        <v>85.64894719324266</v>
      </c>
      <c r="CB36" s="29" t="n">
        <v>180.605575532835</v>
      </c>
      <c r="CC36" s="29" t="n">
        <v>0.9221987995578425</v>
      </c>
      <c r="CD36" s="29" t="n">
        <v>63.32451965625314</v>
      </c>
      <c r="CE36" s="29" t="n">
        <v>111.9035860104213</v>
      </c>
      <c r="CF36" s="29" t="n">
        <v>-4256.868161796353</v>
      </c>
      <c r="CG36" s="29" t="n">
        <v>-9273.457591070626</v>
      </c>
      <c r="CH36" s="29" t="n">
        <v>-847652.3534667509</v>
      </c>
      <c r="CI36" s="29" t="n">
        <v>3277.734946692229</v>
      </c>
      <c r="CJ36" s="29" t="n">
        <v>320.5543331195165</v>
      </c>
      <c r="CK36" s="29" t="n">
        <v>198.0646075376582</v>
      </c>
      <c r="CL36" s="29" t="n">
        <v>751.1284458872319</v>
      </c>
      <c r="CM36" s="29" t="n">
        <v>-126.9879222910936</v>
      </c>
      <c r="CN36" s="29" t="n">
        <v>53.36203427430522</v>
      </c>
      <c r="CO36" s="29" t="n">
        <v>23.96838719278109</v>
      </c>
      <c r="CP36" s="29" t="n">
        <v>24.98603918332013</v>
      </c>
      <c r="CQ36" s="29" t="n">
        <v>-2168.216897141491</v>
      </c>
      <c r="CR36" s="29" t="n">
        <v>-50611.12198752952</v>
      </c>
      <c r="CS36" s="29" t="n">
        <v>2104.227900413287</v>
      </c>
      <c r="CT36" s="29" t="n">
        <v>1921.391473399046</v>
      </c>
      <c r="CU36" s="29" t="n">
        <v>-63433.09695230902</v>
      </c>
      <c r="CV36" s="29" t="n">
        <v>103538.6056638604</v>
      </c>
      <c r="CW36" s="29" t="n">
        <v>88003.49354310823</v>
      </c>
      <c r="CX36" s="29" t="n">
        <v>5117.183059865944</v>
      </c>
      <c r="CY36" s="29" t="n">
        <v>245107.7551953296</v>
      </c>
      <c r="CZ36" s="29" t="n">
        <v>205550.9611495298</v>
      </c>
      <c r="DA36" s="29" t="n">
        <v>-628.9743969838208</v>
      </c>
      <c r="DB36" s="29" t="n">
        <v>77021.9725675784</v>
      </c>
      <c r="DC36" s="29" t="n">
        <v>-156549.4459884896</v>
      </c>
      <c r="DD36" s="29" t="n">
        <v>265.0446789952719</v>
      </c>
      <c r="DE36" s="29" t="n">
        <v>0</v>
      </c>
      <c r="DF36" s="29">
        <f>SUM(C36:DE36)</f>
        <v/>
      </c>
      <c r="DG36" s="29" t="n">
        <v>0</v>
      </c>
      <c r="DH36" s="29" t="n">
        <v>0</v>
      </c>
      <c r="DI36" s="29" t="n">
        <v>0</v>
      </c>
      <c r="DJ36" s="29" t="n">
        <v>0</v>
      </c>
      <c r="DK36" s="29">
        <f>SUM(DG36:DJ36)</f>
        <v/>
      </c>
      <c r="DL36" s="29">
        <f>DF36+DK36</f>
        <v/>
      </c>
    </row>
    <row r="37">
      <c r="A37" s="30" t="inlineStr">
        <is>
          <t>15510</t>
        </is>
      </c>
      <c r="B37" s="30" t="inlineStr">
        <is>
          <t>15510 - Destilación, rectificación y mezcla de bebidas alcohólicas; producción de alcohol etílico</t>
        </is>
      </c>
      <c r="C37" s="31" t="n">
        <v>-199338.2580231263</v>
      </c>
      <c r="D37" s="31" t="n">
        <v>-21445.2809587447</v>
      </c>
      <c r="E37" s="31" t="n">
        <v>0</v>
      </c>
      <c r="F37" s="31" t="n">
        <v>0</v>
      </c>
      <c r="G37" s="31" t="n">
        <v>0</v>
      </c>
      <c r="H37" s="31" t="n">
        <v>124324.6464196594</v>
      </c>
      <c r="I37" s="31" t="n">
        <v>0.003990190161982887</v>
      </c>
      <c r="J37" s="31" t="n">
        <v>1.479509405098513</v>
      </c>
      <c r="K37" s="31" t="n">
        <v>-340.5396045339553</v>
      </c>
      <c r="L37" s="31" t="n">
        <v>0.1738351337207097</v>
      </c>
      <c r="M37" s="31" t="n">
        <v>0.2872100683896238</v>
      </c>
      <c r="N37" s="31" t="n">
        <v>-10622.05136659527</v>
      </c>
      <c r="O37" s="31" t="n">
        <v>-4114.44582815781</v>
      </c>
      <c r="P37" s="31" t="n">
        <v>-1344.547880433233</v>
      </c>
      <c r="Q37" s="31" t="n">
        <v>-29436.50984541154</v>
      </c>
      <c r="R37" s="31" t="n">
        <v>1516.351951298758</v>
      </c>
      <c r="S37" s="31" t="n">
        <v>-5839.368745017893</v>
      </c>
      <c r="T37" s="31" t="n">
        <v>-9402.274831498753</v>
      </c>
      <c r="U37" s="31" t="n">
        <v>40388.10648641462</v>
      </c>
      <c r="V37" s="31" t="n">
        <v>-1006.202771171531</v>
      </c>
      <c r="W37" s="31" t="n">
        <v>220979.7044306722</v>
      </c>
      <c r="X37" s="31" t="n">
        <v>-1149.161771941475</v>
      </c>
      <c r="Y37" s="31" t="n">
        <v>-5969.843517497562</v>
      </c>
      <c r="Z37" s="31" t="n">
        <v>1322361.589973117</v>
      </c>
      <c r="AA37" s="31" t="n">
        <v>30277.75452194809</v>
      </c>
      <c r="AB37" s="31" t="n">
        <v>-759.9322714306842</v>
      </c>
      <c r="AC37" s="31" t="n">
        <v>-1348.496284744295</v>
      </c>
      <c r="AD37" s="31" t="n">
        <v>-23.01408424877055</v>
      </c>
      <c r="AE37" s="31" t="n">
        <v>-1124.298677904486</v>
      </c>
      <c r="AF37" s="31" t="n">
        <v>-3679.441117420291</v>
      </c>
      <c r="AG37" s="31" t="n">
        <v>-1509.3551414344</v>
      </c>
      <c r="AH37" s="31" t="n">
        <v>-136.157472770829</v>
      </c>
      <c r="AI37" s="31" t="n">
        <v>-623.5836737629509</v>
      </c>
      <c r="AJ37" s="31" t="n">
        <v>12242.83093232117</v>
      </c>
      <c r="AK37" s="31" t="n">
        <v>-2689.331848361108</v>
      </c>
      <c r="AL37" s="31" t="n">
        <v>5958.843484434621</v>
      </c>
      <c r="AM37" s="31" t="n">
        <v>-63859.05907694106</v>
      </c>
      <c r="AN37" s="31" t="n">
        <v>27221.89334917173</v>
      </c>
      <c r="AO37" s="31" t="n">
        <v>-1888.392309169002</v>
      </c>
      <c r="AP37" s="31" t="n">
        <v>-3703.304688404404</v>
      </c>
      <c r="AQ37" s="31" t="n">
        <v>274568.6933683802</v>
      </c>
      <c r="AR37" s="31" t="n">
        <v>-591.6598431827426</v>
      </c>
      <c r="AS37" s="31" t="n">
        <v>-1441.489488410546</v>
      </c>
      <c r="AT37" s="31" t="n">
        <v>-54.4291438179846</v>
      </c>
      <c r="AU37" s="31" t="n">
        <v>-2172.905774636729</v>
      </c>
      <c r="AV37" s="31" t="n">
        <v>-3707.914576873161</v>
      </c>
      <c r="AW37" s="31" t="n">
        <v>-499.2042837451111</v>
      </c>
      <c r="AX37" s="31" t="n">
        <v>749.5166088161128</v>
      </c>
      <c r="AY37" s="31" t="n">
        <v>-1152.321347178107</v>
      </c>
      <c r="AZ37" s="31" t="n">
        <v>44.41541379406976</v>
      </c>
      <c r="BA37" s="31" t="n">
        <v>-1697.98001546217</v>
      </c>
      <c r="BB37" s="31" t="n">
        <v>-7192.885087227891</v>
      </c>
      <c r="BC37" s="31" t="n">
        <v>-735.0514237486949</v>
      </c>
      <c r="BD37" s="31" t="n">
        <v>-108.6361905765471</v>
      </c>
      <c r="BE37" s="31" t="n">
        <v>-545.5351171333205</v>
      </c>
      <c r="BF37" s="31" t="n">
        <v>-217.7584066321202</v>
      </c>
      <c r="BG37" s="31" t="n">
        <v>-81.39275430977156</v>
      </c>
      <c r="BH37" s="31" t="n">
        <v>-57.53754994951841</v>
      </c>
      <c r="BI37" s="31" t="n">
        <v>-27.50476295503485</v>
      </c>
      <c r="BJ37" s="31" t="n">
        <v>-635.1553933881719</v>
      </c>
      <c r="BK37" s="31" t="n">
        <v>-25887.15897601994</v>
      </c>
      <c r="BL37" s="31" t="n">
        <v>-484.9131389372134</v>
      </c>
      <c r="BM37" s="31" t="n">
        <v>-379.9173238114601</v>
      </c>
      <c r="BN37" s="31" t="n">
        <v>-1353.731506912919</v>
      </c>
      <c r="BO37" s="31" t="n">
        <v>-936.8643017163001</v>
      </c>
      <c r="BP37" s="31" t="n">
        <v>9.824707295547528</v>
      </c>
      <c r="BQ37" s="31" t="n">
        <v>2.821086439724841</v>
      </c>
      <c r="BR37" s="31" t="n">
        <v>0.8262024714246491</v>
      </c>
      <c r="BS37" s="31" t="n">
        <v>0</v>
      </c>
      <c r="BT37" s="31" t="n">
        <v>7.905851288043993</v>
      </c>
      <c r="BU37" s="31" t="n">
        <v>19.45051643590446</v>
      </c>
      <c r="BV37" s="31" t="n">
        <v>162.5507064687821</v>
      </c>
      <c r="BW37" s="31" t="n">
        <v>0.0008797760059979575</v>
      </c>
      <c r="BX37" s="31" t="n">
        <v>-4726.164512827508</v>
      </c>
      <c r="BY37" s="31" t="n">
        <v>27882.94332717402</v>
      </c>
      <c r="BZ37" s="31" t="n">
        <v>0.5237884961400953</v>
      </c>
      <c r="CA37" s="31" t="n">
        <v>9.522111044573803</v>
      </c>
      <c r="CB37" s="31" t="n">
        <v>1.242342745642512</v>
      </c>
      <c r="CC37" s="31" t="n">
        <v>0.04980321561944473</v>
      </c>
      <c r="CD37" s="31" t="n">
        <v>1.633352610385391</v>
      </c>
      <c r="CE37" s="31" t="n">
        <v>14.36469014637618</v>
      </c>
      <c r="CF37" s="31" t="n">
        <v>-1271.496679783022</v>
      </c>
      <c r="CG37" s="31" t="n">
        <v>-7240.377676475201</v>
      </c>
      <c r="CH37" s="31" t="n">
        <v>-255938.5560051</v>
      </c>
      <c r="CI37" s="31" t="n">
        <v>-614.0458572719148</v>
      </c>
      <c r="CJ37" s="31" t="n">
        <v>19.71011930326822</v>
      </c>
      <c r="CK37" s="31" t="n">
        <v>-29.34489555208802</v>
      </c>
      <c r="CL37" s="31" t="n">
        <v>10.15398211077832</v>
      </c>
      <c r="CM37" s="31" t="n">
        <v>-90.081326925223</v>
      </c>
      <c r="CN37" s="31" t="n">
        <v>0</v>
      </c>
      <c r="CO37" s="31" t="n">
        <v>0</v>
      </c>
      <c r="CP37" s="31" t="n">
        <v>1.443593771341476</v>
      </c>
      <c r="CQ37" s="31" t="n">
        <v>-695.5142415380197</v>
      </c>
      <c r="CR37" s="31" t="n">
        <v>-21312.1306900887</v>
      </c>
      <c r="CS37" s="31" t="n">
        <v>1.972522637244701</v>
      </c>
      <c r="CT37" s="31" t="n">
        <v>1.801130084599762</v>
      </c>
      <c r="CU37" s="31" t="n">
        <v>-22394.05639465546</v>
      </c>
      <c r="CV37" s="31" t="n">
        <v>96.09127266146317</v>
      </c>
      <c r="CW37" s="31" t="n">
        <v>-675.7131829086143</v>
      </c>
      <c r="CX37" s="31" t="n">
        <v>5.771663953061118</v>
      </c>
      <c r="CY37" s="31" t="n">
        <v>-3533.032077004978</v>
      </c>
      <c r="CZ37" s="31" t="n">
        <v>9791.468003990678</v>
      </c>
      <c r="DA37" s="31" t="n">
        <v>-269.5317951713878</v>
      </c>
      <c r="DB37" s="31" t="n">
        <v>8011.202367273858</v>
      </c>
      <c r="DC37" s="31" t="n">
        <v>-25253.97798633821</v>
      </c>
      <c r="DD37" s="31" t="n">
        <v>12.48595104743594</v>
      </c>
      <c r="DE37" s="31" t="n">
        <v>0</v>
      </c>
      <c r="DF37" s="31">
        <f>SUM(C37:DE37)</f>
        <v/>
      </c>
      <c r="DG37" s="31" t="n">
        <v>0</v>
      </c>
      <c r="DH37" s="31" t="n">
        <v>0</v>
      </c>
      <c r="DI37" s="31" t="n">
        <v>0</v>
      </c>
      <c r="DJ37" s="31" t="n">
        <v>0</v>
      </c>
      <c r="DK37" s="31">
        <f>SUM(DG37:DJ37)</f>
        <v/>
      </c>
      <c r="DL37" s="31">
        <f>DF37+DK37</f>
        <v/>
      </c>
    </row>
    <row r="38">
      <c r="A38" s="28" t="inlineStr">
        <is>
          <t>1552</t>
        </is>
      </c>
      <c r="B38" s="28" t="inlineStr">
        <is>
          <t>15521 - Elaboración de vinos. 15529 - Elaboración de sidra y otras bebidas alcohólicas fermentadas a partir de frutas</t>
        </is>
      </c>
      <c r="C38" s="29" t="n">
        <v>-195377.1790670376</v>
      </c>
      <c r="D38" s="29" t="n">
        <v>-20913.52475846556</v>
      </c>
      <c r="E38" s="29" t="n">
        <v>0</v>
      </c>
      <c r="F38" s="29" t="n">
        <v>0</v>
      </c>
      <c r="G38" s="29" t="n">
        <v>0</v>
      </c>
      <c r="H38" s="29" t="n">
        <v>3849.031850217453</v>
      </c>
      <c r="I38" s="29" t="n">
        <v>0.2717174175049223</v>
      </c>
      <c r="J38" s="29" t="n">
        <v>93.58470121075966</v>
      </c>
      <c r="K38" s="29" t="n">
        <v>119.9964731221864</v>
      </c>
      <c r="L38" s="29" t="n">
        <v>2050.539195101315</v>
      </c>
      <c r="M38" s="29" t="n">
        <v>365.1314696499288</v>
      </c>
      <c r="N38" s="29" t="n">
        <v>-8725.18992427478</v>
      </c>
      <c r="O38" s="29" t="n">
        <v>-3486.045575482819</v>
      </c>
      <c r="P38" s="29" t="n">
        <v>6990.103582096909</v>
      </c>
      <c r="Q38" s="29" t="n">
        <v>-26648.68236208754</v>
      </c>
      <c r="R38" s="29" t="n">
        <v>-2351.87313947205</v>
      </c>
      <c r="S38" s="29" t="n">
        <v>-5313.866865647023</v>
      </c>
      <c r="T38" s="29" t="n">
        <v>-5021.510527888426</v>
      </c>
      <c r="U38" s="29" t="n">
        <v>-593.1069145575998</v>
      </c>
      <c r="V38" s="29" t="n">
        <v>-220.659218389831</v>
      </c>
      <c r="W38" s="29" t="n">
        <v>5092.206555921679</v>
      </c>
      <c r="X38" s="29" t="n">
        <v>-1012.962034607886</v>
      </c>
      <c r="Y38" s="29" t="n">
        <v>-6467.600178652205</v>
      </c>
      <c r="Z38" s="29" t="n">
        <v>48082.12046011462</v>
      </c>
      <c r="AA38" s="29" t="n">
        <v>6928808.781944961</v>
      </c>
      <c r="AB38" s="29" t="n">
        <v>-597.0915161047517</v>
      </c>
      <c r="AC38" s="29" t="n">
        <v>85221.85342470735</v>
      </c>
      <c r="AD38" s="29" t="n">
        <v>916.3306001474452</v>
      </c>
      <c r="AE38" s="29" t="n">
        <v>102.0704951022778</v>
      </c>
      <c r="AF38" s="29" t="n">
        <v>-2896.156724910275</v>
      </c>
      <c r="AG38" s="29" t="n">
        <v>-1264.189752724751</v>
      </c>
      <c r="AH38" s="29" t="n">
        <v>348.4645266386422</v>
      </c>
      <c r="AI38" s="29" t="n">
        <v>535.9397282926129</v>
      </c>
      <c r="AJ38" s="29" t="n">
        <v>5745.118494813123</v>
      </c>
      <c r="AK38" s="29" t="n">
        <v>-1587.875024169729</v>
      </c>
      <c r="AL38" s="29" t="n">
        <v>262.9262958117082</v>
      </c>
      <c r="AM38" s="29" t="n">
        <v>-59008.1378200218</v>
      </c>
      <c r="AN38" s="29" t="n">
        <v>2085.385005454513</v>
      </c>
      <c r="AO38" s="29" t="n">
        <v>-1689.457399944039</v>
      </c>
      <c r="AP38" s="29" t="n">
        <v>-1385.380734823155</v>
      </c>
      <c r="AQ38" s="29" t="n">
        <v>7946.41643896112</v>
      </c>
      <c r="AR38" s="29" t="n">
        <v>209.100022639079</v>
      </c>
      <c r="AS38" s="29" t="n">
        <v>-380.438879639105</v>
      </c>
      <c r="AT38" s="29" t="n">
        <v>125.2198033894702</v>
      </c>
      <c r="AU38" s="29" t="n">
        <v>-1238.191081320205</v>
      </c>
      <c r="AV38" s="29" t="n">
        <v>3731.885969703382</v>
      </c>
      <c r="AW38" s="29" t="n">
        <v>2599.424127641188</v>
      </c>
      <c r="AX38" s="29" t="n">
        <v>6131.214073300494</v>
      </c>
      <c r="AY38" s="29" t="n">
        <v>-862.2918999916175</v>
      </c>
      <c r="AZ38" s="29" t="n">
        <v>632.2582549202039</v>
      </c>
      <c r="BA38" s="29" t="n">
        <v>-1138.469294596229</v>
      </c>
      <c r="BB38" s="29" t="n">
        <v>-6087.768580314582</v>
      </c>
      <c r="BC38" s="29" t="n">
        <v>-469.3336441624197</v>
      </c>
      <c r="BD38" s="29" t="n">
        <v>-85.17683241159905</v>
      </c>
      <c r="BE38" s="29" t="n">
        <v>-267.5806452736184</v>
      </c>
      <c r="BF38" s="29" t="n">
        <v>416.5371699352381</v>
      </c>
      <c r="BG38" s="29" t="n">
        <v>91.42228619596553</v>
      </c>
      <c r="BH38" s="29" t="n">
        <v>2415.820744061074</v>
      </c>
      <c r="BI38" s="29" t="n">
        <v>42.13892639774803</v>
      </c>
      <c r="BJ38" s="29" t="n">
        <v>-454.8395142110419</v>
      </c>
      <c r="BK38" s="29" t="n">
        <v>-24571.44201731651</v>
      </c>
      <c r="BL38" s="29" t="n">
        <v>542.1074674902104</v>
      </c>
      <c r="BM38" s="29" t="n">
        <v>-187.2325379832486</v>
      </c>
      <c r="BN38" s="29" t="n">
        <v>-651.4751098983712</v>
      </c>
      <c r="BO38" s="29" t="n">
        <v>2924.51918228773</v>
      </c>
      <c r="BP38" s="29" t="n">
        <v>3531.114417761177</v>
      </c>
      <c r="BQ38" s="29" t="n">
        <v>1043.040564401072</v>
      </c>
      <c r="BR38" s="29" t="n">
        <v>203.9919902522853</v>
      </c>
      <c r="BS38" s="29" t="n">
        <v>230.790167553687</v>
      </c>
      <c r="BT38" s="29" t="n">
        <v>894.2898453895122</v>
      </c>
      <c r="BU38" s="29" t="n">
        <v>3283.584621405847</v>
      </c>
      <c r="BV38" s="29" t="n">
        <v>8509.760722351049</v>
      </c>
      <c r="BW38" s="29" t="n">
        <v>1.198136211357995</v>
      </c>
      <c r="BX38" s="29" t="n">
        <v>60837.2114833614</v>
      </c>
      <c r="BY38" s="29" t="n">
        <v>5724889.452791771</v>
      </c>
      <c r="BZ38" s="29" t="n">
        <v>24.56900424644978</v>
      </c>
      <c r="CA38" s="29" t="n">
        <v>264.6676632327739</v>
      </c>
      <c r="CB38" s="29" t="n">
        <v>125.4661275700962</v>
      </c>
      <c r="CC38" s="29" t="n">
        <v>6.485402720718646</v>
      </c>
      <c r="CD38" s="29" t="n">
        <v>178.0255971881226</v>
      </c>
      <c r="CE38" s="29" t="n">
        <v>135.0501586053406</v>
      </c>
      <c r="CF38" s="29" t="n">
        <v>-1120.360758677317</v>
      </c>
      <c r="CG38" s="29" t="n">
        <v>-3249.493474178073</v>
      </c>
      <c r="CH38" s="29" t="n">
        <v>-244967.0424368143</v>
      </c>
      <c r="CI38" s="29" t="n">
        <v>121.9407521284851</v>
      </c>
      <c r="CJ38" s="29" t="n">
        <v>4014.509368584753</v>
      </c>
      <c r="CK38" s="29" t="n">
        <v>555.2022886652394</v>
      </c>
      <c r="CL38" s="29" t="n">
        <v>2823.331780876633</v>
      </c>
      <c r="CM38" s="29" t="n">
        <v>660.9981245815728</v>
      </c>
      <c r="CN38" s="29" t="n">
        <v>15.89208048367531</v>
      </c>
      <c r="CO38" s="29" t="n">
        <v>7.138174987361443</v>
      </c>
      <c r="CP38" s="29" t="n">
        <v>520.8315447316088</v>
      </c>
      <c r="CQ38" s="29" t="n">
        <v>-478.7288917593258</v>
      </c>
      <c r="CR38" s="29" t="n">
        <v>-8618.671109106423</v>
      </c>
      <c r="CS38" s="29" t="n">
        <v>379.6562243461564</v>
      </c>
      <c r="CT38" s="29" t="n">
        <v>346.6678833306531</v>
      </c>
      <c r="CU38" s="29" t="n">
        <v>-11726.05876185439</v>
      </c>
      <c r="CV38" s="29" t="n">
        <v>18606.53491483963</v>
      </c>
      <c r="CW38" s="29" t="n">
        <v>521.4825100730781</v>
      </c>
      <c r="CX38" s="29" t="n">
        <v>435.6309647901664</v>
      </c>
      <c r="CY38" s="29" t="n">
        <v>10021.29895278784</v>
      </c>
      <c r="CZ38" s="29" t="n">
        <v>5490.206452113733</v>
      </c>
      <c r="DA38" s="29" t="n">
        <v>325.2370814652841</v>
      </c>
      <c r="DB38" s="29" t="n">
        <v>2987.987146504224</v>
      </c>
      <c r="DC38" s="29" t="n">
        <v>-46414.64570853666</v>
      </c>
      <c r="DD38" s="29" t="n">
        <v>39.12853367221483</v>
      </c>
      <c r="DE38" s="29" t="n">
        <v>0</v>
      </c>
      <c r="DF38" s="29">
        <f>SUM(C38:DE38)</f>
        <v/>
      </c>
      <c r="DG38" s="29" t="n">
        <v>0</v>
      </c>
      <c r="DH38" s="29" t="n">
        <v>0</v>
      </c>
      <c r="DI38" s="29" t="n">
        <v>0</v>
      </c>
      <c r="DJ38" s="29" t="n">
        <v>0</v>
      </c>
      <c r="DK38" s="29">
        <f>SUM(DG38:DJ38)</f>
        <v/>
      </c>
      <c r="DL38" s="29">
        <f>DF38+DK38</f>
        <v/>
      </c>
    </row>
    <row r="39">
      <c r="A39" s="30" t="inlineStr">
        <is>
          <t>15530</t>
        </is>
      </c>
      <c r="B39" s="30" t="inlineStr">
        <is>
          <t>15530 - Elaboración de cerveza, bebidas malteadas y de malta</t>
        </is>
      </c>
      <c r="C39" s="31" t="n">
        <v>-61049.40828297749</v>
      </c>
      <c r="D39" s="31" t="n">
        <v>-6567.899746491378</v>
      </c>
      <c r="E39" s="31" t="n">
        <v>0</v>
      </c>
      <c r="F39" s="31" t="n">
        <v>0</v>
      </c>
      <c r="G39" s="31" t="n">
        <v>0</v>
      </c>
      <c r="H39" s="31" t="n">
        <v>0.2270564253548865</v>
      </c>
      <c r="I39" s="31" t="n">
        <v>0.002084169303328984</v>
      </c>
      <c r="J39" s="31" t="n">
        <v>0.7727822386691732</v>
      </c>
      <c r="K39" s="31" t="n">
        <v>-104.0838517323551</v>
      </c>
      <c r="L39" s="31" t="n">
        <v>0.09079814114943079</v>
      </c>
      <c r="M39" s="31" t="n">
        <v>0.1500165114554857</v>
      </c>
      <c r="N39" s="31" t="n">
        <v>-2324.765888224991</v>
      </c>
      <c r="O39" s="31" t="n">
        <v>-1105.058807516582</v>
      </c>
      <c r="P39" s="31" t="n">
        <v>-389.611082914096</v>
      </c>
      <c r="Q39" s="31" t="n">
        <v>1111.928667551289</v>
      </c>
      <c r="R39" s="31" t="n">
        <v>-1477.142883294919</v>
      </c>
      <c r="S39" s="31" t="n">
        <v>-1756.224014440468</v>
      </c>
      <c r="T39" s="31" t="n">
        <v>186.426557256731</v>
      </c>
      <c r="U39" s="31" t="n">
        <v>-948.1233957117325</v>
      </c>
      <c r="V39" s="31" t="n">
        <v>172.5140102717046</v>
      </c>
      <c r="W39" s="31" t="n">
        <v>-681.1571633225593</v>
      </c>
      <c r="X39" s="31" t="n">
        <v>-351.9223208095328</v>
      </c>
      <c r="Y39" s="31" t="n">
        <v>31711.76830203049</v>
      </c>
      <c r="Z39" s="31" t="n">
        <v>-774.4120157426689</v>
      </c>
      <c r="AA39" s="31" t="n">
        <v>-1627.827176104454</v>
      </c>
      <c r="AB39" s="31" t="n">
        <v>5677151.990862028</v>
      </c>
      <c r="AC39" s="31" t="n">
        <v>-293.8947013923261</v>
      </c>
      <c r="AD39" s="31" t="n">
        <v>-5.330964953488929</v>
      </c>
      <c r="AE39" s="31" t="n">
        <v>6.915926278597354</v>
      </c>
      <c r="AF39" s="31" t="n">
        <v>-775.1113952784624</v>
      </c>
      <c r="AG39" s="31" t="n">
        <v>-424.7171026822477</v>
      </c>
      <c r="AH39" s="31" t="n">
        <v>52.46709203069322</v>
      </c>
      <c r="AI39" s="31" t="n">
        <v>-176.3019242752876</v>
      </c>
      <c r="AJ39" s="31" t="n">
        <v>3422.935297807059</v>
      </c>
      <c r="AK39" s="31" t="n">
        <v>-535.8784292150334</v>
      </c>
      <c r="AL39" s="31" t="n">
        <v>-31.2908348513067</v>
      </c>
      <c r="AM39" s="31" t="n">
        <v>-19549.82896526004</v>
      </c>
      <c r="AN39" s="31" t="n">
        <v>-1556.456013194316</v>
      </c>
      <c r="AO39" s="31" t="n">
        <v>-559.1396730706873</v>
      </c>
      <c r="AP39" s="31" t="n">
        <v>-1110.46362839832</v>
      </c>
      <c r="AQ39" s="31" t="n">
        <v>-2726.424292573707</v>
      </c>
      <c r="AR39" s="31" t="n">
        <v>-168.5172235940057</v>
      </c>
      <c r="AS39" s="31" t="n">
        <v>-198.4522382709803</v>
      </c>
      <c r="AT39" s="31" t="n">
        <v>-4.519178850196463</v>
      </c>
      <c r="AU39" s="31" t="n">
        <v>-510.8678933501575</v>
      </c>
      <c r="AV39" s="31" t="n">
        <v>3695.626174472068</v>
      </c>
      <c r="AW39" s="31" t="n">
        <v>2646.351692317302</v>
      </c>
      <c r="AX39" s="31" t="n">
        <v>5038.518817470615</v>
      </c>
      <c r="AY39" s="31" t="n">
        <v>-253.5208351253214</v>
      </c>
      <c r="AZ39" s="31" t="n">
        <v>737.7964974645802</v>
      </c>
      <c r="BA39" s="31" t="n">
        <v>-379.9766590428599</v>
      </c>
      <c r="BB39" s="31" t="n">
        <v>-741.401419653059</v>
      </c>
      <c r="BC39" s="31" t="n">
        <v>-114.6314943853978</v>
      </c>
      <c r="BD39" s="31" t="n">
        <v>-26.90076510509202</v>
      </c>
      <c r="BE39" s="31" t="n">
        <v>-51.4114370724608</v>
      </c>
      <c r="BF39" s="31" t="n">
        <v>445.1529097626567</v>
      </c>
      <c r="BG39" s="31" t="n">
        <v>31.95467539631985</v>
      </c>
      <c r="BH39" s="31" t="n">
        <v>972.289917630468</v>
      </c>
      <c r="BI39" s="31" t="n">
        <v>-2.027107485860905</v>
      </c>
      <c r="BJ39" s="31" t="n">
        <v>-152.2196460160283</v>
      </c>
      <c r="BK39" s="31" t="n">
        <v>-7894.676933226911</v>
      </c>
      <c r="BL39" s="31" t="n">
        <v>74.63719233859686</v>
      </c>
      <c r="BM39" s="31" t="n">
        <v>-58.6982388152458</v>
      </c>
      <c r="BN39" s="31" t="n">
        <v>-318.2624154857388</v>
      </c>
      <c r="BO39" s="31" t="n">
        <v>3411.677045293321</v>
      </c>
      <c r="BP39" s="31" t="n">
        <v>8.367016596533333</v>
      </c>
      <c r="BQ39" s="31" t="n">
        <v>0.4827811151078604</v>
      </c>
      <c r="BR39" s="31" t="n">
        <v>0.2415131594531424</v>
      </c>
      <c r="BS39" s="31" t="n">
        <v>0</v>
      </c>
      <c r="BT39" s="31" t="n">
        <v>3.740048146614085</v>
      </c>
      <c r="BU39" s="31" t="n">
        <v>139.9725853504357</v>
      </c>
      <c r="BV39" s="31" t="n">
        <v>424.8452454569734</v>
      </c>
      <c r="BW39" s="31" t="n">
        <v>0</v>
      </c>
      <c r="BX39" s="31" t="n">
        <v>101059.5542279593</v>
      </c>
      <c r="BY39" s="31" t="n">
        <v>6018876.54913331</v>
      </c>
      <c r="BZ39" s="31" t="n">
        <v>0.2566410199732777</v>
      </c>
      <c r="CA39" s="31" t="n">
        <v>4.821413098215552</v>
      </c>
      <c r="CB39" s="31" t="n">
        <v>79.44332026306185</v>
      </c>
      <c r="CC39" s="31" t="n">
        <v>0.02142374746584999</v>
      </c>
      <c r="CD39" s="31" t="n">
        <v>0.8531381297341029</v>
      </c>
      <c r="CE39" s="31" t="n">
        <v>7.503012397793073</v>
      </c>
      <c r="CF39" s="31" t="n">
        <v>-389.2051043810886</v>
      </c>
      <c r="CG39" s="31" t="n">
        <v>-2218.177975380779</v>
      </c>
      <c r="CH39" s="31" t="n">
        <v>-78385.38355157412</v>
      </c>
      <c r="CI39" s="31" t="n">
        <v>-187.5503271012894</v>
      </c>
      <c r="CJ39" s="31" t="n">
        <v>6.491424113851109</v>
      </c>
      <c r="CK39" s="31" t="n">
        <v>-8.615938389934531</v>
      </c>
      <c r="CL39" s="31" t="n">
        <v>2.980005855862323</v>
      </c>
      <c r="CM39" s="31" t="n">
        <v>-27.38065262786707</v>
      </c>
      <c r="CN39" s="31" t="n">
        <v>0</v>
      </c>
      <c r="CO39" s="31" t="n">
        <v>0</v>
      </c>
      <c r="CP39" s="31" t="n">
        <v>0.2567752830461139</v>
      </c>
      <c r="CQ39" s="31" t="n">
        <v>-212.8785266449409</v>
      </c>
      <c r="CR39" s="31" t="n">
        <v>-6531.850132390207</v>
      </c>
      <c r="CS39" s="31" t="n">
        <v>0.2057793552842979</v>
      </c>
      <c r="CT39" s="31" t="n">
        <v>0.1878991807717919</v>
      </c>
      <c r="CU39" s="31" t="n">
        <v>-6860.933059938418</v>
      </c>
      <c r="CV39" s="31" t="n">
        <v>10.02452380690753</v>
      </c>
      <c r="CW39" s="31" t="n">
        <v>-215.0221006993734</v>
      </c>
      <c r="CX39" s="31" t="n">
        <v>1.493569286351347</v>
      </c>
      <c r="CY39" s="31" t="n">
        <v>-1123.431741849948</v>
      </c>
      <c r="CZ39" s="31" t="n">
        <v>0.320124446970375</v>
      </c>
      <c r="DA39" s="31" t="n">
        <v>-82.39131044233392</v>
      </c>
      <c r="DB39" s="31" t="n">
        <v>0.9377318629246281</v>
      </c>
      <c r="DC39" s="31" t="n">
        <v>-15844.71000955011</v>
      </c>
      <c r="DD39" s="31" t="n">
        <v>0.5051612151848346</v>
      </c>
      <c r="DE39" s="31" t="n">
        <v>0</v>
      </c>
      <c r="DF39" s="31">
        <f>SUM(C39:DE39)</f>
        <v/>
      </c>
      <c r="DG39" s="31" t="n">
        <v>0</v>
      </c>
      <c r="DH39" s="31" t="n">
        <v>0</v>
      </c>
      <c r="DI39" s="31" t="n">
        <v>0</v>
      </c>
      <c r="DJ39" s="31" t="n">
        <v>0</v>
      </c>
      <c r="DK39" s="31">
        <f>SUM(DG39:DJ39)</f>
        <v/>
      </c>
      <c r="DL39" s="31">
        <f>DF39+DK39</f>
        <v/>
      </c>
    </row>
    <row r="40">
      <c r="A40" s="28" t="inlineStr">
        <is>
          <t>1554</t>
        </is>
      </c>
      <c r="B40" s="28" t="inlineStr">
        <is>
          <t>15541 - Elaboración de soda y aguas. 15542 - Elaboración de bebidas gaseosas, excepto soda. 15549 - Elaboración de hielo, jugos envasados para diluir y otras bebidas no alcohólicas</t>
        </is>
      </c>
      <c r="C40" s="29" t="n">
        <v>-545414.5689277551</v>
      </c>
      <c r="D40" s="29" t="n">
        <v>-58665.51986235847</v>
      </c>
      <c r="E40" s="29" t="n">
        <v>0</v>
      </c>
      <c r="F40" s="29" t="n">
        <v>0</v>
      </c>
      <c r="G40" s="29" t="n">
        <v>0</v>
      </c>
      <c r="H40" s="29" t="n">
        <v>4175.958435595165</v>
      </c>
      <c r="I40" s="29" t="n">
        <v>2.31868209009717</v>
      </c>
      <c r="J40" s="29" t="n">
        <v>883.0519866731499</v>
      </c>
      <c r="K40" s="29" t="n">
        <v>1982.450387651117</v>
      </c>
      <c r="L40" s="29" t="n">
        <v>456.3628644988839</v>
      </c>
      <c r="M40" s="29" t="n">
        <v>121.2509084352683</v>
      </c>
      <c r="N40" s="29" t="n">
        <v>-28044.26654887679</v>
      </c>
      <c r="O40" s="29" t="n">
        <v>-11158.26668749095</v>
      </c>
      <c r="P40" s="29" t="n">
        <v>14816.52187985282</v>
      </c>
      <c r="Q40" s="29" t="n">
        <v>-79980.90719488059</v>
      </c>
      <c r="R40" s="29" t="n">
        <v>-9911.997208323099</v>
      </c>
      <c r="S40" s="29" t="n">
        <v>-10712.00061083491</v>
      </c>
      <c r="T40" s="29" t="n">
        <v>-22655.07031316256</v>
      </c>
      <c r="U40" s="29" t="n">
        <v>-775.5284676054125</v>
      </c>
      <c r="V40" s="29" t="n">
        <v>-2586.443045843078</v>
      </c>
      <c r="W40" s="29" t="n">
        <v>-5233.082060963474</v>
      </c>
      <c r="X40" s="29" t="n">
        <v>-2489.119264787045</v>
      </c>
      <c r="Y40" s="29" t="n">
        <v>-24397.92904630089</v>
      </c>
      <c r="Z40" s="29" t="n">
        <v>-3898.439789852878</v>
      </c>
      <c r="AA40" s="29" t="n">
        <v>26296.46743812793</v>
      </c>
      <c r="AB40" s="29" t="n">
        <v>-1691.535429191354</v>
      </c>
      <c r="AC40" s="29" t="n">
        <v>279993.4702673264</v>
      </c>
      <c r="AD40" s="29" t="n">
        <v>3731.808517076828</v>
      </c>
      <c r="AE40" s="29" t="n">
        <v>-2800.836531975365</v>
      </c>
      <c r="AF40" s="29" t="n">
        <v>-9734.663348682907</v>
      </c>
      <c r="AG40" s="29" t="n">
        <v>-3940.587925567627</v>
      </c>
      <c r="AH40" s="29" t="n">
        <v>-154.4606661734601</v>
      </c>
      <c r="AI40" s="29" t="n">
        <v>-1558.096707779996</v>
      </c>
      <c r="AJ40" s="29" t="n">
        <v>983.5703834280721</v>
      </c>
      <c r="AK40" s="29" t="n">
        <v>-4293.728851967381</v>
      </c>
      <c r="AL40" s="29" t="n">
        <v>-1788.853672233928</v>
      </c>
      <c r="AM40" s="29" t="n">
        <v>-173578.8255006018</v>
      </c>
      <c r="AN40" s="29" t="n">
        <v>-15550.07418442918</v>
      </c>
      <c r="AO40" s="29" t="n">
        <v>-4026.883921757801</v>
      </c>
      <c r="AP40" s="29" t="n">
        <v>-8389.695797866018</v>
      </c>
      <c r="AQ40" s="29" t="n">
        <v>-23126.73660237061</v>
      </c>
      <c r="AR40" s="29" t="n">
        <v>-449.6323290655106</v>
      </c>
      <c r="AS40" s="29" t="n">
        <v>-3150.363078707281</v>
      </c>
      <c r="AT40" s="29" t="n">
        <v>249.3697721384228</v>
      </c>
      <c r="AU40" s="29" t="n">
        <v>-5582.610126255353</v>
      </c>
      <c r="AV40" s="29" t="n">
        <v>-7377.331721102018</v>
      </c>
      <c r="AW40" s="29" t="n">
        <v>2.937365764504193</v>
      </c>
      <c r="AX40" s="29" t="n">
        <v>3938.53431439216</v>
      </c>
      <c r="AY40" s="29" t="n">
        <v>-2971.336221018478</v>
      </c>
      <c r="AZ40" s="29" t="n">
        <v>-2553.681193411036</v>
      </c>
      <c r="BA40" s="29" t="n">
        <v>-4450.281846696943</v>
      </c>
      <c r="BB40" s="29" t="n">
        <v>-19393.42916679539</v>
      </c>
      <c r="BC40" s="29" t="n">
        <v>-1797.655964794705</v>
      </c>
      <c r="BD40" s="29" t="n">
        <v>-288.3399813292846</v>
      </c>
      <c r="BE40" s="29" t="n">
        <v>-1311.394276989431</v>
      </c>
      <c r="BF40" s="29" t="n">
        <v>-192.1901079235616</v>
      </c>
      <c r="BG40" s="29" t="n">
        <v>-147.6817706470801</v>
      </c>
      <c r="BH40" s="29" t="n">
        <v>199.8901172852665</v>
      </c>
      <c r="BI40" s="29" t="n">
        <v>-69.09376266799885</v>
      </c>
      <c r="BJ40" s="29" t="n">
        <v>-1576.565189069712</v>
      </c>
      <c r="BK40" s="29" t="n">
        <v>-65808.87986736733</v>
      </c>
      <c r="BL40" s="29" t="n">
        <v>-752.4009666950874</v>
      </c>
      <c r="BM40" s="29" t="n">
        <v>-880.6111910123923</v>
      </c>
      <c r="BN40" s="29" t="n">
        <v>-3471.725705216412</v>
      </c>
      <c r="BO40" s="29" t="n">
        <v>-1023.409732925568</v>
      </c>
      <c r="BP40" s="29" t="n">
        <v>518.1043338386366</v>
      </c>
      <c r="BQ40" s="29" t="n">
        <v>180.2949704476076</v>
      </c>
      <c r="BR40" s="29" t="n">
        <v>50.15130573922588</v>
      </c>
      <c r="BS40" s="29" t="n">
        <v>2246.367435406909</v>
      </c>
      <c r="BT40" s="29" t="n">
        <v>3126.326137807801</v>
      </c>
      <c r="BU40" s="29" t="n">
        <v>4049.605768973439</v>
      </c>
      <c r="BV40" s="29" t="n">
        <v>9288.84982291959</v>
      </c>
      <c r="BW40" s="29" t="n">
        <v>35.2646514079965</v>
      </c>
      <c r="BX40" s="29" t="n">
        <v>196311.1738470749</v>
      </c>
      <c r="BY40" s="29" t="n">
        <v>10703446.14716769</v>
      </c>
      <c r="BZ40" s="29" t="n">
        <v>45.52925797028946</v>
      </c>
      <c r="CA40" s="29" t="n">
        <v>529.1100497436788</v>
      </c>
      <c r="CB40" s="29" t="n">
        <v>201.8525300342143</v>
      </c>
      <c r="CC40" s="29" t="n">
        <v>14.47079303797039</v>
      </c>
      <c r="CD40" s="29" t="n">
        <v>1594.41001039534</v>
      </c>
      <c r="CE40" s="29" t="n">
        <v>547.8924381131451</v>
      </c>
      <c r="CF40" s="29" t="n">
        <v>-3443.485787086086</v>
      </c>
      <c r="CG40" s="29" t="n">
        <v>-1011.568630936671</v>
      </c>
      <c r="CH40" s="29" t="n">
        <v>-681348.0419248813</v>
      </c>
      <c r="CI40" s="29" t="n">
        <v>4973.773938248054</v>
      </c>
      <c r="CJ40" s="29" t="n">
        <v>306.3895837006355</v>
      </c>
      <c r="CK40" s="29" t="n">
        <v>770.2925143152059</v>
      </c>
      <c r="CL40" s="29" t="n">
        <v>455.5366221501125</v>
      </c>
      <c r="CM40" s="29" t="n">
        <v>-3.79984890454261</v>
      </c>
      <c r="CN40" s="29" t="n">
        <v>51.60234562841999</v>
      </c>
      <c r="CO40" s="29" t="n">
        <v>23.17799568359481</v>
      </c>
      <c r="CP40" s="29" t="n">
        <v>59.09388546472727</v>
      </c>
      <c r="CQ40" s="29" t="n">
        <v>-1683.591953403312</v>
      </c>
      <c r="CR40" s="29" t="n">
        <v>-32207.5348403456</v>
      </c>
      <c r="CS40" s="29" t="n">
        <v>1697.673392446438</v>
      </c>
      <c r="CT40" s="29" t="n">
        <v>1550.162499139162</v>
      </c>
      <c r="CU40" s="29" t="n">
        <v>-47139.64262182588</v>
      </c>
      <c r="CV40" s="29" t="n">
        <v>83961.28860445521</v>
      </c>
      <c r="CW40" s="29" t="n">
        <v>51477.08040539471</v>
      </c>
      <c r="CX40" s="29" t="n">
        <v>5905.271498618014</v>
      </c>
      <c r="CY40" s="29" t="n">
        <v>206441.4871796786</v>
      </c>
      <c r="CZ40" s="29" t="n">
        <v>9033.457576800054</v>
      </c>
      <c r="DA40" s="29" t="n">
        <v>-232.3357258574913</v>
      </c>
      <c r="DB40" s="29" t="n">
        <v>2535.168642514529</v>
      </c>
      <c r="DC40" s="29" t="n">
        <v>-119757.1759190735</v>
      </c>
      <c r="DD40" s="29" t="n">
        <v>20137.04309841937</v>
      </c>
      <c r="DE40" s="29" t="n">
        <v>0</v>
      </c>
      <c r="DF40" s="29">
        <f>SUM(C40:DE40)</f>
        <v/>
      </c>
      <c r="DG40" s="29" t="n">
        <v>0</v>
      </c>
      <c r="DH40" s="29" t="n">
        <v>0</v>
      </c>
      <c r="DI40" s="29" t="n">
        <v>0</v>
      </c>
      <c r="DJ40" s="29" t="n">
        <v>0</v>
      </c>
      <c r="DK40" s="29">
        <f>SUM(DG40:DJ40)</f>
        <v/>
      </c>
      <c r="DL40" s="29">
        <f>DF40+DK40</f>
        <v/>
      </c>
    </row>
    <row r="41">
      <c r="A41" s="30" t="inlineStr">
        <is>
          <t>160</t>
        </is>
      </c>
      <c r="B41" s="30" t="inlineStr">
        <is>
          <t>16001 - Preparación de hojas de tabaco. 16009 - Elaboración de cigarrillos y productos de tabaco n.c.p.</t>
        </is>
      </c>
      <c r="C41" s="31" t="n">
        <v>-135467.9957775892</v>
      </c>
      <c r="D41" s="31" t="n">
        <v>-14574.10055477002</v>
      </c>
      <c r="E41" s="31" t="n">
        <v>0</v>
      </c>
      <c r="F41" s="31" t="n">
        <v>0</v>
      </c>
      <c r="G41" s="31" t="n">
        <v>0</v>
      </c>
      <c r="H41" s="31" t="n">
        <v>0.2916362898595538</v>
      </c>
      <c r="I41" s="31" t="n">
        <v>0.01196370210759418</v>
      </c>
      <c r="J41" s="31" t="n">
        <v>2.518408898159115</v>
      </c>
      <c r="K41" s="31" t="n">
        <v>-230.2901730993095</v>
      </c>
      <c r="L41" s="31" t="n">
        <v>0.1166231388060307</v>
      </c>
      <c r="M41" s="31" t="n">
        <v>0.25942131307775</v>
      </c>
      <c r="N41" s="31" t="n">
        <v>-6810.025075657547</v>
      </c>
      <c r="O41" s="31" t="n">
        <v>-2776.372733425636</v>
      </c>
      <c r="P41" s="31" t="n">
        <v>-910.9181665634101</v>
      </c>
      <c r="Q41" s="31" t="n">
        <v>-19846.08325489684</v>
      </c>
      <c r="R41" s="31" t="n">
        <v>-3572.010903353778</v>
      </c>
      <c r="S41" s="31" t="n">
        <v>-3964.551303732303</v>
      </c>
      <c r="T41" s="31" t="n">
        <v>-4566.51245215615</v>
      </c>
      <c r="U41" s="31" t="n">
        <v>-2281.098843782572</v>
      </c>
      <c r="V41" s="31" t="n">
        <v>-621.400680041877</v>
      </c>
      <c r="W41" s="31" t="n">
        <v>-1511.363905024939</v>
      </c>
      <c r="X41" s="31" t="n">
        <v>-781.0551327268277</v>
      </c>
      <c r="Y41" s="31" t="n">
        <v>-11397.24343670496</v>
      </c>
      <c r="Z41" s="31" t="n">
        <v>-1718.193462628157</v>
      </c>
      <c r="AA41" s="31" t="n">
        <v>-3743.673662516274</v>
      </c>
      <c r="AB41" s="31" t="n">
        <v>-516.2887361367863</v>
      </c>
      <c r="AC41" s="31" t="n">
        <v>-901.2632944294264</v>
      </c>
      <c r="AD41" s="31" t="n">
        <v>4246191.496751139</v>
      </c>
      <c r="AE41" s="31" t="n">
        <v>-691.1326909153253</v>
      </c>
      <c r="AF41" s="31" t="n">
        <v>-2454.573486690148</v>
      </c>
      <c r="AG41" s="31" t="n">
        <v>-1020.341923078275</v>
      </c>
      <c r="AH41" s="31" t="n">
        <v>-57.66592591146494</v>
      </c>
      <c r="AI41" s="31" t="n">
        <v>-422.252054274</v>
      </c>
      <c r="AJ41" s="31" t="n">
        <v>1344.61149517157</v>
      </c>
      <c r="AK41" s="31" t="n">
        <v>-1788.239552353715</v>
      </c>
      <c r="AL41" s="31" t="n">
        <v>-466.1047466269357</v>
      </c>
      <c r="AM41" s="31" t="n">
        <v>-43397.324540683</v>
      </c>
      <c r="AN41" s="31" t="n">
        <v>-4180.293305660902</v>
      </c>
      <c r="AO41" s="31" t="n">
        <v>-1277.668400491336</v>
      </c>
      <c r="AP41" s="31" t="n">
        <v>-2513.102250150384</v>
      </c>
      <c r="AQ41" s="31" t="n">
        <v>-8260.744112503238</v>
      </c>
      <c r="AR41" s="31" t="n">
        <v>-476.8550347778574</v>
      </c>
      <c r="AS41" s="31" t="n">
        <v>-895.9004102253477</v>
      </c>
      <c r="AT41" s="31" t="n">
        <v>-30.02291567752307</v>
      </c>
      <c r="AU41" s="31" t="n">
        <v>-1394.972563924222</v>
      </c>
      <c r="AV41" s="31" t="n">
        <v>240.2897855039396</v>
      </c>
      <c r="AW41" s="31" t="n">
        <v>1316.99372769214</v>
      </c>
      <c r="AX41" s="31" t="n">
        <v>3144.37078765981</v>
      </c>
      <c r="AY41" s="31" t="n">
        <v>-765.9226985589966</v>
      </c>
      <c r="AZ41" s="31" t="n">
        <v>-316.4116324943444</v>
      </c>
      <c r="BA41" s="31" t="n">
        <v>-1134.508847458736</v>
      </c>
      <c r="BB41" s="31" t="n">
        <v>-4813.672944959532</v>
      </c>
      <c r="BC41" s="31" t="n">
        <v>-485.091694872056</v>
      </c>
      <c r="BD41" s="31" t="n">
        <v>-73.01060388146625</v>
      </c>
      <c r="BE41" s="31" t="n">
        <v>-355.6685044216178</v>
      </c>
      <c r="BF41" s="31" t="n">
        <v>155.4953845433809</v>
      </c>
      <c r="BG41" s="31" t="n">
        <v>-37.58163998666188</v>
      </c>
      <c r="BH41" s="31" t="n">
        <v>88.39052424134182</v>
      </c>
      <c r="BI41" s="31" t="n">
        <v>-17.92884640673736</v>
      </c>
      <c r="BJ41" s="31" t="n">
        <v>-426.1343818684917</v>
      </c>
      <c r="BK41" s="31" t="n">
        <v>-17583.24230531826</v>
      </c>
      <c r="BL41" s="31" t="n">
        <v>-270.544880236039</v>
      </c>
      <c r="BM41" s="31" t="n">
        <v>-250.7168856381225</v>
      </c>
      <c r="BN41" s="31" t="n">
        <v>-889.7866472699631</v>
      </c>
      <c r="BO41" s="31" t="n">
        <v>1554.516597228812</v>
      </c>
      <c r="BP41" s="31" t="n">
        <v>12.22913611576685</v>
      </c>
      <c r="BQ41" s="31" t="n">
        <v>1.725851929406616</v>
      </c>
      <c r="BR41" s="31" t="n">
        <v>2.18104982849708</v>
      </c>
      <c r="BS41" s="31" t="n">
        <v>0</v>
      </c>
      <c r="BT41" s="31" t="n">
        <v>8.070585482761718</v>
      </c>
      <c r="BU41" s="31" t="n">
        <v>34.20919106304688</v>
      </c>
      <c r="BV41" s="31" t="n">
        <v>160.5073534183</v>
      </c>
      <c r="BW41" s="31" t="n">
        <v>0</v>
      </c>
      <c r="BX41" s="31" t="n">
        <v>-2700.811746848824</v>
      </c>
      <c r="BY41" s="31" t="n">
        <v>24.91416001250676</v>
      </c>
      <c r="BZ41" s="31" t="n">
        <v>0.8038593381934934</v>
      </c>
      <c r="CA41" s="31" t="n">
        <v>14.40745782593459</v>
      </c>
      <c r="CB41" s="31" t="n">
        <v>12.69544967159414</v>
      </c>
      <c r="CC41" s="31" t="n">
        <v>0.05899882903310087</v>
      </c>
      <c r="CD41" s="31" t="n">
        <v>1.095789465127409</v>
      </c>
      <c r="CE41" s="31" t="n">
        <v>13.97725384606846</v>
      </c>
      <c r="CF41" s="31" t="n">
        <v>-864.0435997778336</v>
      </c>
      <c r="CG41" s="31" t="n">
        <v>-4908.228093400911</v>
      </c>
      <c r="CH41" s="31" t="n">
        <v>-173917.800830163</v>
      </c>
      <c r="CI41" s="31" t="n">
        <v>-412.0803795524591</v>
      </c>
      <c r="CJ41" s="31" t="n">
        <v>8.396688908153793</v>
      </c>
      <c r="CK41" s="31" t="n">
        <v>-20.2424889246659</v>
      </c>
      <c r="CL41" s="31" t="n">
        <v>5.124267340141788</v>
      </c>
      <c r="CM41" s="31" t="n">
        <v>-61.88726153299991</v>
      </c>
      <c r="CN41" s="31" t="n">
        <v>21.85496899157777</v>
      </c>
      <c r="CO41" s="31" t="n">
        <v>9.816499052184618</v>
      </c>
      <c r="CP41" s="31" t="n">
        <v>0.4926266670551305</v>
      </c>
      <c r="CQ41" s="31" t="n">
        <v>-472.5051886898851</v>
      </c>
      <c r="CR41" s="31" t="n">
        <v>-14474.85665200354</v>
      </c>
      <c r="CS41" s="31" t="n">
        <v>0.6949928418323902</v>
      </c>
      <c r="CT41" s="31" t="n">
        <v>0.6346048924205663</v>
      </c>
      <c r="CU41" s="31" t="n">
        <v>-15213.53749557036</v>
      </c>
      <c r="CV41" s="31" t="n">
        <v>34.87563614513798</v>
      </c>
      <c r="CW41" s="31" t="n">
        <v>-476.2513881993995</v>
      </c>
      <c r="CX41" s="31" t="n">
        <v>3.705474033376487</v>
      </c>
      <c r="CY41" s="31" t="n">
        <v>-2490.844087554467</v>
      </c>
      <c r="CZ41" s="31" t="n">
        <v>2.952980732513839</v>
      </c>
      <c r="DA41" s="31" t="n">
        <v>-183.3442083800994</v>
      </c>
      <c r="DB41" s="31" t="n">
        <v>1.996934573545474</v>
      </c>
      <c r="DC41" s="31" t="n">
        <v>-35145.68985024393</v>
      </c>
      <c r="DD41" s="31" t="n">
        <v>1.074776499197275</v>
      </c>
      <c r="DE41" s="31" t="n">
        <v>0</v>
      </c>
      <c r="DF41" s="31">
        <f>SUM(C41:DE41)</f>
        <v/>
      </c>
      <c r="DG41" s="31" t="n">
        <v>0</v>
      </c>
      <c r="DH41" s="31" t="n">
        <v>0</v>
      </c>
      <c r="DI41" s="31" t="n">
        <v>0</v>
      </c>
      <c r="DJ41" s="31" t="n">
        <v>0</v>
      </c>
      <c r="DK41" s="31">
        <f>SUM(DG41:DJ41)</f>
        <v/>
      </c>
      <c r="DL41" s="31">
        <f>DF41+DK41</f>
        <v/>
      </c>
    </row>
    <row r="42">
      <c r="A42" s="28" t="inlineStr">
        <is>
          <t>171/2</t>
        </is>
      </c>
      <c r="B42" s="28" t="inlineStr">
        <is>
          <t>Hilatura, tejedura y acabado de productos textiles. Fabricación de otros productos textiles</t>
        </is>
      </c>
      <c r="C42" s="29" t="n">
        <v>-317266.2572931484</v>
      </c>
      <c r="D42" s="29" t="n">
        <v>-33618.64214503256</v>
      </c>
      <c r="E42" s="29" t="n">
        <v>0</v>
      </c>
      <c r="F42" s="29" t="n">
        <v>451.4676903173565</v>
      </c>
      <c r="G42" s="29" t="n">
        <v>82.51912666912251</v>
      </c>
      <c r="H42" s="29" t="n">
        <v>10057.38687612312</v>
      </c>
      <c r="I42" s="29" t="n">
        <v>0.2792946438917704</v>
      </c>
      <c r="J42" s="29" t="n">
        <v>41705.24188416155</v>
      </c>
      <c r="K42" s="29" t="n">
        <v>181.128183700794</v>
      </c>
      <c r="L42" s="29" t="n">
        <v>1605.715056743599</v>
      </c>
      <c r="M42" s="29" t="n">
        <v>2127.903096120184</v>
      </c>
      <c r="N42" s="29" t="n">
        <v>-17248.51793629566</v>
      </c>
      <c r="O42" s="29" t="n">
        <v>-7134.518896537425</v>
      </c>
      <c r="P42" s="29" t="n">
        <v>-2064.026352489963</v>
      </c>
      <c r="Q42" s="29" t="n">
        <v>740809.5992696191</v>
      </c>
      <c r="R42" s="29" t="n">
        <v>-2459.26844324725</v>
      </c>
      <c r="S42" s="29" t="n">
        <v>-6983.196919040394</v>
      </c>
      <c r="T42" s="29" t="n">
        <v>10252.81941645759</v>
      </c>
      <c r="U42" s="29" t="n">
        <v>-881.5959710021889</v>
      </c>
      <c r="V42" s="29" t="n">
        <v>2025.011696588834</v>
      </c>
      <c r="W42" s="29" t="n">
        <v>-2346.077036217573</v>
      </c>
      <c r="X42" s="29" t="n">
        <v>-1634.796208778141</v>
      </c>
      <c r="Y42" s="29" t="n">
        <v>-18955.25688205371</v>
      </c>
      <c r="Z42" s="29" t="n">
        <v>-5117.430410067206</v>
      </c>
      <c r="AA42" s="29" t="n">
        <v>-10391.70773591512</v>
      </c>
      <c r="AB42" s="29" t="n">
        <v>91.5972438954168</v>
      </c>
      <c r="AC42" s="29" t="n">
        <v>3813.521372698122</v>
      </c>
      <c r="AD42" s="29" t="n">
        <v>38372.71263531513</v>
      </c>
      <c r="AE42" s="29" t="n">
        <v>6987361.336093971</v>
      </c>
      <c r="AF42" s="29" t="n">
        <v>16088275.15460913</v>
      </c>
      <c r="AG42" s="29" t="n">
        <v>153251.7981846364</v>
      </c>
      <c r="AH42" s="29" t="n">
        <v>950134.054299149</v>
      </c>
      <c r="AI42" s="29" t="n">
        <v>37310.45386225085</v>
      </c>
      <c r="AJ42" s="29" t="n">
        <v>615061.7911323241</v>
      </c>
      <c r="AK42" s="29" t="n">
        <v>-759.069890077345</v>
      </c>
      <c r="AL42" s="29" t="n">
        <v>33241.99040908561</v>
      </c>
      <c r="AM42" s="29" t="n">
        <v>-134034.4279070748</v>
      </c>
      <c r="AN42" s="29" t="n">
        <v>-12782.38534550602</v>
      </c>
      <c r="AO42" s="29" t="n">
        <v>-3393.267560073994</v>
      </c>
      <c r="AP42" s="29" t="n">
        <v>-6101.210695480463</v>
      </c>
      <c r="AQ42" s="29" t="n">
        <v>432297.6365032586</v>
      </c>
      <c r="AR42" s="29" t="n">
        <v>2840216.72422197</v>
      </c>
      <c r="AS42" s="29" t="n">
        <v>600868.970206649</v>
      </c>
      <c r="AT42" s="29" t="n">
        <v>3470.8070573357</v>
      </c>
      <c r="AU42" s="29" t="n">
        <v>232537.6768951276</v>
      </c>
      <c r="AV42" s="29" t="n">
        <v>1143.557127628073</v>
      </c>
      <c r="AW42" s="29" t="n">
        <v>3223.943766968481</v>
      </c>
      <c r="AX42" s="29" t="n">
        <v>12071.68499062049</v>
      </c>
      <c r="AY42" s="29" t="n">
        <v>34387.16430874084</v>
      </c>
      <c r="AZ42" s="29" t="n">
        <v>2909.722213279941</v>
      </c>
      <c r="BA42" s="29" t="n">
        <v>58322.61677466056</v>
      </c>
      <c r="BB42" s="29" t="n">
        <v>-8379.762090653901</v>
      </c>
      <c r="BC42" s="29" t="n">
        <v>-222.6073718228384</v>
      </c>
      <c r="BD42" s="29" t="n">
        <v>-17.46408187866848</v>
      </c>
      <c r="BE42" s="29" t="n">
        <v>25.73841245434943</v>
      </c>
      <c r="BF42" s="29" t="n">
        <v>429.5234566943301</v>
      </c>
      <c r="BG42" s="29" t="n">
        <v>1708.915104630619</v>
      </c>
      <c r="BH42" s="29" t="n">
        <v>8248.213961162657</v>
      </c>
      <c r="BI42" s="29" t="n">
        <v>177.294812342792</v>
      </c>
      <c r="BJ42" s="29" t="n">
        <v>11197.58499868011</v>
      </c>
      <c r="BK42" s="29" t="n">
        <v>27122.70308950277</v>
      </c>
      <c r="BL42" s="29" t="n">
        <v>192910.1655324393</v>
      </c>
      <c r="BM42" s="29" t="n">
        <v>12546.90447440288</v>
      </c>
      <c r="BN42" s="29" t="n">
        <v>1091570.59172365</v>
      </c>
      <c r="BO42" s="29" t="n">
        <v>3793.091676207532</v>
      </c>
      <c r="BP42" s="29" t="n">
        <v>560.4866216181576</v>
      </c>
      <c r="BQ42" s="29" t="n">
        <v>158.628944270555</v>
      </c>
      <c r="BR42" s="29" t="n">
        <v>79.88494172629547</v>
      </c>
      <c r="BS42" s="29" t="n">
        <v>25931.54074211412</v>
      </c>
      <c r="BT42" s="29" t="n">
        <v>955473.1278840341</v>
      </c>
      <c r="BU42" s="29" t="n">
        <v>990360.3534841437</v>
      </c>
      <c r="BV42" s="29" t="n">
        <v>959628.410077429</v>
      </c>
      <c r="BW42" s="29" t="n">
        <v>772604.4673242203</v>
      </c>
      <c r="BX42" s="29" t="n">
        <v>116431.0498078899</v>
      </c>
      <c r="BY42" s="29" t="n">
        <v>4235538.138999592</v>
      </c>
      <c r="BZ42" s="29" t="n">
        <v>11.83282094144887</v>
      </c>
      <c r="CA42" s="29" t="n">
        <v>225.2256369554318</v>
      </c>
      <c r="CB42" s="29" t="n">
        <v>955.251376121998</v>
      </c>
      <c r="CC42" s="29" t="n">
        <v>3.362108160040972</v>
      </c>
      <c r="CD42" s="29" t="n">
        <v>404.3885459342282</v>
      </c>
      <c r="CE42" s="29" t="n">
        <v>2340.15647574536</v>
      </c>
      <c r="CF42" s="29" t="n">
        <v>-2533.342792078727</v>
      </c>
      <c r="CG42" s="29" t="n">
        <v>-14059.97852790841</v>
      </c>
      <c r="CH42" s="29" t="n">
        <v>-537948.8590094078</v>
      </c>
      <c r="CI42" s="29" t="n">
        <v>-969.0625334354006</v>
      </c>
      <c r="CJ42" s="29" t="n">
        <v>4379.868924530014</v>
      </c>
      <c r="CK42" s="29" t="n">
        <v>658.4444588579768</v>
      </c>
      <c r="CL42" s="29" t="n">
        <v>19209.23357053148</v>
      </c>
      <c r="CM42" s="29" t="n">
        <v>1148.042422357412</v>
      </c>
      <c r="CN42" s="29" t="n">
        <v>611630.669479863</v>
      </c>
      <c r="CO42" s="29" t="n">
        <v>382191.4826754347</v>
      </c>
      <c r="CP42" s="29" t="n">
        <v>77.01836593559857</v>
      </c>
      <c r="CQ42" s="29" t="n">
        <v>-1169.760663345562</v>
      </c>
      <c r="CR42" s="29" t="n">
        <v>-42084.63502175058</v>
      </c>
      <c r="CS42" s="29" t="n">
        <v>10510.54234078237</v>
      </c>
      <c r="CT42" s="29" t="n">
        <v>9597.280993381197</v>
      </c>
      <c r="CU42" s="29" t="n">
        <v>-12057.36580194233</v>
      </c>
      <c r="CV42" s="29" t="n">
        <v>511294.9944714279</v>
      </c>
      <c r="CW42" s="29" t="n">
        <v>356376.7572024415</v>
      </c>
      <c r="CX42" s="29" t="n">
        <v>81585.00576451982</v>
      </c>
      <c r="CY42" s="29" t="n">
        <v>1152146.202636951</v>
      </c>
      <c r="CZ42" s="29" t="n">
        <v>266064.5001071843</v>
      </c>
      <c r="DA42" s="29" t="n">
        <v>4894.12127629489</v>
      </c>
      <c r="DB42" s="29" t="n">
        <v>61033.3970995625</v>
      </c>
      <c r="DC42" s="29" t="n">
        <v>-106827.8857545614</v>
      </c>
      <c r="DD42" s="29" t="n">
        <v>370011.8917359537</v>
      </c>
      <c r="DE42" s="29" t="n">
        <v>0</v>
      </c>
      <c r="DF42" s="29">
        <f>SUM(C42:DE42)</f>
        <v/>
      </c>
      <c r="DG42" s="29" t="n">
        <v>0</v>
      </c>
      <c r="DH42" s="29" t="n">
        <v>0</v>
      </c>
      <c r="DI42" s="29" t="n">
        <v>0</v>
      </c>
      <c r="DJ42" s="29" t="n">
        <v>0</v>
      </c>
      <c r="DK42" s="29">
        <f>SUM(DG42:DJ42)</f>
        <v/>
      </c>
      <c r="DL42" s="29">
        <f>DF42+DK42</f>
        <v/>
      </c>
    </row>
    <row r="43">
      <c r="A43" s="30" t="inlineStr">
        <is>
          <t>18</t>
        </is>
      </c>
      <c r="B43" s="3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31" t="n">
        <v>1216089.640482686</v>
      </c>
      <c r="D43" s="31" t="n">
        <v>368945.9700764352</v>
      </c>
      <c r="E43" s="31" t="n">
        <v>0</v>
      </c>
      <c r="F43" s="31" t="n">
        <v>1462.32277484334</v>
      </c>
      <c r="G43" s="31" t="n">
        <v>0</v>
      </c>
      <c r="H43" s="31" t="n">
        <v>173348.4964691535</v>
      </c>
      <c r="I43" s="31" t="n">
        <v>0.8857733248939238</v>
      </c>
      <c r="J43" s="31" t="n">
        <v>2414292.122028662</v>
      </c>
      <c r="K43" s="31" t="n">
        <v>355605.3439299765</v>
      </c>
      <c r="L43" s="31" t="n">
        <v>205.8944883361278</v>
      </c>
      <c r="M43" s="31" t="n">
        <v>81.31617099109125</v>
      </c>
      <c r="N43" s="31" t="n">
        <v>89079.681375755</v>
      </c>
      <c r="O43" s="31" t="n">
        <v>73005.44091919299</v>
      </c>
      <c r="P43" s="31" t="n">
        <v>12587.63685843008</v>
      </c>
      <c r="Q43" s="31" t="n">
        <v>136.6846376443136</v>
      </c>
      <c r="R43" s="31" t="n">
        <v>27175.10315419728</v>
      </c>
      <c r="S43" s="31" t="n">
        <v>7961.401187393043</v>
      </c>
      <c r="T43" s="31" t="n">
        <v>5178.036140690199</v>
      </c>
      <c r="U43" s="31" t="n">
        <v>65025.69268884119</v>
      </c>
      <c r="V43" s="31" t="n">
        <v>8263.481953499664</v>
      </c>
      <c r="W43" s="31" t="n">
        <v>7575.374884505357</v>
      </c>
      <c r="X43" s="31" t="n">
        <v>7897.075552651166</v>
      </c>
      <c r="Y43" s="31" t="n">
        <v>7190.577803631659</v>
      </c>
      <c r="Z43" s="31" t="n">
        <v>-468.1264656816916</v>
      </c>
      <c r="AA43" s="31" t="n">
        <v>13869.42752382472</v>
      </c>
      <c r="AB43" s="31" t="n">
        <v>14265.58447569042</v>
      </c>
      <c r="AC43" s="31" t="n">
        <v>49947.62752328389</v>
      </c>
      <c r="AD43" s="31" t="n">
        <v>41357.22286904926</v>
      </c>
      <c r="AE43" s="31" t="n">
        <v>21251.79548079451</v>
      </c>
      <c r="AF43" s="31" t="n">
        <v>301079.4215542187</v>
      </c>
      <c r="AG43" s="31" t="n">
        <v>28632.77171261399</v>
      </c>
      <c r="AH43" s="31" t="n">
        <v>83376.57678267323</v>
      </c>
      <c r="AI43" s="31" t="n">
        <v>39280.25231413918</v>
      </c>
      <c r="AJ43" s="31" t="n">
        <v>19191.21166417943</v>
      </c>
      <c r="AK43" s="31" t="n">
        <v>2496.900080610496</v>
      </c>
      <c r="AL43" s="31" t="n">
        <v>17910.12815087816</v>
      </c>
      <c r="AM43" s="31" t="n">
        <v>-51980.13431232406</v>
      </c>
      <c r="AN43" s="31" t="n">
        <v>12007.56296737649</v>
      </c>
      <c r="AO43" s="31" t="n">
        <v>2774.546331197258</v>
      </c>
      <c r="AP43" s="31" t="n">
        <v>5821.783353310246</v>
      </c>
      <c r="AQ43" s="31" t="n">
        <v>163075.8900039695</v>
      </c>
      <c r="AR43" s="31" t="n">
        <v>11762.51142578367</v>
      </c>
      <c r="AS43" s="31" t="n">
        <v>53712.61641232849</v>
      </c>
      <c r="AT43" s="31" t="n">
        <v>9743.410417109504</v>
      </c>
      <c r="AU43" s="31" t="n">
        <v>55993.58982131003</v>
      </c>
      <c r="AV43" s="31" t="n">
        <v>7679.494557997714</v>
      </c>
      <c r="AW43" s="31" t="n">
        <v>21986.18993684705</v>
      </c>
      <c r="AX43" s="31" t="n">
        <v>62986.11353386035</v>
      </c>
      <c r="AY43" s="31" t="n">
        <v>32841.74194519225</v>
      </c>
      <c r="AZ43" s="31" t="n">
        <v>72718.53398341453</v>
      </c>
      <c r="BA43" s="31" t="n">
        <v>27795.70697748886</v>
      </c>
      <c r="BB43" s="31" t="n">
        <v>54033.63999685983</v>
      </c>
      <c r="BC43" s="31" t="n">
        <v>15478.40480386244</v>
      </c>
      <c r="BD43" s="31" t="n">
        <v>-114.0307119406941</v>
      </c>
      <c r="BE43" s="31" t="n">
        <v>14844.9225858032</v>
      </c>
      <c r="BF43" s="31" t="n">
        <v>2876.844724068148</v>
      </c>
      <c r="BG43" s="31" t="n">
        <v>33438.51561218048</v>
      </c>
      <c r="BH43" s="31" t="n">
        <v>16568.66416735338</v>
      </c>
      <c r="BI43" s="31" t="n">
        <v>839.912257549649</v>
      </c>
      <c r="BJ43" s="31" t="n">
        <v>7939.450709491816</v>
      </c>
      <c r="BK43" s="31" t="n">
        <v>25231.89886585146</v>
      </c>
      <c r="BL43" s="31" t="n">
        <v>64886.2799560282</v>
      </c>
      <c r="BM43" s="31" t="n">
        <v>19733.25643785556</v>
      </c>
      <c r="BN43" s="31" t="n">
        <v>53005.11751167975</v>
      </c>
      <c r="BO43" s="31" t="n">
        <v>37301.67488584283</v>
      </c>
      <c r="BP43" s="31" t="n">
        <v>13408.1054652631</v>
      </c>
      <c r="BQ43" s="31" t="n">
        <v>62.65636900101085</v>
      </c>
      <c r="BR43" s="31" t="n">
        <v>24084.03789650249</v>
      </c>
      <c r="BS43" s="31" t="n">
        <v>160100.3943831202</v>
      </c>
      <c r="BT43" s="31" t="n">
        <v>407126.7430361508</v>
      </c>
      <c r="BU43" s="31" t="n">
        <v>808849.0601008248</v>
      </c>
      <c r="BV43" s="31" t="n">
        <v>1511761.672241389</v>
      </c>
      <c r="BW43" s="31" t="n">
        <v>43756.62699969939</v>
      </c>
      <c r="BX43" s="31" t="n">
        <v>64838.24585676241</v>
      </c>
      <c r="BY43" s="31" t="n">
        <v>1363925.998759112</v>
      </c>
      <c r="BZ43" s="31" t="n">
        <v>17.99533319025818</v>
      </c>
      <c r="CA43" s="31" t="n">
        <v>412.8599343245085</v>
      </c>
      <c r="CB43" s="31" t="n">
        <v>118775.3968528917</v>
      </c>
      <c r="CC43" s="31" t="n">
        <v>5.559220703968807</v>
      </c>
      <c r="CD43" s="31" t="n">
        <v>121978.1293292947</v>
      </c>
      <c r="CE43" s="31" t="n">
        <v>1230400.702924252</v>
      </c>
      <c r="CF43" s="31" t="n">
        <v>38682.87852186672</v>
      </c>
      <c r="CG43" s="31" t="n">
        <v>84703.84512914209</v>
      </c>
      <c r="CH43" s="31" t="n">
        <v>-332669.9685517487</v>
      </c>
      <c r="CI43" s="31" t="n">
        <v>1537.77013226018</v>
      </c>
      <c r="CJ43" s="31" t="n">
        <v>2779.759393078939</v>
      </c>
      <c r="CK43" s="31" t="n">
        <v>294.1035439082994</v>
      </c>
      <c r="CL43" s="31" t="n">
        <v>34729.69582937915</v>
      </c>
      <c r="CM43" s="31" t="n">
        <v>243.4500907629124</v>
      </c>
      <c r="CN43" s="31" t="n">
        <v>284.3772624071499</v>
      </c>
      <c r="CO43" s="31" t="n">
        <v>176.6824540920456</v>
      </c>
      <c r="CP43" s="31" t="n">
        <v>388.8910660977584</v>
      </c>
      <c r="CQ43" s="31" t="n">
        <v>21640.96802386959</v>
      </c>
      <c r="CR43" s="31" t="n">
        <v>-12850.97215709447</v>
      </c>
      <c r="CS43" s="31" t="n">
        <v>98228.43421184942</v>
      </c>
      <c r="CT43" s="31" t="n">
        <v>89693.3625406818</v>
      </c>
      <c r="CU43" s="31" t="n">
        <v>1855508.446025215</v>
      </c>
      <c r="CV43" s="31" t="n">
        <v>4785647.669094744</v>
      </c>
      <c r="CW43" s="31" t="n">
        <v>1674213.346335006</v>
      </c>
      <c r="CX43" s="31" t="n">
        <v>151769.4994658785</v>
      </c>
      <c r="CY43" s="31" t="n">
        <v>1876540.752066467</v>
      </c>
      <c r="CZ43" s="31" t="n">
        <v>229369.275520795</v>
      </c>
      <c r="DA43" s="31" t="n">
        <v>703287.3806691542</v>
      </c>
      <c r="DB43" s="31" t="n">
        <v>1324414.041442902</v>
      </c>
      <c r="DC43" s="31" t="n">
        <v>33737.71815504033</v>
      </c>
      <c r="DD43" s="31" t="n">
        <v>122250.6614257632</v>
      </c>
      <c r="DE43" s="31" t="n">
        <v>0</v>
      </c>
      <c r="DF43" s="31">
        <f>SUM(C43:DE43)</f>
        <v/>
      </c>
      <c r="DG43" s="31" t="n">
        <v>0</v>
      </c>
      <c r="DH43" s="31" t="n">
        <v>0</v>
      </c>
      <c r="DI43" s="31" t="n">
        <v>0</v>
      </c>
      <c r="DJ43" s="31" t="n">
        <v>0</v>
      </c>
      <c r="DK43" s="31">
        <f>SUM(DG43:DJ43)</f>
        <v/>
      </c>
      <c r="DL43" s="31">
        <f>DF43+DK43</f>
        <v/>
      </c>
    </row>
    <row r="44">
      <c r="A44" s="28" t="inlineStr">
        <is>
          <t>191</t>
        </is>
      </c>
      <c r="B44" s="28" t="inlineStr">
        <is>
          <t>19110 - Curtido y terminación de cueros. 19120 - Fabricación de maletas, bolsos de mano y similares, artículos de talabartería y artículos de cuero n.c.p.</t>
        </is>
      </c>
      <c r="C44" s="29" t="n">
        <v>442.7036312618402</v>
      </c>
      <c r="D44" s="29" t="n">
        <v>11678.19192517837</v>
      </c>
      <c r="E44" s="29" t="n">
        <v>0</v>
      </c>
      <c r="F44" s="29" t="n">
        <v>0</v>
      </c>
      <c r="G44" s="29" t="n">
        <v>0</v>
      </c>
      <c r="H44" s="29" t="n">
        <v>4795.050092509659</v>
      </c>
      <c r="I44" s="29" t="n">
        <v>0.01341910164220574</v>
      </c>
      <c r="J44" s="29" t="n">
        <v>5694.819112167571</v>
      </c>
      <c r="K44" s="29" t="n">
        <v>808.6060170343991</v>
      </c>
      <c r="L44" s="29" t="n">
        <v>0.7512922532719357</v>
      </c>
      <c r="M44" s="29" t="n">
        <v>0.7969518810762755</v>
      </c>
      <c r="N44" s="29" t="n">
        <v>6790.649527413383</v>
      </c>
      <c r="O44" s="29" t="n">
        <v>87.50812479215135</v>
      </c>
      <c r="P44" s="29" t="n">
        <v>-43.79226748460542</v>
      </c>
      <c r="Q44" s="29" t="n">
        <v>1505.386236261264</v>
      </c>
      <c r="R44" s="29" t="n">
        <v>450111.2084904278</v>
      </c>
      <c r="S44" s="29" t="n">
        <v>-488.9003586534586</v>
      </c>
      <c r="T44" s="29" t="n">
        <v>747.8862450850235</v>
      </c>
      <c r="U44" s="29" t="n">
        <v>4578.421914190548</v>
      </c>
      <c r="V44" s="29" t="n">
        <v>882.3699665455568</v>
      </c>
      <c r="W44" s="29" t="n">
        <v>375.7694083716021</v>
      </c>
      <c r="X44" s="29" t="n">
        <v>2629.81882872344</v>
      </c>
      <c r="Y44" s="29" t="n">
        <v>20094.39247906611</v>
      </c>
      <c r="Z44" s="29" t="n">
        <v>-249.0556637127636</v>
      </c>
      <c r="AA44" s="29" t="n">
        <v>-385.806233115821</v>
      </c>
      <c r="AB44" s="29" t="n">
        <v>-51.91382745368838</v>
      </c>
      <c r="AC44" s="29" t="n">
        <v>187.8771796979219</v>
      </c>
      <c r="AD44" s="29" t="n">
        <v>97.48077629758946</v>
      </c>
      <c r="AE44" s="29" t="n">
        <v>16597.47952981682</v>
      </c>
      <c r="AF44" s="29" t="n">
        <v>233858.2080920297</v>
      </c>
      <c r="AG44" s="29" t="n">
        <v>1402738.124182202</v>
      </c>
      <c r="AH44" s="29" t="n">
        <v>1429845.925409588</v>
      </c>
      <c r="AI44" s="29" t="n">
        <v>63.47517277314257</v>
      </c>
      <c r="AJ44" s="29" t="n">
        <v>1902.379305901753</v>
      </c>
      <c r="AK44" s="29" t="n">
        <v>318.9226432769177</v>
      </c>
      <c r="AL44" s="29" t="n">
        <v>1227.753797549304</v>
      </c>
      <c r="AM44" s="29" t="n">
        <v>-6359.965882630625</v>
      </c>
      <c r="AN44" s="29" t="n">
        <v>-374.126254861092</v>
      </c>
      <c r="AO44" s="29" t="n">
        <v>-152.3391461862473</v>
      </c>
      <c r="AP44" s="29" t="n">
        <v>-301.3041159229721</v>
      </c>
      <c r="AQ44" s="29" t="n">
        <v>4394.414887241294</v>
      </c>
      <c r="AR44" s="29" t="n">
        <v>94.88961651994644</v>
      </c>
      <c r="AS44" s="29" t="n">
        <v>304.9969474769714</v>
      </c>
      <c r="AT44" s="29" t="n">
        <v>25.43795382696665</v>
      </c>
      <c r="AU44" s="29" t="n">
        <v>35.56219277352434</v>
      </c>
      <c r="AV44" s="29" t="n">
        <v>2554.352344092757</v>
      </c>
      <c r="AW44" s="29" t="n">
        <v>1498.693023705737</v>
      </c>
      <c r="AX44" s="29" t="n">
        <v>3458.632675100343</v>
      </c>
      <c r="AY44" s="29" t="n">
        <v>151.34360562866</v>
      </c>
      <c r="AZ44" s="29" t="n">
        <v>1362.230834179613</v>
      </c>
      <c r="BA44" s="29" t="n">
        <v>2380.178680481483</v>
      </c>
      <c r="BB44" s="29" t="n">
        <v>927.9187251352384</v>
      </c>
      <c r="BC44" s="29" t="n">
        <v>184.6741453833846</v>
      </c>
      <c r="BD44" s="29" t="n">
        <v>1.999721208841983</v>
      </c>
      <c r="BE44" s="29" t="n">
        <v>212.4546803124926</v>
      </c>
      <c r="BF44" s="29" t="n">
        <v>257.2020975527818</v>
      </c>
      <c r="BG44" s="29" t="n">
        <v>149.7880653002805</v>
      </c>
      <c r="BH44" s="29" t="n">
        <v>2022.951085181179</v>
      </c>
      <c r="BI44" s="29" t="n">
        <v>11.36801285478615</v>
      </c>
      <c r="BJ44" s="29" t="n">
        <v>6726.754831712306</v>
      </c>
      <c r="BK44" s="29" t="n">
        <v>23270.34561612714</v>
      </c>
      <c r="BL44" s="29" t="n">
        <v>5576.488446952598</v>
      </c>
      <c r="BM44" s="29" t="n">
        <v>125.4590366757612</v>
      </c>
      <c r="BN44" s="29" t="n">
        <v>146455.4243886367</v>
      </c>
      <c r="BO44" s="29" t="n">
        <v>1962.985226358763</v>
      </c>
      <c r="BP44" s="29" t="n">
        <v>69.01167644285229</v>
      </c>
      <c r="BQ44" s="29" t="n">
        <v>9.342964137559614</v>
      </c>
      <c r="BR44" s="29" t="n">
        <v>59.24374923212363</v>
      </c>
      <c r="BS44" s="29" t="n">
        <v>15927.09651524519</v>
      </c>
      <c r="BT44" s="29" t="n">
        <v>4358.667442083722</v>
      </c>
      <c r="BU44" s="29" t="n">
        <v>23552.26787549928</v>
      </c>
      <c r="BV44" s="29" t="n">
        <v>17774.93463159351</v>
      </c>
      <c r="BW44" s="29" t="n">
        <v>26821.31670928567</v>
      </c>
      <c r="BX44" s="29" t="n">
        <v>-217.4547287030964</v>
      </c>
      <c r="BY44" s="29" t="n">
        <v>51245.43204073171</v>
      </c>
      <c r="BZ44" s="29" t="n">
        <v>1.298148010516494</v>
      </c>
      <c r="CA44" s="29" t="n">
        <v>23.51242729984793</v>
      </c>
      <c r="CB44" s="29" t="n">
        <v>440.1156949864577</v>
      </c>
      <c r="CC44" s="29" t="n">
        <v>0.1520759933459762</v>
      </c>
      <c r="CD44" s="29" t="n">
        <v>292.5305610075094</v>
      </c>
      <c r="CE44" s="29" t="n">
        <v>2934.067149040384</v>
      </c>
      <c r="CF44" s="29" t="n">
        <v>-29.85321209160614</v>
      </c>
      <c r="CG44" s="29" t="n">
        <v>-505.7036284695075</v>
      </c>
      <c r="CH44" s="29" t="n">
        <v>-25839.66977133645</v>
      </c>
      <c r="CI44" s="29" t="n">
        <v>-55.30947162872985</v>
      </c>
      <c r="CJ44" s="29" t="n">
        <v>59.45806005391615</v>
      </c>
      <c r="CK44" s="29" t="n">
        <v>7.441138069101879</v>
      </c>
      <c r="CL44" s="29" t="n">
        <v>86931.46670645585</v>
      </c>
      <c r="CM44" s="29" t="n">
        <v>2.265010836405774</v>
      </c>
      <c r="CN44" s="29" t="n">
        <v>0.6926441999633083</v>
      </c>
      <c r="CO44" s="29" t="n">
        <v>0.3111119093813972</v>
      </c>
      <c r="CP44" s="29" t="n">
        <v>5.556654542293184</v>
      </c>
      <c r="CQ44" s="29" t="n">
        <v>-13.72996889478824</v>
      </c>
      <c r="CR44" s="29" t="n">
        <v>-1658.059146251635</v>
      </c>
      <c r="CS44" s="29" t="n">
        <v>898.5365697807056</v>
      </c>
      <c r="CT44" s="29" t="n">
        <v>820.4626995843876</v>
      </c>
      <c r="CU44" s="29" t="n">
        <v>3657.214803080557</v>
      </c>
      <c r="CV44" s="29" t="n">
        <v>43772.13264517927</v>
      </c>
      <c r="CW44" s="29" t="n">
        <v>41431.75243604677</v>
      </c>
      <c r="CX44" s="29" t="n">
        <v>2150.939112893162</v>
      </c>
      <c r="CY44" s="29" t="n">
        <v>5386.996262223782</v>
      </c>
      <c r="CZ44" s="29" t="n">
        <v>1128.186429205662</v>
      </c>
      <c r="DA44" s="29" t="n">
        <v>4321.846203930768</v>
      </c>
      <c r="DB44" s="29" t="n">
        <v>28703.34212776874</v>
      </c>
      <c r="DC44" s="29" t="n">
        <v>-4996.661852712662</v>
      </c>
      <c r="DD44" s="29" t="n">
        <v>276.222102796578</v>
      </c>
      <c r="DE44" s="29" t="n">
        <v>0</v>
      </c>
      <c r="DF44" s="29">
        <f>SUM(C44:DE44)</f>
        <v/>
      </c>
      <c r="DG44" s="29" t="n">
        <v>0</v>
      </c>
      <c r="DH44" s="29" t="n">
        <v>0</v>
      </c>
      <c r="DI44" s="29" t="n">
        <v>0</v>
      </c>
      <c r="DJ44" s="29" t="n">
        <v>0</v>
      </c>
      <c r="DK44" s="29">
        <f>SUM(DG44:DJ44)</f>
        <v/>
      </c>
      <c r="DL44" s="29">
        <f>DF44+DK44</f>
        <v/>
      </c>
    </row>
    <row r="45">
      <c r="A45" s="30" t="inlineStr">
        <is>
          <t>192</t>
        </is>
      </c>
      <c r="B45" s="3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31" t="n">
        <v>778907.34304371</v>
      </c>
      <c r="D45" s="31" t="n">
        <v>423142.1550862634</v>
      </c>
      <c r="E45" s="31" t="n">
        <v>0</v>
      </c>
      <c r="F45" s="31" t="n">
        <v>0</v>
      </c>
      <c r="G45" s="31" t="n">
        <v>0</v>
      </c>
      <c r="H45" s="31" t="n">
        <v>276652.8688735202</v>
      </c>
      <c r="I45" s="31" t="n">
        <v>0.1600821936458919</v>
      </c>
      <c r="J45" s="31" t="n">
        <v>879.4040800074692</v>
      </c>
      <c r="K45" s="31" t="n">
        <v>804.6281350935942</v>
      </c>
      <c r="L45" s="31" t="n">
        <v>15.07007504495383</v>
      </c>
      <c r="M45" s="31" t="n">
        <v>8.62304128954989</v>
      </c>
      <c r="N45" s="31" t="n">
        <v>-15980.25200655051</v>
      </c>
      <c r="O45" s="31" t="n">
        <v>-6146.253199602095</v>
      </c>
      <c r="P45" s="31" t="n">
        <v>-2019.243957508317</v>
      </c>
      <c r="Q45" s="31" t="n">
        <v>-26161.36287406164</v>
      </c>
      <c r="R45" s="31" t="n">
        <v>-7918.420527011054</v>
      </c>
      <c r="S45" s="31" t="n">
        <v>-8808.926875754869</v>
      </c>
      <c r="T45" s="31" t="n">
        <v>-14666.249288652</v>
      </c>
      <c r="U45" s="31" t="n">
        <v>-5065.238459953986</v>
      </c>
      <c r="V45" s="31" t="n">
        <v>-1315.977933810798</v>
      </c>
      <c r="W45" s="31" t="n">
        <v>-3359.468197462444</v>
      </c>
      <c r="X45" s="31" t="n">
        <v>-1735.20105245443</v>
      </c>
      <c r="Y45" s="31" t="n">
        <v>-25330.55978808241</v>
      </c>
      <c r="Z45" s="31" t="n">
        <v>-3820.040797950625</v>
      </c>
      <c r="AA45" s="31" t="n">
        <v>-8302.418414011938</v>
      </c>
      <c r="AB45" s="31" t="n">
        <v>-1147.642201238606</v>
      </c>
      <c r="AC45" s="31" t="n">
        <v>-1975.857811249842</v>
      </c>
      <c r="AD45" s="31" t="n">
        <v>-32.80598234772192</v>
      </c>
      <c r="AE45" s="31" t="n">
        <v>-1580.20014933262</v>
      </c>
      <c r="AF45" s="31" t="n">
        <v>-5402.024346269594</v>
      </c>
      <c r="AG45" s="31" t="n">
        <v>-2234.616399394797</v>
      </c>
      <c r="AH45" s="31" t="n">
        <v>2542752.599890303</v>
      </c>
      <c r="AI45" s="31" t="n">
        <v>-915.440032717019</v>
      </c>
      <c r="AJ45" s="31" t="n">
        <v>-2702.999345745185</v>
      </c>
      <c r="AK45" s="31" t="n">
        <v>-3942.306783846641</v>
      </c>
      <c r="AL45" s="31" t="n">
        <v>-1007.464422594286</v>
      </c>
      <c r="AM45" s="31" t="n">
        <v>-96504.65352036466</v>
      </c>
      <c r="AN45" s="31" t="n">
        <v>-9941.695975128743</v>
      </c>
      <c r="AO45" s="31" t="n">
        <v>-2848.285279827669</v>
      </c>
      <c r="AP45" s="31" t="n">
        <v>-5574.264302651407</v>
      </c>
      <c r="AQ45" s="31" t="n">
        <v>-18793.5903888469</v>
      </c>
      <c r="AR45" s="31" t="n">
        <v>-766.4020481661986</v>
      </c>
      <c r="AS45" s="31" t="n">
        <v>-2055.002852828634</v>
      </c>
      <c r="AT45" s="31" t="n">
        <v>-82.91750564398806</v>
      </c>
      <c r="AU45" s="31" t="n">
        <v>-3243.011463213155</v>
      </c>
      <c r="AV45" s="31" t="n">
        <v>-6141.857534282405</v>
      </c>
      <c r="AW45" s="31" t="n">
        <v>-1160.478592877698</v>
      </c>
      <c r="AX45" s="31" t="n">
        <v>689.3119245685914</v>
      </c>
      <c r="AY45" s="31" t="n">
        <v>-1677.304656720499</v>
      </c>
      <c r="AZ45" s="31" t="n">
        <v>10704.11493648405</v>
      </c>
      <c r="BA45" s="31" t="n">
        <v>-2355.698750770497</v>
      </c>
      <c r="BB45" s="31" t="n">
        <v>-9192.431864216773</v>
      </c>
      <c r="BC45" s="31" t="n">
        <v>-960.3576924157426</v>
      </c>
      <c r="BD45" s="31" t="n">
        <v>-155.0830261180718</v>
      </c>
      <c r="BE45" s="31" t="n">
        <v>-762.827215827091</v>
      </c>
      <c r="BF45" s="31" t="n">
        <v>-380.3951473653087</v>
      </c>
      <c r="BG45" s="31" t="n">
        <v>-89.60835393683249</v>
      </c>
      <c r="BH45" s="31" t="n">
        <v>330.4558936338359</v>
      </c>
      <c r="BI45" s="31" t="n">
        <v>-38.76170450350109</v>
      </c>
      <c r="BJ45" s="31" t="n">
        <v>-897.9719343639263</v>
      </c>
      <c r="BK45" s="31" t="n">
        <v>-33819.90712834124</v>
      </c>
      <c r="BL45" s="31" t="n">
        <v>-81.35720663882762</v>
      </c>
      <c r="BM45" s="31" t="n">
        <v>518.4468612477272</v>
      </c>
      <c r="BN45" s="31" t="n">
        <v>-1929.410009610183</v>
      </c>
      <c r="BO45" s="31" t="n">
        <v>-1905.858910209043</v>
      </c>
      <c r="BP45" s="31" t="n">
        <v>57.29214566033897</v>
      </c>
      <c r="BQ45" s="31" t="n">
        <v>14.85780285387103</v>
      </c>
      <c r="BR45" s="31" t="n">
        <v>159.2573987422225</v>
      </c>
      <c r="BS45" s="31" t="n">
        <v>2381.849061938854</v>
      </c>
      <c r="BT45" s="31" t="n">
        <v>69385.17697973046</v>
      </c>
      <c r="BU45" s="31" t="n">
        <v>1314102.543437663</v>
      </c>
      <c r="BV45" s="31" t="n">
        <v>403183.9413793689</v>
      </c>
      <c r="BW45" s="31" t="n">
        <v>1683685.311265815</v>
      </c>
      <c r="BX45" s="31" t="n">
        <v>-7651.470104613231</v>
      </c>
      <c r="BY45" s="31" t="n">
        <v>64.59464081465546</v>
      </c>
      <c r="BZ45" s="31" t="n">
        <v>1.878492194499288</v>
      </c>
      <c r="CA45" s="31" t="n">
        <v>4860.771261677171</v>
      </c>
      <c r="CB45" s="31" t="n">
        <v>309.2521275654386</v>
      </c>
      <c r="CC45" s="31" t="n">
        <v>0.982809970106555</v>
      </c>
      <c r="CD45" s="31" t="n">
        <v>893.1378904406547</v>
      </c>
      <c r="CE45" s="31" t="n">
        <v>2014.145460067729</v>
      </c>
      <c r="CF45" s="31" t="n">
        <v>-1915.458484050675</v>
      </c>
      <c r="CG45" s="31" t="n">
        <v>-10900.50650111111</v>
      </c>
      <c r="CH45" s="31" t="n">
        <v>-386526.722100008</v>
      </c>
      <c r="CI45" s="31" t="n">
        <v>-918.8729106315263</v>
      </c>
      <c r="CJ45" s="31" t="n">
        <v>30.60274747163692</v>
      </c>
      <c r="CK45" s="31" t="n">
        <v>-11.46533189509173</v>
      </c>
      <c r="CL45" s="31" t="n">
        <v>53.11875130793594</v>
      </c>
      <c r="CM45" s="31" t="n">
        <v>-116.0783398238364</v>
      </c>
      <c r="CN45" s="31" t="n">
        <v>27.01157975803593</v>
      </c>
      <c r="CO45" s="31" t="n">
        <v>12.13267093606736</v>
      </c>
      <c r="CP45" s="31" t="n">
        <v>29.29608018542145</v>
      </c>
      <c r="CQ45" s="31" t="n">
        <v>-1016.944139225656</v>
      </c>
      <c r="CR45" s="31" t="n">
        <v>-32096.5122710039</v>
      </c>
      <c r="CS45" s="31" t="n">
        <v>11811.20107595495</v>
      </c>
      <c r="CT45" s="31" t="n">
        <v>10784.92545103323</v>
      </c>
      <c r="CU45" s="31" t="n">
        <v>-26688.55208623255</v>
      </c>
      <c r="CV45" s="31" t="n">
        <v>575349.5832518096</v>
      </c>
      <c r="CW45" s="31" t="n">
        <v>-931.4612831346561</v>
      </c>
      <c r="CX45" s="31" t="n">
        <v>22323.1614418112</v>
      </c>
      <c r="CY45" s="31" t="n">
        <v>-4996.852764448283</v>
      </c>
      <c r="CZ45" s="31" t="n">
        <v>2534.822094258799</v>
      </c>
      <c r="DA45" s="31" t="n">
        <v>169165.6230395539</v>
      </c>
      <c r="DB45" s="31" t="n">
        <v>94.74334661930152</v>
      </c>
      <c r="DC45" s="31" t="n">
        <v>-77921.87202386688</v>
      </c>
      <c r="DD45" s="31" t="n">
        <v>5.209522856755907</v>
      </c>
      <c r="DE45" s="31" t="n">
        <v>0</v>
      </c>
      <c r="DF45" s="31">
        <f>SUM(C45:DE45)</f>
        <v/>
      </c>
      <c r="DG45" s="31" t="n">
        <v>0</v>
      </c>
      <c r="DH45" s="31" t="n">
        <v>0</v>
      </c>
      <c r="DI45" s="31" t="n">
        <v>0</v>
      </c>
      <c r="DJ45" s="31" t="n">
        <v>0</v>
      </c>
      <c r="DK45" s="31">
        <f>SUM(DG45:DJ45)</f>
        <v/>
      </c>
      <c r="DL45" s="31">
        <f>DF45+DK45</f>
        <v/>
      </c>
    </row>
    <row r="46">
      <c r="A46" s="28" t="inlineStr">
        <is>
          <t>201/2</t>
        </is>
      </c>
      <c r="B46" s="28" t="inlineStr">
        <is>
          <t>Aserrado y acepilladura de madera. Fabricación de productos de madera, corcho, paja y materiales trenzables</t>
        </is>
      </c>
      <c r="C46" s="29" t="n">
        <v>-405950.3802000014</v>
      </c>
      <c r="D46" s="29" t="n">
        <v>-52100.01366861429</v>
      </c>
      <c r="E46" s="29" t="n">
        <v>0.6743266814114348</v>
      </c>
      <c r="F46" s="29" t="n">
        <v>49476.1571321101</v>
      </c>
      <c r="G46" s="29" t="n">
        <v>11.24127054826916</v>
      </c>
      <c r="H46" s="29" t="n">
        <v>9087.432358907028</v>
      </c>
      <c r="I46" s="29" t="n">
        <v>1.250091971355229</v>
      </c>
      <c r="J46" s="29" t="n">
        <v>1992.285418011874</v>
      </c>
      <c r="K46" s="29" t="n">
        <v>-332.7444992834672</v>
      </c>
      <c r="L46" s="29" t="n">
        <v>1060.729605586305</v>
      </c>
      <c r="M46" s="29" t="n">
        <v>119.94880864806</v>
      </c>
      <c r="N46" s="29" t="n">
        <v>35410.29495802455</v>
      </c>
      <c r="O46" s="29" t="n">
        <v>9896.222062453409</v>
      </c>
      <c r="P46" s="29" t="n">
        <v>33627.91961943782</v>
      </c>
      <c r="Q46" s="29" t="n">
        <v>-66254.45203569107</v>
      </c>
      <c r="R46" s="29" t="n">
        <v>32335.40874252325</v>
      </c>
      <c r="S46" s="29" t="n">
        <v>-5988.714838567248</v>
      </c>
      <c r="T46" s="29" t="n">
        <v>74024.08005849441</v>
      </c>
      <c r="U46" s="29" t="n">
        <v>4362.830911929457</v>
      </c>
      <c r="V46" s="29" t="n">
        <v>138.5725778778524</v>
      </c>
      <c r="W46" s="29" t="n">
        <v>6535.423814684482</v>
      </c>
      <c r="X46" s="29" t="n">
        <v>16669.06838045926</v>
      </c>
      <c r="Y46" s="29" t="n">
        <v>54414.51910745956</v>
      </c>
      <c r="Z46" s="29" t="n">
        <v>-4543.393763288884</v>
      </c>
      <c r="AA46" s="29" t="n">
        <v>208324.052698786</v>
      </c>
      <c r="AB46" s="29" t="n">
        <v>-687.7221451356618</v>
      </c>
      <c r="AC46" s="29" t="n">
        <v>78944.32823506031</v>
      </c>
      <c r="AD46" s="29" t="n">
        <v>11206.46347639561</v>
      </c>
      <c r="AE46" s="29" t="n">
        <v>7787.514074707632</v>
      </c>
      <c r="AF46" s="29" t="n">
        <v>-8119.094614070946</v>
      </c>
      <c r="AG46" s="29" t="n">
        <v>6709.974308635534</v>
      </c>
      <c r="AH46" s="29" t="n">
        <v>6020.426443233562</v>
      </c>
      <c r="AI46" s="29" t="n">
        <v>4059962.623459202</v>
      </c>
      <c r="AJ46" s="29" t="n">
        <v>82851.62529350218</v>
      </c>
      <c r="AK46" s="29" t="n">
        <v>-1058.462761087077</v>
      </c>
      <c r="AL46" s="29" t="n">
        <v>34222.34158204745</v>
      </c>
      <c r="AM46" s="29" t="n">
        <v>-153345.9589825082</v>
      </c>
      <c r="AN46" s="29" t="n">
        <v>36516.16454325287</v>
      </c>
      <c r="AO46" s="29" t="n">
        <v>2975.526651751486</v>
      </c>
      <c r="AP46" s="29" t="n">
        <v>3223.770823309911</v>
      </c>
      <c r="AQ46" s="29" t="n">
        <v>57687.56399003368</v>
      </c>
      <c r="AR46" s="29" t="n">
        <v>16024.99243831785</v>
      </c>
      <c r="AS46" s="29" t="n">
        <v>17039.55472952253</v>
      </c>
      <c r="AT46" s="29" t="n">
        <v>43634.49132034495</v>
      </c>
      <c r="AU46" s="29" t="n">
        <v>63896.86398245841</v>
      </c>
      <c r="AV46" s="29" t="n">
        <v>-6827.881279584534</v>
      </c>
      <c r="AW46" s="29" t="n">
        <v>-815.6754994344269</v>
      </c>
      <c r="AX46" s="29" t="n">
        <v>50805.96181004139</v>
      </c>
      <c r="AY46" s="29" t="n">
        <v>17355.31470680442</v>
      </c>
      <c r="AZ46" s="29" t="n">
        <v>131950.1307527809</v>
      </c>
      <c r="BA46" s="29" t="n">
        <v>19104.50309058481</v>
      </c>
      <c r="BB46" s="29" t="n">
        <v>-4459.698941613186</v>
      </c>
      <c r="BC46" s="29" t="n">
        <v>11373.51092544598</v>
      </c>
      <c r="BD46" s="29" t="n">
        <v>3054.171308645384</v>
      </c>
      <c r="BE46" s="29" t="n">
        <v>8585.667081178717</v>
      </c>
      <c r="BF46" s="29" t="n">
        <v>26207.69069847701</v>
      </c>
      <c r="BG46" s="29" t="n">
        <v>9147.112432017027</v>
      </c>
      <c r="BH46" s="29" t="n">
        <v>10122.59819113185</v>
      </c>
      <c r="BI46" s="29" t="n">
        <v>3158.814493823473</v>
      </c>
      <c r="BJ46" s="29" t="n">
        <v>6240.311062686512</v>
      </c>
      <c r="BK46" s="29" t="n">
        <v>-32357.14155751131</v>
      </c>
      <c r="BL46" s="29" t="n">
        <v>30573.9730594115</v>
      </c>
      <c r="BM46" s="29" t="n">
        <v>14086.60369292318</v>
      </c>
      <c r="BN46" s="29" t="n">
        <v>3468942.492682128</v>
      </c>
      <c r="BO46" s="29" t="n">
        <v>-1617.657800159574</v>
      </c>
      <c r="BP46" s="29" t="n">
        <v>1031.290788395291</v>
      </c>
      <c r="BQ46" s="29" t="n">
        <v>224.825230741505</v>
      </c>
      <c r="BR46" s="29" t="n">
        <v>171.0505327361655</v>
      </c>
      <c r="BS46" s="29" t="n">
        <v>5385717.166296281</v>
      </c>
      <c r="BT46" s="29" t="n">
        <v>2512.142371465083</v>
      </c>
      <c r="BU46" s="29" t="n">
        <v>5660405.172059899</v>
      </c>
      <c r="BV46" s="29" t="n">
        <v>5368419.197848986</v>
      </c>
      <c r="BW46" s="29" t="n">
        <v>58.33182087448726</v>
      </c>
      <c r="BX46" s="29" t="n">
        <v>-11800.05168677968</v>
      </c>
      <c r="BY46" s="29" t="n">
        <v>637767.1770110473</v>
      </c>
      <c r="BZ46" s="29" t="n">
        <v>51.12334203210079</v>
      </c>
      <c r="CA46" s="29" t="n">
        <v>1031.646523605842</v>
      </c>
      <c r="CB46" s="29" t="n">
        <v>132.8895523919925</v>
      </c>
      <c r="CC46" s="29" t="n">
        <v>20.71039294523231</v>
      </c>
      <c r="CD46" s="29" t="n">
        <v>931.340885870937</v>
      </c>
      <c r="CE46" s="29" t="n">
        <v>527.4511763979767</v>
      </c>
      <c r="CF46" s="29" t="n">
        <v>-2605.318463828426</v>
      </c>
      <c r="CG46" s="29" t="n">
        <v>-17292.86808401481</v>
      </c>
      <c r="CH46" s="29" t="n">
        <v>-626639.7128808679</v>
      </c>
      <c r="CI46" s="29" t="n">
        <v>-1360.84671419576</v>
      </c>
      <c r="CJ46" s="29" t="n">
        <v>1264.008154657329</v>
      </c>
      <c r="CK46" s="29" t="n">
        <v>473.693486359682</v>
      </c>
      <c r="CL46" s="29" t="n">
        <v>1634.225795436353</v>
      </c>
      <c r="CM46" s="29" t="n">
        <v>155.9356686222828</v>
      </c>
      <c r="CN46" s="29" t="n">
        <v>486692.9675335728</v>
      </c>
      <c r="CO46" s="29" t="n">
        <v>304133.8608747876</v>
      </c>
      <c r="CP46" s="29" t="n">
        <v>682.3146194730592</v>
      </c>
      <c r="CQ46" s="29" t="n">
        <v>-1416.352960186956</v>
      </c>
      <c r="CR46" s="29" t="n">
        <v>-50263.87811760018</v>
      </c>
      <c r="CS46" s="29" t="n">
        <v>2982.956375131646</v>
      </c>
      <c r="CT46" s="29" t="n">
        <v>2723.767203910548</v>
      </c>
      <c r="CU46" s="29" t="n">
        <v>-43895.08444272239</v>
      </c>
      <c r="CV46" s="29" t="n">
        <v>145314.4663426575</v>
      </c>
      <c r="CW46" s="29" t="n">
        <v>935.7660429590401</v>
      </c>
      <c r="CX46" s="29" t="n">
        <v>21422.30374559136</v>
      </c>
      <c r="CY46" s="29" t="n">
        <v>4484.85931430368</v>
      </c>
      <c r="CZ46" s="29" t="n">
        <v>13919.56865665804</v>
      </c>
      <c r="DA46" s="29" t="n">
        <v>-298.8752162730781</v>
      </c>
      <c r="DB46" s="29" t="n">
        <v>6104.745990577487</v>
      </c>
      <c r="DC46" s="29" t="n">
        <v>-121306.3572650661</v>
      </c>
      <c r="DD46" s="29" t="n">
        <v>10497.36637320497</v>
      </c>
      <c r="DE46" s="29" t="n">
        <v>0</v>
      </c>
      <c r="DF46" s="29">
        <f>SUM(C46:DE46)</f>
        <v/>
      </c>
      <c r="DG46" s="29" t="n">
        <v>0</v>
      </c>
      <c r="DH46" s="29" t="n">
        <v>0</v>
      </c>
      <c r="DI46" s="29" t="n">
        <v>0</v>
      </c>
      <c r="DJ46" s="29" t="n">
        <v>0</v>
      </c>
      <c r="DK46" s="29">
        <f>SUM(DG46:DJ46)</f>
        <v/>
      </c>
      <c r="DL46" s="29">
        <f>DF46+DK46</f>
        <v/>
      </c>
    </row>
    <row r="47">
      <c r="A47" s="30" t="inlineStr">
        <is>
          <t>210</t>
        </is>
      </c>
      <c r="B47" s="30" t="inlineStr">
        <is>
          <t>Fabricación de papel y de productos de papel</t>
        </is>
      </c>
      <c r="C47" s="31" t="n">
        <v>-172597.6488187937</v>
      </c>
      <c r="D47" s="31" t="n">
        <v>4269.927290620748</v>
      </c>
      <c r="E47" s="31" t="n">
        <v>0.155451535557463</v>
      </c>
      <c r="F47" s="31" t="n">
        <v>1937.702228402486</v>
      </c>
      <c r="G47" s="31" t="n">
        <v>1.216734661225415</v>
      </c>
      <c r="H47" s="31" t="n">
        <v>320919.5708374971</v>
      </c>
      <c r="I47" s="31" t="n">
        <v>592.9788578114909</v>
      </c>
      <c r="J47" s="31" t="n">
        <v>27.43951142345209</v>
      </c>
      <c r="K47" s="31" t="n">
        <v>279479.6428982875</v>
      </c>
      <c r="L47" s="31" t="n">
        <v>280842.7999676917</v>
      </c>
      <c r="M47" s="31" t="n">
        <v>114810.0226205059</v>
      </c>
      <c r="N47" s="31" t="n">
        <v>275605.745046654</v>
      </c>
      <c r="O47" s="31" t="n">
        <v>165599.0312832176</v>
      </c>
      <c r="P47" s="31" t="n">
        <v>515446.2647714152</v>
      </c>
      <c r="Q47" s="31" t="n">
        <v>286055.2151861077</v>
      </c>
      <c r="R47" s="31" t="n">
        <v>2527362.495420088</v>
      </c>
      <c r="S47" s="31" t="n">
        <v>869740.0844204818</v>
      </c>
      <c r="T47" s="31" t="n">
        <v>238626.8750538576</v>
      </c>
      <c r="U47" s="31" t="n">
        <v>1812411.399465999</v>
      </c>
      <c r="V47" s="31" t="n">
        <v>363760.623476579</v>
      </c>
      <c r="W47" s="31" t="n">
        <v>892517.6712217063</v>
      </c>
      <c r="X47" s="31" t="n">
        <v>190589.7045327068</v>
      </c>
      <c r="Y47" s="31" t="n">
        <v>2144863.404140562</v>
      </c>
      <c r="Z47" s="31" t="n">
        <v>420703.0409882948</v>
      </c>
      <c r="AA47" s="31" t="n">
        <v>1819000.21936907</v>
      </c>
      <c r="AB47" s="31" t="n">
        <v>395760.7956852595</v>
      </c>
      <c r="AC47" s="31" t="n">
        <v>695102.0844565057</v>
      </c>
      <c r="AD47" s="31" t="n">
        <v>1102041.344538313</v>
      </c>
      <c r="AE47" s="31" t="n">
        <v>144806.720170205</v>
      </c>
      <c r="AF47" s="31" t="n">
        <v>213429.6556455299</v>
      </c>
      <c r="AG47" s="31" t="n">
        <v>17077.08119416091</v>
      </c>
      <c r="AH47" s="31" t="n">
        <v>167146.790412629</v>
      </c>
      <c r="AI47" s="31" t="n">
        <v>606642.6264836967</v>
      </c>
      <c r="AJ47" s="31" t="n">
        <v>15882378.34698181</v>
      </c>
      <c r="AK47" s="31" t="n">
        <v>5655222.594585311</v>
      </c>
      <c r="AL47" s="31" t="n">
        <v>6966244.944588745</v>
      </c>
      <c r="AM47" s="31" t="n">
        <v>-25627.77392429622</v>
      </c>
      <c r="AN47" s="31" t="n">
        <v>148703.7608284548</v>
      </c>
      <c r="AO47" s="31" t="n">
        <v>234388.584685869</v>
      </c>
      <c r="AP47" s="31" t="n">
        <v>93909.69096915633</v>
      </c>
      <c r="AQ47" s="31" t="n">
        <v>2663389.911816392</v>
      </c>
      <c r="AR47" s="31" t="n">
        <v>59595.72199339806</v>
      </c>
      <c r="AS47" s="31" t="n">
        <v>73629.7858446702</v>
      </c>
      <c r="AT47" s="31" t="n">
        <v>181225.4740942445</v>
      </c>
      <c r="AU47" s="31" t="n">
        <v>1601999.552319411</v>
      </c>
      <c r="AV47" s="31" t="n">
        <v>26678.73812911717</v>
      </c>
      <c r="AW47" s="31" t="n">
        <v>26280.68506541511</v>
      </c>
      <c r="AX47" s="31" t="n">
        <v>91514.0705857818</v>
      </c>
      <c r="AY47" s="31" t="n">
        <v>32044.32025991556</v>
      </c>
      <c r="AZ47" s="31" t="n">
        <v>320225.4725726439</v>
      </c>
      <c r="BA47" s="31" t="n">
        <v>47214.58262812119</v>
      </c>
      <c r="BB47" s="31" t="n">
        <v>46838.99138237238</v>
      </c>
      <c r="BC47" s="31" t="n">
        <v>163344.4365949887</v>
      </c>
      <c r="BD47" s="31" t="n">
        <v>3383.9964987634</v>
      </c>
      <c r="BE47" s="31" t="n">
        <v>115822.6097300991</v>
      </c>
      <c r="BF47" s="31" t="n">
        <v>16174.23440537852</v>
      </c>
      <c r="BG47" s="31" t="n">
        <v>107295.9494378541</v>
      </c>
      <c r="BH47" s="31" t="n">
        <v>242510.8018063025</v>
      </c>
      <c r="BI47" s="31" t="n">
        <v>96448.30241707986</v>
      </c>
      <c r="BJ47" s="31" t="n">
        <v>64921.2142325527</v>
      </c>
      <c r="BK47" s="31" t="n">
        <v>-3227.194074779716</v>
      </c>
      <c r="BL47" s="31" t="n">
        <v>178929.3125228435</v>
      </c>
      <c r="BM47" s="31" t="n">
        <v>50775.18944796818</v>
      </c>
      <c r="BN47" s="31" t="n">
        <v>426793.8159330112</v>
      </c>
      <c r="BO47" s="31" t="n">
        <v>90828.68757621651</v>
      </c>
      <c r="BP47" s="31" t="n">
        <v>12465.99209404028</v>
      </c>
      <c r="BQ47" s="31" t="n">
        <v>33423.11925043469</v>
      </c>
      <c r="BR47" s="31" t="n">
        <v>9534.332680837921</v>
      </c>
      <c r="BS47" s="31" t="n">
        <v>118677.3357204937</v>
      </c>
      <c r="BT47" s="31" t="n">
        <v>272234.1640389676</v>
      </c>
      <c r="BU47" s="31" t="n">
        <v>2185516.264078985</v>
      </c>
      <c r="BV47" s="31" t="n">
        <v>4187916.855415042</v>
      </c>
      <c r="BW47" s="31" t="n">
        <v>912.1566340807908</v>
      </c>
      <c r="BX47" s="31" t="n">
        <v>129497.094917194</v>
      </c>
      <c r="BY47" s="31" t="n">
        <v>1322389.774985291</v>
      </c>
      <c r="BZ47" s="31" t="n">
        <v>18925.12358553282</v>
      </c>
      <c r="CA47" s="31" t="n">
        <v>112986.4834260298</v>
      </c>
      <c r="CB47" s="31" t="n">
        <v>18789.3943643224</v>
      </c>
      <c r="CC47" s="31" t="n">
        <v>4097.112105030586</v>
      </c>
      <c r="CD47" s="31" t="n">
        <v>313795.7101361479</v>
      </c>
      <c r="CE47" s="31" t="n">
        <v>52.38405198466156</v>
      </c>
      <c r="CF47" s="31" t="n">
        <v>473744.4587150716</v>
      </c>
      <c r="CG47" s="31" t="n">
        <v>76147.86905698292</v>
      </c>
      <c r="CH47" s="31" t="n">
        <v>-94024.94663649864</v>
      </c>
      <c r="CI47" s="31" t="n">
        <v>46616.30221291907</v>
      </c>
      <c r="CJ47" s="31" t="n">
        <v>845033.5803821087</v>
      </c>
      <c r="CK47" s="31" t="n">
        <v>405572.7042814131</v>
      </c>
      <c r="CL47" s="31" t="n">
        <v>781503.2457283904</v>
      </c>
      <c r="CM47" s="31" t="n">
        <v>274418.283627409</v>
      </c>
      <c r="CN47" s="31" t="n">
        <v>361564.0604511508</v>
      </c>
      <c r="CO47" s="31" t="n">
        <v>225944.6904946694</v>
      </c>
      <c r="CP47" s="31" t="n">
        <v>75.41933300966441</v>
      </c>
      <c r="CQ47" s="31" t="n">
        <v>92585.77208088229</v>
      </c>
      <c r="CR47" s="31" t="n">
        <v>286584.0304091508</v>
      </c>
      <c r="CS47" s="31" t="n">
        <v>37291.81030063815</v>
      </c>
      <c r="CT47" s="31" t="n">
        <v>34051.52375614225</v>
      </c>
      <c r="CU47" s="31" t="n">
        <v>2106697.941863206</v>
      </c>
      <c r="CV47" s="31" t="n">
        <v>1816667.369984475</v>
      </c>
      <c r="CW47" s="31" t="n">
        <v>1332029.603195854</v>
      </c>
      <c r="CX47" s="31" t="n">
        <v>198675.8966598736</v>
      </c>
      <c r="CY47" s="31" t="n">
        <v>1168241.931533156</v>
      </c>
      <c r="CZ47" s="31" t="n">
        <v>573676.0975612921</v>
      </c>
      <c r="DA47" s="31" t="n">
        <v>92549.92973080368</v>
      </c>
      <c r="DB47" s="31" t="n">
        <v>371773.7251050186</v>
      </c>
      <c r="DC47" s="31" t="n">
        <v>88179.79603825707</v>
      </c>
      <c r="DD47" s="31" t="n">
        <v>87315.767092375</v>
      </c>
      <c r="DE47" s="31" t="n">
        <v>0</v>
      </c>
      <c r="DF47" s="31">
        <f>SUM(C47:DE47)</f>
        <v/>
      </c>
      <c r="DG47" s="31" t="n">
        <v>0</v>
      </c>
      <c r="DH47" s="31" t="n">
        <v>0</v>
      </c>
      <c r="DI47" s="31" t="n">
        <v>0</v>
      </c>
      <c r="DJ47" s="31" t="n">
        <v>0</v>
      </c>
      <c r="DK47" s="31">
        <f>SUM(DG47:DJ47)</f>
        <v/>
      </c>
      <c r="DL47" s="31">
        <f>DF47+DK47</f>
        <v/>
      </c>
    </row>
    <row r="48">
      <c r="A48" s="28" t="inlineStr">
        <is>
          <t>221</t>
        </is>
      </c>
      <c r="B48" s="28" t="inlineStr">
        <is>
          <t>Actividades de edición</t>
        </is>
      </c>
      <c r="C48" s="29" t="n">
        <v>-262672.6419493294</v>
      </c>
      <c r="D48" s="29" t="n">
        <v>-28232.94827576462</v>
      </c>
      <c r="E48" s="29" t="n">
        <v>0</v>
      </c>
      <c r="F48" s="29" t="n">
        <v>0</v>
      </c>
      <c r="G48" s="29" t="n">
        <v>0</v>
      </c>
      <c r="H48" s="29" t="n">
        <v>7072.287126128048</v>
      </c>
      <c r="I48" s="29" t="n">
        <v>20524.09135319767</v>
      </c>
      <c r="J48" s="29" t="n">
        <v>675529.7984707282</v>
      </c>
      <c r="K48" s="29" t="n">
        <v>15662.11539054138</v>
      </c>
      <c r="L48" s="29" t="n">
        <v>4098.325540277929</v>
      </c>
      <c r="M48" s="29" t="n">
        <v>17605.82565624717</v>
      </c>
      <c r="N48" s="29" t="n">
        <v>-9003.822590122127</v>
      </c>
      <c r="O48" s="29" t="n">
        <v>-3681.587992485653</v>
      </c>
      <c r="P48" s="29" t="n">
        <v>185.6915540190739</v>
      </c>
      <c r="Q48" s="29" t="n">
        <v>-35010.39811012054</v>
      </c>
      <c r="R48" s="29" t="n">
        <v>7347.848716299633</v>
      </c>
      <c r="S48" s="29" t="n">
        <v>-5688.71088371001</v>
      </c>
      <c r="T48" s="29" t="n">
        <v>-3884.993363435054</v>
      </c>
      <c r="U48" s="29" t="n">
        <v>33588.60313203894</v>
      </c>
      <c r="V48" s="29" t="n">
        <v>-1075.179715730642</v>
      </c>
      <c r="W48" s="29" t="n">
        <v>15414.60505816469</v>
      </c>
      <c r="X48" s="29" t="n">
        <v>1101.853712940019</v>
      </c>
      <c r="Y48" s="29" t="n">
        <v>-9017.250911089683</v>
      </c>
      <c r="Z48" s="29" t="n">
        <v>3990.982136011116</v>
      </c>
      <c r="AA48" s="29" t="n">
        <v>4564.981034489563</v>
      </c>
      <c r="AB48" s="29" t="n">
        <v>23227.67009183155</v>
      </c>
      <c r="AC48" s="29" t="n">
        <v>32674.0447735208</v>
      </c>
      <c r="AD48" s="29" t="n">
        <v>109485.8820069198</v>
      </c>
      <c r="AE48" s="29" t="n">
        <v>3683.119701125186</v>
      </c>
      <c r="AF48" s="29" t="n">
        <v>93735.27054100565</v>
      </c>
      <c r="AG48" s="29" t="n">
        <v>-706.4813671572788</v>
      </c>
      <c r="AH48" s="29" t="n">
        <v>2392.926336047506</v>
      </c>
      <c r="AI48" s="29" t="n">
        <v>122.0191746274971</v>
      </c>
      <c r="AJ48" s="29" t="n">
        <v>10075.60264064429</v>
      </c>
      <c r="AK48" s="29" t="n">
        <v>333254.9743821388</v>
      </c>
      <c r="AL48" s="29" t="n">
        <v>72294.10081739855</v>
      </c>
      <c r="AM48" s="29" t="n">
        <v>-82715.64117608212</v>
      </c>
      <c r="AN48" s="29" t="n">
        <v>-6339.171930244144</v>
      </c>
      <c r="AO48" s="29" t="n">
        <v>-538.8435794321301</v>
      </c>
      <c r="AP48" s="29" t="n">
        <v>-2117.883678302301</v>
      </c>
      <c r="AQ48" s="29" t="n">
        <v>279969.3595345832</v>
      </c>
      <c r="AR48" s="29" t="n">
        <v>3781.643055198983</v>
      </c>
      <c r="AS48" s="29" t="n">
        <v>41297.29540281914</v>
      </c>
      <c r="AT48" s="29" t="n">
        <v>519.5331649212392</v>
      </c>
      <c r="AU48" s="29" t="n">
        <v>2303.609974621844</v>
      </c>
      <c r="AV48" s="29" t="n">
        <v>189.2982300688986</v>
      </c>
      <c r="AW48" s="29" t="n">
        <v>1205.260808087162</v>
      </c>
      <c r="AX48" s="29" t="n">
        <v>3823.425021128596</v>
      </c>
      <c r="AY48" s="29" t="n">
        <v>62.28722113690759</v>
      </c>
      <c r="AZ48" s="29" t="n">
        <v>4951.243263064132</v>
      </c>
      <c r="BA48" s="29" t="n">
        <v>2173.208308558997</v>
      </c>
      <c r="BB48" s="29" t="n">
        <v>-3568.364504092793</v>
      </c>
      <c r="BC48" s="29" t="n">
        <v>6183.808454940954</v>
      </c>
      <c r="BD48" s="29" t="n">
        <v>55.73485314102393</v>
      </c>
      <c r="BE48" s="29" t="n">
        <v>563.3017909710101</v>
      </c>
      <c r="BF48" s="29" t="n">
        <v>786.9017852096666</v>
      </c>
      <c r="BG48" s="29" t="n">
        <v>1633.200527164385</v>
      </c>
      <c r="BH48" s="29" t="n">
        <v>343630.0189603991</v>
      </c>
      <c r="BI48" s="29" t="n">
        <v>7744.780928777398</v>
      </c>
      <c r="BJ48" s="29" t="n">
        <v>1917.878007877473</v>
      </c>
      <c r="BK48" s="29" t="n">
        <v>-13108.26078149773</v>
      </c>
      <c r="BL48" s="29" t="n">
        <v>1583.621760234984</v>
      </c>
      <c r="BM48" s="29" t="n">
        <v>1430.947861632866</v>
      </c>
      <c r="BN48" s="29" t="n">
        <v>64579.47848024807</v>
      </c>
      <c r="BO48" s="29" t="n">
        <v>1453.296937651488</v>
      </c>
      <c r="BP48" s="29" t="n">
        <v>31586.45976934812</v>
      </c>
      <c r="BQ48" s="29" t="n">
        <v>10525.49971935727</v>
      </c>
      <c r="BR48" s="29" t="n">
        <v>6730.588500415477</v>
      </c>
      <c r="BS48" s="29" t="n">
        <v>99142.16635020482</v>
      </c>
      <c r="BT48" s="29" t="n">
        <v>48198.60589038904</v>
      </c>
      <c r="BU48" s="29" t="n">
        <v>338978.898196322</v>
      </c>
      <c r="BV48" s="29" t="n">
        <v>454580.673202546</v>
      </c>
      <c r="BW48" s="29" t="n">
        <v>2922.774695692329</v>
      </c>
      <c r="BX48" s="29" t="n">
        <v>11719.55907487847</v>
      </c>
      <c r="BY48" s="29" t="n">
        <v>82488.36614630563</v>
      </c>
      <c r="BZ48" s="29" t="n">
        <v>252.10497508583</v>
      </c>
      <c r="CA48" s="29" t="n">
        <v>10763.14386833256</v>
      </c>
      <c r="CB48" s="29" t="n">
        <v>368.3062957161047</v>
      </c>
      <c r="CC48" s="29" t="n">
        <v>34.14326323305532</v>
      </c>
      <c r="CD48" s="29" t="n">
        <v>9969.707897837568</v>
      </c>
      <c r="CE48" s="29" t="n">
        <v>11841.67570453904</v>
      </c>
      <c r="CF48" s="29" t="n">
        <v>2013.553847384202</v>
      </c>
      <c r="CG48" s="29" t="n">
        <v>259074.0551394293</v>
      </c>
      <c r="CH48" s="29" t="n">
        <v>122858.3953967098</v>
      </c>
      <c r="CI48" s="29" t="n">
        <v>26414.19823820196</v>
      </c>
      <c r="CJ48" s="29" t="n">
        <v>895316.0928686549</v>
      </c>
      <c r="CK48" s="29" t="n">
        <v>361375.4317630241</v>
      </c>
      <c r="CL48" s="29" t="n">
        <v>274223.7353231356</v>
      </c>
      <c r="CM48" s="29" t="n">
        <v>269728.2958523354</v>
      </c>
      <c r="CN48" s="29" t="n">
        <v>57.35955982848908</v>
      </c>
      <c r="CO48" s="29" t="n">
        <v>35.84468378533257</v>
      </c>
      <c r="CP48" s="29" t="n">
        <v>686.3838220596815</v>
      </c>
      <c r="CQ48" s="29" t="n">
        <v>1864.275461337673</v>
      </c>
      <c r="CR48" s="29" t="n">
        <v>66853.35191007705</v>
      </c>
      <c r="CS48" s="29" t="n">
        <v>15683.55052829671</v>
      </c>
      <c r="CT48" s="29" t="n">
        <v>14320.80634030839</v>
      </c>
      <c r="CU48" s="29" t="n">
        <v>1716531.858035386</v>
      </c>
      <c r="CV48" s="29" t="n">
        <v>764607.1821335929</v>
      </c>
      <c r="CW48" s="29" t="n">
        <v>151713.0437474721</v>
      </c>
      <c r="CX48" s="29" t="n">
        <v>142579.9000832952</v>
      </c>
      <c r="CY48" s="29" t="n">
        <v>157883.9343905356</v>
      </c>
      <c r="CZ48" s="29" t="n">
        <v>16280.52501058918</v>
      </c>
      <c r="DA48" s="29" t="n">
        <v>77461.02721541085</v>
      </c>
      <c r="DB48" s="29" t="n">
        <v>1778534.385599511</v>
      </c>
      <c r="DC48" s="29" t="n">
        <v>246728.8140269584</v>
      </c>
      <c r="DD48" s="29" t="n">
        <v>40383.48965527184</v>
      </c>
      <c r="DE48" s="29" t="n">
        <v>0</v>
      </c>
      <c r="DF48" s="29">
        <f>SUM(C48:DE48)</f>
        <v/>
      </c>
      <c r="DG48" s="29" t="n">
        <v>0</v>
      </c>
      <c r="DH48" s="29" t="n">
        <v>0</v>
      </c>
      <c r="DI48" s="29" t="n">
        <v>0</v>
      </c>
      <c r="DJ48" s="29" t="n">
        <v>0</v>
      </c>
      <c r="DK48" s="29">
        <f>SUM(DG48:DJ48)</f>
        <v/>
      </c>
      <c r="DL48" s="29">
        <f>DF48+DK48</f>
        <v/>
      </c>
    </row>
    <row r="49">
      <c r="A49" s="30" t="inlineStr">
        <is>
          <t>222</t>
        </is>
      </c>
      <c r="B49" s="30" t="inlineStr">
        <is>
          <t>22210 - Impresión. 22220-Servicios relacionados con la impresión</t>
        </is>
      </c>
      <c r="C49" s="31" t="n">
        <v>-83575.69235417988</v>
      </c>
      <c r="D49" s="31" t="n">
        <v>-7753.245618913894</v>
      </c>
      <c r="E49" s="31" t="n">
        <v>0.2677971748873748</v>
      </c>
      <c r="F49" s="31" t="n">
        <v>1240.058057181829</v>
      </c>
      <c r="G49" s="31" t="n">
        <v>2.096075176711692</v>
      </c>
      <c r="H49" s="31" t="n">
        <v>24138.56749686048</v>
      </c>
      <c r="I49" s="31" t="n">
        <v>10437.96881764553</v>
      </c>
      <c r="J49" s="31" t="n">
        <v>4925.40336186185</v>
      </c>
      <c r="K49" s="31" t="n">
        <v>66739.3993487986</v>
      </c>
      <c r="L49" s="31" t="n">
        <v>115916.4516305526</v>
      </c>
      <c r="M49" s="31" t="n">
        <v>53980.78831857034</v>
      </c>
      <c r="N49" s="31" t="n">
        <v>38104.56715141105</v>
      </c>
      <c r="O49" s="31" t="n">
        <v>15329.89554522818</v>
      </c>
      <c r="P49" s="31" t="n">
        <v>31930.86305256987</v>
      </c>
      <c r="Q49" s="31" t="n">
        <v>30629.3188858801</v>
      </c>
      <c r="R49" s="31" t="n">
        <v>153258.7783437504</v>
      </c>
      <c r="S49" s="31" t="n">
        <v>55407.74921435664</v>
      </c>
      <c r="T49" s="31" t="n">
        <v>30085.81393832283</v>
      </c>
      <c r="U49" s="31" t="n">
        <v>121573.3910092914</v>
      </c>
      <c r="V49" s="31" t="n">
        <v>22822.5929853561</v>
      </c>
      <c r="W49" s="31" t="n">
        <v>124390.073456394</v>
      </c>
      <c r="X49" s="31" t="n">
        <v>13840.70604502124</v>
      </c>
      <c r="Y49" s="31" t="n">
        <v>162396.3958367517</v>
      </c>
      <c r="Z49" s="31" t="n">
        <v>23990.09266794728</v>
      </c>
      <c r="AA49" s="31" t="n">
        <v>107696.1846674835</v>
      </c>
      <c r="AB49" s="31" t="n">
        <v>29211.42905119808</v>
      </c>
      <c r="AC49" s="31" t="n">
        <v>85236.56788094489</v>
      </c>
      <c r="AD49" s="31" t="n">
        <v>83743.76355343538</v>
      </c>
      <c r="AE49" s="31" t="n">
        <v>59339.17641139072</v>
      </c>
      <c r="AF49" s="31" t="n">
        <v>20870.88355887415</v>
      </c>
      <c r="AG49" s="31" t="n">
        <v>2488.872618605692</v>
      </c>
      <c r="AH49" s="31" t="n">
        <v>13947.35572010488</v>
      </c>
      <c r="AI49" s="31" t="n">
        <v>65178.26982442487</v>
      </c>
      <c r="AJ49" s="31" t="n">
        <v>910300.8805542942</v>
      </c>
      <c r="AK49" s="31" t="n">
        <v>350026.575731543</v>
      </c>
      <c r="AL49" s="31" t="n">
        <v>404635.7589072182</v>
      </c>
      <c r="AM49" s="31" t="n">
        <v>-10913.84128369454</v>
      </c>
      <c r="AN49" s="31" t="n">
        <v>27485.101928232</v>
      </c>
      <c r="AO49" s="31" t="n">
        <v>18425.60780378343</v>
      </c>
      <c r="AP49" s="31" t="n">
        <v>24991.39544117988</v>
      </c>
      <c r="AQ49" s="31" t="n">
        <v>283377.2832258138</v>
      </c>
      <c r="AR49" s="31" t="n">
        <v>19393.409502799</v>
      </c>
      <c r="AS49" s="31" t="n">
        <v>202006.3673857154</v>
      </c>
      <c r="AT49" s="31" t="n">
        <v>13089.68079462516</v>
      </c>
      <c r="AU49" s="31" t="n">
        <v>118270.6580710343</v>
      </c>
      <c r="AV49" s="31" t="n">
        <v>51824.20884435478</v>
      </c>
      <c r="AW49" s="31" t="n">
        <v>16550.00822375418</v>
      </c>
      <c r="AX49" s="31" t="n">
        <v>31707.83644470328</v>
      </c>
      <c r="AY49" s="31" t="n">
        <v>9179.629821125016</v>
      </c>
      <c r="AZ49" s="31" t="n">
        <v>41483.17007611887</v>
      </c>
      <c r="BA49" s="31" t="n">
        <v>18135.85487029634</v>
      </c>
      <c r="BB49" s="31" t="n">
        <v>9834.018054648257</v>
      </c>
      <c r="BC49" s="31" t="n">
        <v>28649.79577136175</v>
      </c>
      <c r="BD49" s="31" t="n">
        <v>4851.407711612172</v>
      </c>
      <c r="BE49" s="31" t="n">
        <v>17233.45133074872</v>
      </c>
      <c r="BF49" s="31" t="n">
        <v>10871.20328760919</v>
      </c>
      <c r="BG49" s="31" t="n">
        <v>19685.96048500805</v>
      </c>
      <c r="BH49" s="31" t="n">
        <v>100167.3480272622</v>
      </c>
      <c r="BI49" s="31" t="n">
        <v>26764.31305615872</v>
      </c>
      <c r="BJ49" s="31" t="n">
        <v>15516.33214047774</v>
      </c>
      <c r="BK49" s="31" t="n">
        <v>8453.842052890828</v>
      </c>
      <c r="BL49" s="31" t="n">
        <v>28493.20269281647</v>
      </c>
      <c r="BM49" s="31" t="n">
        <v>7314.328049351212</v>
      </c>
      <c r="BN49" s="31" t="n">
        <v>61047.69884963905</v>
      </c>
      <c r="BO49" s="31" t="n">
        <v>29768.84937846312</v>
      </c>
      <c r="BP49" s="31" t="n">
        <v>43793.81086742508</v>
      </c>
      <c r="BQ49" s="31" t="n">
        <v>13762.4887067999</v>
      </c>
      <c r="BR49" s="31" t="n">
        <v>8101.298652218038</v>
      </c>
      <c r="BS49" s="31" t="n">
        <v>31386.68243256817</v>
      </c>
      <c r="BT49" s="31" t="n">
        <v>171024.8602141189</v>
      </c>
      <c r="BU49" s="31" t="n">
        <v>1812895.910085159</v>
      </c>
      <c r="BV49" s="31" t="n">
        <v>1922287.974034576</v>
      </c>
      <c r="BW49" s="31" t="n">
        <v>11227.72891933563</v>
      </c>
      <c r="BX49" s="31" t="n">
        <v>36424.03518689003</v>
      </c>
      <c r="BY49" s="31" t="n">
        <v>107588.368783681</v>
      </c>
      <c r="BZ49" s="31" t="n">
        <v>1048.104979444905</v>
      </c>
      <c r="CA49" s="31" t="n">
        <v>6564.99269455419</v>
      </c>
      <c r="CB49" s="31" t="n">
        <v>1184.866292988423</v>
      </c>
      <c r="CC49" s="31" t="n">
        <v>228.6365290082586</v>
      </c>
      <c r="CD49" s="31" t="n">
        <v>16985.61138042949</v>
      </c>
      <c r="CE49" s="31" t="n">
        <v>603.5972909802276</v>
      </c>
      <c r="CF49" s="31" t="n">
        <v>35244.71940022484</v>
      </c>
      <c r="CG49" s="31" t="n">
        <v>140577.3617469748</v>
      </c>
      <c r="CH49" s="31" t="n">
        <v>7074.04545070196</v>
      </c>
      <c r="CI49" s="31" t="n">
        <v>91912.34194388324</v>
      </c>
      <c r="CJ49" s="31" t="n">
        <v>5479368.91751649</v>
      </c>
      <c r="CK49" s="31" t="n">
        <v>352530.4926938436</v>
      </c>
      <c r="CL49" s="31" t="n">
        <v>253772.2020574821</v>
      </c>
      <c r="CM49" s="31" t="n">
        <v>197514.2862924483</v>
      </c>
      <c r="CN49" s="31" t="n">
        <v>21656.37587512642</v>
      </c>
      <c r="CO49" s="31" t="n">
        <v>13533.17931804861</v>
      </c>
      <c r="CP49" s="31" t="n">
        <v>1015.757884929408</v>
      </c>
      <c r="CQ49" s="31" t="n">
        <v>17751.10841383788</v>
      </c>
      <c r="CR49" s="31" t="n">
        <v>344637.212826702</v>
      </c>
      <c r="CS49" s="31" t="n">
        <v>5021.253173706513</v>
      </c>
      <c r="CT49" s="31" t="n">
        <v>4584.956330938616</v>
      </c>
      <c r="CU49" s="31" t="n">
        <v>3010236.732904828</v>
      </c>
      <c r="CV49" s="31" t="n">
        <v>232621.5179481787</v>
      </c>
      <c r="CW49" s="31" t="n">
        <v>729837.321708921</v>
      </c>
      <c r="CX49" s="31" t="n">
        <v>133683.7162812833</v>
      </c>
      <c r="CY49" s="31" t="n">
        <v>189096.0068132153</v>
      </c>
      <c r="CZ49" s="31" t="n">
        <v>40074.03333366033</v>
      </c>
      <c r="DA49" s="31" t="n">
        <v>27832.32766423279</v>
      </c>
      <c r="DB49" s="31" t="n">
        <v>395648.2969876041</v>
      </c>
      <c r="DC49" s="31" t="n">
        <v>118821.2699362868</v>
      </c>
      <c r="DD49" s="31" t="n">
        <v>109533.1514916859</v>
      </c>
      <c r="DE49" s="31" t="n">
        <v>0</v>
      </c>
      <c r="DF49" s="31">
        <f>SUM(C49:DE49)</f>
        <v/>
      </c>
      <c r="DG49" s="31" t="n">
        <v>0</v>
      </c>
      <c r="DH49" s="31" t="n">
        <v>0</v>
      </c>
      <c r="DI49" s="31" t="n">
        <v>0</v>
      </c>
      <c r="DJ49" s="31" t="n">
        <v>0</v>
      </c>
      <c r="DK49" s="31">
        <f>SUM(DG49:DJ49)</f>
        <v/>
      </c>
      <c r="DL49" s="31">
        <f>DF49+DK49</f>
        <v/>
      </c>
    </row>
    <row r="50">
      <c r="A50" s="28" t="inlineStr">
        <is>
          <t>23</t>
        </is>
      </c>
      <c r="B50" s="28" t="inlineStr">
        <is>
          <t>23200 - Fabricación de productos de la refinación del petróleo. 23300-Fabricación de combustible nuclear</t>
        </is>
      </c>
      <c r="C50" s="29" t="n">
        <v>19629197.11672024</v>
      </c>
      <c r="D50" s="29" t="n">
        <v>-158868.7441671645</v>
      </c>
      <c r="E50" s="29" t="n">
        <v>16062.12533140604</v>
      </c>
      <c r="F50" s="29" t="n">
        <v>1852180.34791951</v>
      </c>
      <c r="G50" s="29" t="n">
        <v>25662.24283072254</v>
      </c>
      <c r="H50" s="29" t="n">
        <v>2806482.355896967</v>
      </c>
      <c r="I50" s="29" t="n">
        <v>32898.19973968763</v>
      </c>
      <c r="J50" s="29" t="n">
        <v>502166.0106783598</v>
      </c>
      <c r="K50" s="29" t="n">
        <v>1460829.763603742</v>
      </c>
      <c r="L50" s="29" t="n">
        <v>1153040.404202573</v>
      </c>
      <c r="M50" s="29" t="n">
        <v>937872.853635143</v>
      </c>
      <c r="N50" s="29" t="n">
        <v>288107.0832541615</v>
      </c>
      <c r="O50" s="29" t="n">
        <v>689390.8669305046</v>
      </c>
      <c r="P50" s="29" t="n">
        <v>179907.2116769713</v>
      </c>
      <c r="Q50" s="29" t="n">
        <v>902215.5850228976</v>
      </c>
      <c r="R50" s="29" t="n">
        <v>655312.1926547232</v>
      </c>
      <c r="S50" s="29" t="n">
        <v>176074.2166237046</v>
      </c>
      <c r="T50" s="29" t="n">
        <v>363473.4615929441</v>
      </c>
      <c r="U50" s="29" t="n">
        <v>308523.759970338</v>
      </c>
      <c r="V50" s="29" t="n">
        <v>199228.0667798967</v>
      </c>
      <c r="W50" s="29" t="n">
        <v>63131.91975777148</v>
      </c>
      <c r="X50" s="29" t="n">
        <v>58702.10288335184</v>
      </c>
      <c r="Y50" s="29" t="n">
        <v>333806.21577102</v>
      </c>
      <c r="Z50" s="29" t="n">
        <v>13379.27714824102</v>
      </c>
      <c r="AA50" s="29" t="n">
        <v>218539.450033084</v>
      </c>
      <c r="AB50" s="29" t="n">
        <v>10254.52020363445</v>
      </c>
      <c r="AC50" s="29" t="n">
        <v>450417.7897626736</v>
      </c>
      <c r="AD50" s="29" t="n">
        <v>78044.18245769604</v>
      </c>
      <c r="AE50" s="29" t="n">
        <v>221329.3545444096</v>
      </c>
      <c r="AF50" s="29" t="n">
        <v>48923.63725735308</v>
      </c>
      <c r="AG50" s="29" t="n">
        <v>36885.39339157088</v>
      </c>
      <c r="AH50" s="29" t="n">
        <v>39667.82005066338</v>
      </c>
      <c r="AI50" s="29" t="n">
        <v>473901.2703231051</v>
      </c>
      <c r="AJ50" s="29" t="n">
        <v>312957.6625491589</v>
      </c>
      <c r="AK50" s="29" t="n">
        <v>35742.12185435307</v>
      </c>
      <c r="AL50" s="29" t="n">
        <v>63459.60711325733</v>
      </c>
      <c r="AM50" s="29" t="n">
        <v>17726043.68612949</v>
      </c>
      <c r="AN50" s="29" t="n">
        <v>11379193.4287386</v>
      </c>
      <c r="AO50" s="29" t="n">
        <v>244610.3254115907</v>
      </c>
      <c r="AP50" s="29" t="n">
        <v>4072748.704233174</v>
      </c>
      <c r="AQ50" s="29" t="n">
        <v>117831.4766781836</v>
      </c>
      <c r="AR50" s="29" t="n">
        <v>170270.8858349376</v>
      </c>
      <c r="AS50" s="29" t="n">
        <v>143608.0350275081</v>
      </c>
      <c r="AT50" s="29" t="n">
        <v>93046.95915530798</v>
      </c>
      <c r="AU50" s="29" t="n">
        <v>2028502.629049552</v>
      </c>
      <c r="AV50" s="29" t="n">
        <v>380459.8341356379</v>
      </c>
      <c r="AW50" s="29" t="n">
        <v>406817.8402575401</v>
      </c>
      <c r="AX50" s="29" t="n">
        <v>320761.4138584587</v>
      </c>
      <c r="AY50" s="29" t="n">
        <v>180409.2266657768</v>
      </c>
      <c r="AZ50" s="29" t="n">
        <v>301572.7427001686</v>
      </c>
      <c r="BA50" s="29" t="n">
        <v>86278.36737821343</v>
      </c>
      <c r="BB50" s="29" t="n">
        <v>101758.6999716508</v>
      </c>
      <c r="BC50" s="29" t="n">
        <v>56274.97163551589</v>
      </c>
      <c r="BD50" s="29" t="n">
        <v>557.3991525430496</v>
      </c>
      <c r="BE50" s="29" t="n">
        <v>164156.4078232138</v>
      </c>
      <c r="BF50" s="29" t="n">
        <v>31730.37366208663</v>
      </c>
      <c r="BG50" s="29" t="n">
        <v>69294.32717228864</v>
      </c>
      <c r="BH50" s="29" t="n">
        <v>36957.93085529817</v>
      </c>
      <c r="BI50" s="29" t="n">
        <v>1046.616742765528</v>
      </c>
      <c r="BJ50" s="29" t="n">
        <v>13968.82352014785</v>
      </c>
      <c r="BK50" s="29" t="n">
        <v>116066.3726510898</v>
      </c>
      <c r="BL50" s="29" t="n">
        <v>166284.6030452484</v>
      </c>
      <c r="BM50" s="29" t="n">
        <v>73702.75016867458</v>
      </c>
      <c r="BN50" s="29" t="n">
        <v>240167.429843714</v>
      </c>
      <c r="BO50" s="29" t="n">
        <v>247488.4197402766</v>
      </c>
      <c r="BP50" s="29" t="n">
        <v>11578738.06039001</v>
      </c>
      <c r="BQ50" s="29" t="n">
        <v>392143.7215360735</v>
      </c>
      <c r="BR50" s="29" t="n">
        <v>200941.1515250142</v>
      </c>
      <c r="BS50" s="29" t="n">
        <v>4456333.601031448</v>
      </c>
      <c r="BT50" s="29" t="n">
        <v>1898898.738292088</v>
      </c>
      <c r="BU50" s="29" t="n">
        <v>11209840.30114809</v>
      </c>
      <c r="BV50" s="29" t="n">
        <v>10943040.03261227</v>
      </c>
      <c r="BW50" s="29" t="n">
        <v>4401.666798924462</v>
      </c>
      <c r="BX50" s="29" t="n">
        <v>63499.56147822632</v>
      </c>
      <c r="BY50" s="29" t="n">
        <v>-284847.7730912279</v>
      </c>
      <c r="BZ50" s="29" t="n">
        <v>583728.3342453365</v>
      </c>
      <c r="CA50" s="29" t="n">
        <v>69868231.02551585</v>
      </c>
      <c r="CB50" s="29" t="n">
        <v>180491.4414563783</v>
      </c>
      <c r="CC50" s="29" t="n">
        <v>104309.68521932</v>
      </c>
      <c r="CD50" s="29" t="n">
        <v>15504969.1448712</v>
      </c>
      <c r="CE50" s="29" t="n">
        <v>8097772.844177158</v>
      </c>
      <c r="CF50" s="29" t="n">
        <v>352913.9063936191</v>
      </c>
      <c r="CG50" s="29" t="n">
        <v>182100.1760527137</v>
      </c>
      <c r="CH50" s="29" t="n">
        <v>404869.6649134988</v>
      </c>
      <c r="CI50" s="29" t="n">
        <v>63222.85748989756</v>
      </c>
      <c r="CJ50" s="29" t="n">
        <v>49765.86224010213</v>
      </c>
      <c r="CK50" s="29" t="n">
        <v>19882.59066760804</v>
      </c>
      <c r="CL50" s="29" t="n">
        <v>618841.0289727506</v>
      </c>
      <c r="CM50" s="29" t="n">
        <v>1469252.972308593</v>
      </c>
      <c r="CN50" s="29" t="n">
        <v>0</v>
      </c>
      <c r="CO50" s="29" t="n">
        <v>0</v>
      </c>
      <c r="CP50" s="29" t="n">
        <v>1609.383715595927</v>
      </c>
      <c r="CQ50" s="29" t="n">
        <v>580379.3828029833</v>
      </c>
      <c r="CR50" s="29" t="n">
        <v>193765.5537402385</v>
      </c>
      <c r="CS50" s="29" t="n">
        <v>230432.9203998746</v>
      </c>
      <c r="CT50" s="29" t="n">
        <v>210410.5968558822</v>
      </c>
      <c r="CU50" s="29" t="n">
        <v>2012605.184481429</v>
      </c>
      <c r="CV50" s="29" t="n">
        <v>11225520.13661617</v>
      </c>
      <c r="CW50" s="29" t="n">
        <v>166322.5955158096</v>
      </c>
      <c r="CX50" s="29" t="n">
        <v>100693.2073952799</v>
      </c>
      <c r="CY50" s="29" t="n">
        <v>1205156.521629046</v>
      </c>
      <c r="CZ50" s="29" t="n">
        <v>324866.497844731</v>
      </c>
      <c r="DA50" s="29" t="n">
        <v>3208887.625365529</v>
      </c>
      <c r="DB50" s="29" t="n">
        <v>283365.782805262</v>
      </c>
      <c r="DC50" s="29" t="n">
        <v>216701.2130416001</v>
      </c>
      <c r="DD50" s="29" t="n">
        <v>22245.38851565336</v>
      </c>
      <c r="DE50" s="29" t="n">
        <v>0</v>
      </c>
      <c r="DF50" s="29">
        <f>SUM(C50:DE50)</f>
        <v/>
      </c>
      <c r="DG50" s="29" t="n">
        <v>0</v>
      </c>
      <c r="DH50" s="29" t="n">
        <v>0</v>
      </c>
      <c r="DI50" s="29" t="n">
        <v>0</v>
      </c>
      <c r="DJ50" s="29" t="n">
        <v>0</v>
      </c>
      <c r="DK50" s="29">
        <f>SUM(DG50:DJ50)</f>
        <v/>
      </c>
      <c r="DL50" s="29">
        <f>DF50+DK50</f>
        <v/>
      </c>
    </row>
    <row r="51">
      <c r="A51" s="30" t="inlineStr">
        <is>
          <t>2411</t>
        </is>
      </c>
      <c r="B51" s="30" t="inlineStr">
        <is>
          <t>24111 - Fabricación de gases comprimidos y licuados. 24119-Fabricación de materias químicas orgánicas básicas, n.c.p.</t>
        </is>
      </c>
      <c r="C51" s="31" t="n">
        <v>551599.8225808205</v>
      </c>
      <c r="D51" s="31" t="n">
        <v>-60514.6754355758</v>
      </c>
      <c r="E51" s="31" t="n">
        <v>208.8314991569936</v>
      </c>
      <c r="F51" s="31" t="n">
        <v>30730.50712960936</v>
      </c>
      <c r="G51" s="31" t="n">
        <v>444.6110028557271</v>
      </c>
      <c r="H51" s="31" t="n">
        <v>52520.91997682254</v>
      </c>
      <c r="I51" s="31" t="n">
        <v>435.053735174363</v>
      </c>
      <c r="J51" s="31" t="n">
        <v>17309.72594114923</v>
      </c>
      <c r="K51" s="31" t="n">
        <v>22258.12319309603</v>
      </c>
      <c r="L51" s="31" t="n">
        <v>73536.8519612034</v>
      </c>
      <c r="M51" s="31" t="n">
        <v>524510.5191280945</v>
      </c>
      <c r="N51" s="31" t="n">
        <v>93797.82663504468</v>
      </c>
      <c r="O51" s="31" t="n">
        <v>-1436.745361407986</v>
      </c>
      <c r="P51" s="31" t="n">
        <v>210942.4825441789</v>
      </c>
      <c r="Q51" s="31" t="n">
        <v>27741.37892729316</v>
      </c>
      <c r="R51" s="31" t="n">
        <v>501508.0351911573</v>
      </c>
      <c r="S51" s="31" t="n">
        <v>80084.94749135763</v>
      </c>
      <c r="T51" s="31" t="n">
        <v>252306.8009657855</v>
      </c>
      <c r="U51" s="31" t="n">
        <v>144885.9814442688</v>
      </c>
      <c r="V51" s="31" t="n">
        <v>105080.1540916092</v>
      </c>
      <c r="W51" s="31" t="n">
        <v>297012.2527696469</v>
      </c>
      <c r="X51" s="31" t="n">
        <v>59291.62529796884</v>
      </c>
      <c r="Y51" s="31" t="n">
        <v>555152.6928087262</v>
      </c>
      <c r="Z51" s="31" t="n">
        <v>33768.17262342065</v>
      </c>
      <c r="AA51" s="31" t="n">
        <v>135402.7623063014</v>
      </c>
      <c r="AB51" s="31" t="n">
        <v>6896.101974272256</v>
      </c>
      <c r="AC51" s="31" t="n">
        <v>1540707.04429148</v>
      </c>
      <c r="AD51" s="31" t="n">
        <v>38843.79160894625</v>
      </c>
      <c r="AE51" s="31" t="n">
        <v>912959.3835310317</v>
      </c>
      <c r="AF51" s="31" t="n">
        <v>273635.0109318843</v>
      </c>
      <c r="AG51" s="31" t="n">
        <v>1618999.762817853</v>
      </c>
      <c r="AH51" s="31" t="n">
        <v>303241.8922559309</v>
      </c>
      <c r="AI51" s="31" t="n">
        <v>87935.57296085292</v>
      </c>
      <c r="AJ51" s="31" t="n">
        <v>1171438.121412279</v>
      </c>
      <c r="AK51" s="31" t="n">
        <v>20961.15652582651</v>
      </c>
      <c r="AL51" s="31" t="n">
        <v>458255.9139069465</v>
      </c>
      <c r="AM51" s="31" t="n">
        <v>2087712.314087871</v>
      </c>
      <c r="AN51" s="31" t="n">
        <v>6449226.177552326</v>
      </c>
      <c r="AO51" s="31" t="n">
        <v>2341193.823384212</v>
      </c>
      <c r="AP51" s="31" t="n">
        <v>18351324.81988478</v>
      </c>
      <c r="AQ51" s="31" t="n">
        <v>13566034.70890821</v>
      </c>
      <c r="AR51" s="31" t="n">
        <v>1385930.77150947</v>
      </c>
      <c r="AS51" s="31" t="n">
        <v>1609142.248498523</v>
      </c>
      <c r="AT51" s="31" t="n">
        <v>526005.6947185104</v>
      </c>
      <c r="AU51" s="31" t="n">
        <v>554905.2466229834</v>
      </c>
      <c r="AV51" s="31" t="n">
        <v>1064147.909549859</v>
      </c>
      <c r="AW51" s="31" t="n">
        <v>591225.8157750457</v>
      </c>
      <c r="AX51" s="31" t="n">
        <v>305200.0377909255</v>
      </c>
      <c r="AY51" s="31" t="n">
        <v>65799.56559345228</v>
      </c>
      <c r="AZ51" s="31" t="n">
        <v>420298.061588057</v>
      </c>
      <c r="BA51" s="31" t="n">
        <v>52603.24066353722</v>
      </c>
      <c r="BB51" s="31" t="n">
        <v>72336.82784795026</v>
      </c>
      <c r="BC51" s="31" t="n">
        <v>46148.78943165808</v>
      </c>
      <c r="BD51" s="31" t="n">
        <v>23613.01234754634</v>
      </c>
      <c r="BE51" s="31" t="n">
        <v>12088.55917377672</v>
      </c>
      <c r="BF51" s="31" t="n">
        <v>65419.26224943855</v>
      </c>
      <c r="BG51" s="31" t="n">
        <v>104180.4180508779</v>
      </c>
      <c r="BH51" s="31" t="n">
        <v>10217.20254411594</v>
      </c>
      <c r="BI51" s="31" t="n">
        <v>5868.517247791689</v>
      </c>
      <c r="BJ51" s="31" t="n">
        <v>32939.72441913752</v>
      </c>
      <c r="BK51" s="31" t="n">
        <v>20623.55741401024</v>
      </c>
      <c r="BL51" s="31" t="n">
        <v>183353.1288347042</v>
      </c>
      <c r="BM51" s="31" t="n">
        <v>69063.65158708488</v>
      </c>
      <c r="BN51" s="31" t="n">
        <v>233311.4088549026</v>
      </c>
      <c r="BO51" s="31" t="n">
        <v>36298.0218106504</v>
      </c>
      <c r="BP51" s="31" t="n">
        <v>153669.5384393972</v>
      </c>
      <c r="BQ51" s="31" t="n">
        <v>6522.114536310791</v>
      </c>
      <c r="BR51" s="31" t="n">
        <v>693154.6733442759</v>
      </c>
      <c r="BS51" s="31" t="n">
        <v>486616.8691933089</v>
      </c>
      <c r="BT51" s="31" t="n">
        <v>50538.71181794406</v>
      </c>
      <c r="BU51" s="31" t="n">
        <v>159944.8590416195</v>
      </c>
      <c r="BV51" s="31" t="n">
        <v>168634.7640547171</v>
      </c>
      <c r="BW51" s="31" t="n">
        <v>84802.24665088159</v>
      </c>
      <c r="BX51" s="31" t="n">
        <v>-7688.504024404087</v>
      </c>
      <c r="BY51" s="31" t="n">
        <v>15727.73993694586</v>
      </c>
      <c r="BZ51" s="31" t="n">
        <v>8965.415165057177</v>
      </c>
      <c r="CA51" s="31" t="n">
        <v>994833.6486216841</v>
      </c>
      <c r="CB51" s="31" t="n">
        <v>10388.04120260644</v>
      </c>
      <c r="CC51" s="31" t="n">
        <v>2412.605286951207</v>
      </c>
      <c r="CD51" s="31" t="n">
        <v>223432.7011962558</v>
      </c>
      <c r="CE51" s="31" t="n">
        <v>109619.4926369481</v>
      </c>
      <c r="CF51" s="31" t="n">
        <v>1344.457932599584</v>
      </c>
      <c r="CG51" s="31" t="n">
        <v>-12510.136863145</v>
      </c>
      <c r="CH51" s="31" t="n">
        <v>-673860.5333809721</v>
      </c>
      <c r="CI51" s="31" t="n">
        <v>355.1332011876744</v>
      </c>
      <c r="CJ51" s="31" t="n">
        <v>4503.856682923193</v>
      </c>
      <c r="CK51" s="31" t="n">
        <v>8992.225747987799</v>
      </c>
      <c r="CL51" s="31" t="n">
        <v>17006.75648069157</v>
      </c>
      <c r="CM51" s="31" t="n">
        <v>30921.04347976967</v>
      </c>
      <c r="CN51" s="31" t="n">
        <v>151952.5883653045</v>
      </c>
      <c r="CO51" s="31" t="n">
        <v>71169.02240530575</v>
      </c>
      <c r="CP51" s="31" t="n">
        <v>7661.889563283133</v>
      </c>
      <c r="CQ51" s="31" t="n">
        <v>6719.202903664306</v>
      </c>
      <c r="CR51" s="31" t="n">
        <v>-40281.23626626248</v>
      </c>
      <c r="CS51" s="31" t="n">
        <v>7063.0052219729</v>
      </c>
      <c r="CT51" s="31" t="n">
        <v>6449.300480906195</v>
      </c>
      <c r="CU51" s="31" t="n">
        <v>77384.55386908422</v>
      </c>
      <c r="CV51" s="31" t="n">
        <v>343740.3076543296</v>
      </c>
      <c r="CW51" s="31" t="n">
        <v>9920.194350362975</v>
      </c>
      <c r="CX51" s="31" t="n">
        <v>10936.19565516639</v>
      </c>
      <c r="CY51" s="31" t="n">
        <v>3067890.052137424</v>
      </c>
      <c r="CZ51" s="31" t="n">
        <v>1353697.304370748</v>
      </c>
      <c r="DA51" s="31" t="n">
        <v>98992.12255642531</v>
      </c>
      <c r="DB51" s="31" t="n">
        <v>69775.56897314322</v>
      </c>
      <c r="DC51" s="31" t="n">
        <v>-132412.6495932036</v>
      </c>
      <c r="DD51" s="31" t="n">
        <v>40541.9506610255</v>
      </c>
      <c r="DE51" s="31" t="n">
        <v>0</v>
      </c>
      <c r="DF51" s="31">
        <f>SUM(C51:DE51)</f>
        <v/>
      </c>
      <c r="DG51" s="31" t="n">
        <v>0</v>
      </c>
      <c r="DH51" s="31" t="n">
        <v>0</v>
      </c>
      <c r="DI51" s="31" t="n">
        <v>0</v>
      </c>
      <c r="DJ51" s="31" t="n">
        <v>0</v>
      </c>
      <c r="DK51" s="31">
        <f>SUM(DG51:DJ51)</f>
        <v/>
      </c>
      <c r="DL51" s="31">
        <f>DF51+DK51</f>
        <v/>
      </c>
    </row>
    <row r="52">
      <c r="A52" s="28" t="inlineStr">
        <is>
          <t>2412/2421</t>
        </is>
      </c>
      <c r="B52" s="28" t="inlineStr">
        <is>
          <t>24120 - Fabricación de abonos y compuestos de nitrógeno. 24210 - Fabricación de plaguicidas y productos químicos de uso agropecuario</t>
        </is>
      </c>
      <c r="C52" s="29" t="n">
        <v>51725477.49851406</v>
      </c>
      <c r="D52" s="29" t="n">
        <v>173810.4071102039</v>
      </c>
      <c r="E52" s="29" t="n">
        <v>0</v>
      </c>
      <c r="F52" s="29" t="n">
        <v>411970.8071008872</v>
      </c>
      <c r="G52" s="29" t="n">
        <v>6865.792248587431</v>
      </c>
      <c r="H52" s="29" t="n">
        <v>154.3035965352673</v>
      </c>
      <c r="I52" s="29" t="n">
        <v>0.004421295539824279</v>
      </c>
      <c r="J52" s="29" t="n">
        <v>2.155766738825722</v>
      </c>
      <c r="K52" s="29" t="n">
        <v>-253.7439634438483</v>
      </c>
      <c r="L52" s="29" t="n">
        <v>0.3678582196020774</v>
      </c>
      <c r="M52" s="29" t="n">
        <v>1.909172538958849</v>
      </c>
      <c r="N52" s="29" t="n">
        <v>-8302.33932866778</v>
      </c>
      <c r="O52" s="29" t="n">
        <v>-3183.37225779589</v>
      </c>
      <c r="P52" s="29" t="n">
        <v>-337.2152120415037</v>
      </c>
      <c r="Q52" s="29" t="n">
        <v>-15726.06880059779</v>
      </c>
      <c r="R52" s="29" t="n">
        <v>-2763.477563890448</v>
      </c>
      <c r="S52" s="29" t="n">
        <v>-4499.747340503716</v>
      </c>
      <c r="T52" s="29" t="n">
        <v>-6197.116755000835</v>
      </c>
      <c r="U52" s="29" t="n">
        <v>12709.84688673678</v>
      </c>
      <c r="V52" s="29" t="n">
        <v>-562.7408045079582</v>
      </c>
      <c r="W52" s="29" t="n">
        <v>6275.665594931366</v>
      </c>
      <c r="X52" s="29" t="n">
        <v>-279.2231278614665</v>
      </c>
      <c r="Y52" s="29" t="n">
        <v>5025.788183384962</v>
      </c>
      <c r="Z52" s="29" t="n">
        <v>-1973.983498494695</v>
      </c>
      <c r="AA52" s="29" t="n">
        <v>-3314.997040680253</v>
      </c>
      <c r="AB52" s="29" t="n">
        <v>-443.072774363358</v>
      </c>
      <c r="AC52" s="29" t="n">
        <v>124103.8091581073</v>
      </c>
      <c r="AD52" s="29" t="n">
        <v>11.11626365168428</v>
      </c>
      <c r="AE52" s="29" t="n">
        <v>34719.67013972285</v>
      </c>
      <c r="AF52" s="29" t="n">
        <v>6471.435100291847</v>
      </c>
      <c r="AG52" s="29" t="n">
        <v>45527.81965791205</v>
      </c>
      <c r="AH52" s="29" t="n">
        <v>11552.06014725328</v>
      </c>
      <c r="AI52" s="29" t="n">
        <v>2740.450298791031</v>
      </c>
      <c r="AJ52" s="29" t="n">
        <v>4418.733607243447</v>
      </c>
      <c r="AK52" s="29" t="n">
        <v>-2093.590594673668</v>
      </c>
      <c r="AL52" s="29" t="n">
        <v>11064.3629462446</v>
      </c>
      <c r="AM52" s="29" t="n">
        <v>-50319.70658516029</v>
      </c>
      <c r="AN52" s="29" t="n">
        <v>378934.3193891724</v>
      </c>
      <c r="AO52" s="29" t="n">
        <v>1353179.946561884</v>
      </c>
      <c r="AP52" s="29" t="n">
        <v>209874.6620563903</v>
      </c>
      <c r="AQ52" s="29" t="n">
        <v>1119563.860963602</v>
      </c>
      <c r="AR52" s="29" t="n">
        <v>3165.331473312614</v>
      </c>
      <c r="AS52" s="29" t="n">
        <v>30421.888992351</v>
      </c>
      <c r="AT52" s="29" t="n">
        <v>6978.631440787622</v>
      </c>
      <c r="AU52" s="29" t="n">
        <v>3360.677468991379</v>
      </c>
      <c r="AV52" s="29" t="n">
        <v>-2656.040868555824</v>
      </c>
      <c r="AW52" s="29" t="n">
        <v>480.7106039926974</v>
      </c>
      <c r="AX52" s="29" t="n">
        <v>1380.920835819481</v>
      </c>
      <c r="AY52" s="29" t="n">
        <v>-838.7897916820421</v>
      </c>
      <c r="AZ52" s="29" t="n">
        <v>16433.57927187919</v>
      </c>
      <c r="BA52" s="29" t="n">
        <v>-1306.175421512584</v>
      </c>
      <c r="BB52" s="29" t="n">
        <v>-5586.294901871814</v>
      </c>
      <c r="BC52" s="29" t="n">
        <v>-568.8956511679218</v>
      </c>
      <c r="BD52" s="29" t="n">
        <v>-82.12905223027502</v>
      </c>
      <c r="BE52" s="29" t="n">
        <v>-422.4413416355015</v>
      </c>
      <c r="BF52" s="29" t="n">
        <v>-151.8080305837411</v>
      </c>
      <c r="BG52" s="29" t="n">
        <v>51.36735381658096</v>
      </c>
      <c r="BH52" s="29" t="n">
        <v>107.7263032434931</v>
      </c>
      <c r="BI52" s="29" t="n">
        <v>-16.24781362472842</v>
      </c>
      <c r="BJ52" s="29" t="n">
        <v>-421.392026992874</v>
      </c>
      <c r="BK52" s="29" t="n">
        <v>-20552.25666053363</v>
      </c>
      <c r="BL52" s="29" t="n">
        <v>-243.9322069423088</v>
      </c>
      <c r="BM52" s="29" t="n">
        <v>-231.7128865765247</v>
      </c>
      <c r="BN52" s="29" t="n">
        <v>-60.36025157768302</v>
      </c>
      <c r="BO52" s="29" t="n">
        <v>-859.7128249345394</v>
      </c>
      <c r="BP52" s="29" t="n">
        <v>323.3356704900505</v>
      </c>
      <c r="BQ52" s="29" t="n">
        <v>95.38166804365861</v>
      </c>
      <c r="BR52" s="29" t="n">
        <v>18.59087978935742</v>
      </c>
      <c r="BS52" s="29" t="n">
        <v>563.6485185180716</v>
      </c>
      <c r="BT52" s="29" t="n">
        <v>40204.77886897854</v>
      </c>
      <c r="BU52" s="29" t="n">
        <v>245652.0816456806</v>
      </c>
      <c r="BV52" s="29" t="n">
        <v>518600.6831171581</v>
      </c>
      <c r="BW52" s="29" t="n">
        <v>109.3038473947191</v>
      </c>
      <c r="BX52" s="29" t="n">
        <v>-3039.702819461346</v>
      </c>
      <c r="BY52" s="29" t="n">
        <v>4100.550895639014</v>
      </c>
      <c r="BZ52" s="29" t="n">
        <v>5.150569202508821</v>
      </c>
      <c r="CA52" s="29" t="n">
        <v>1170.008020592494</v>
      </c>
      <c r="CB52" s="29" t="n">
        <v>87.17710109083369</v>
      </c>
      <c r="CC52" s="29" t="n">
        <v>27.28041235399202</v>
      </c>
      <c r="CD52" s="29" t="n">
        <v>516.2179492172312</v>
      </c>
      <c r="CE52" s="29" t="n">
        <v>14.90249873615502</v>
      </c>
      <c r="CF52" s="29" t="n">
        <v>-997.1970474669209</v>
      </c>
      <c r="CG52" s="29" t="n">
        <v>-5540.226208811533</v>
      </c>
      <c r="CH52" s="29" t="n">
        <v>-203628.8161678263</v>
      </c>
      <c r="CI52" s="29" t="n">
        <v>-433.6921521220157</v>
      </c>
      <c r="CJ52" s="29" t="n">
        <v>381.430264060624</v>
      </c>
      <c r="CK52" s="29" t="n">
        <v>19.50977409125742</v>
      </c>
      <c r="CL52" s="29" t="n">
        <v>275.4074831215922</v>
      </c>
      <c r="CM52" s="29" t="n">
        <v>-8.302765225128462</v>
      </c>
      <c r="CN52" s="29" t="n">
        <v>5.06937784520948</v>
      </c>
      <c r="CO52" s="29" t="n">
        <v>3.167915625455239</v>
      </c>
      <c r="CP52" s="29" t="n">
        <v>16434.62141255806</v>
      </c>
      <c r="CQ52" s="29" t="n">
        <v>-399.2471029154958</v>
      </c>
      <c r="CR52" s="29" t="n">
        <v>-16035.01188492018</v>
      </c>
      <c r="CS52" s="29" t="n">
        <v>766.2540623192551</v>
      </c>
      <c r="CT52" s="29" t="n">
        <v>699.6742232666096</v>
      </c>
      <c r="CU52" s="29" t="n">
        <v>254287.4365963953</v>
      </c>
      <c r="CV52" s="29" t="n">
        <v>37329.50346551449</v>
      </c>
      <c r="CW52" s="29" t="n">
        <v>1102.078872226717</v>
      </c>
      <c r="CX52" s="29" t="n">
        <v>553.9465896103077</v>
      </c>
      <c r="CY52" s="29" t="n">
        <v>2373.212483884776</v>
      </c>
      <c r="CZ52" s="29" t="n">
        <v>32752.47100629501</v>
      </c>
      <c r="DA52" s="29" t="n">
        <v>-81.28610542211379</v>
      </c>
      <c r="DB52" s="29" t="n">
        <v>366522.2026601891</v>
      </c>
      <c r="DC52" s="29" t="n">
        <v>-37171.18647138989</v>
      </c>
      <c r="DD52" s="29" t="n">
        <v>63715.54390830073</v>
      </c>
      <c r="DE52" s="29" t="n">
        <v>0</v>
      </c>
      <c r="DF52" s="29">
        <f>SUM(C52:DE52)</f>
        <v/>
      </c>
      <c r="DG52" s="29" t="n">
        <v>0</v>
      </c>
      <c r="DH52" s="29" t="n">
        <v>0</v>
      </c>
      <c r="DI52" s="29" t="n">
        <v>0</v>
      </c>
      <c r="DJ52" s="29" t="n">
        <v>0</v>
      </c>
      <c r="DK52" s="29">
        <f>SUM(DG52:DJ52)</f>
        <v/>
      </c>
      <c r="DL52" s="29">
        <f>DF52+DK52</f>
        <v/>
      </c>
    </row>
    <row r="53">
      <c r="A53" s="30" t="inlineStr">
        <is>
          <t>24130</t>
        </is>
      </c>
      <c r="B53" s="30" t="inlineStr">
        <is>
          <t>24130 - Fabricación de plásticos en formas primarias y de caucho sintético</t>
        </is>
      </c>
      <c r="C53" s="31" t="n">
        <v>-369844.1567946537</v>
      </c>
      <c r="D53" s="31" t="n">
        <v>-43415.5119546027</v>
      </c>
      <c r="E53" s="31" t="n">
        <v>39.39780861466764</v>
      </c>
      <c r="F53" s="31" t="n">
        <v>6170.775073418435</v>
      </c>
      <c r="G53" s="31" t="n">
        <v>62.94535192619056</v>
      </c>
      <c r="H53" s="31" t="n">
        <v>27664.0924073038</v>
      </c>
      <c r="I53" s="31" t="n">
        <v>80.86358260091684</v>
      </c>
      <c r="J53" s="31" t="n">
        <v>29821.49909756945</v>
      </c>
      <c r="K53" s="31" t="n">
        <v>37134.76661194791</v>
      </c>
      <c r="L53" s="31" t="n">
        <v>11971.96162032444</v>
      </c>
      <c r="M53" s="31" t="n">
        <v>268817.3152854241</v>
      </c>
      <c r="N53" s="31" t="n">
        <v>45075.01658133567</v>
      </c>
      <c r="O53" s="31" t="n">
        <v>-6754.633911070218</v>
      </c>
      <c r="P53" s="31" t="n">
        <v>106612.8723424726</v>
      </c>
      <c r="Q53" s="31" t="n">
        <v>-13829.32418183397</v>
      </c>
      <c r="R53" s="31" t="n">
        <v>253110.139380176</v>
      </c>
      <c r="S53" s="31" t="n">
        <v>4429.024130177879</v>
      </c>
      <c r="T53" s="31" t="n">
        <v>14905.18216311953</v>
      </c>
      <c r="U53" s="31" t="n">
        <v>37584.18550281927</v>
      </c>
      <c r="V53" s="31" t="n">
        <v>282.681403376992</v>
      </c>
      <c r="W53" s="31" t="n">
        <v>53511.41488303122</v>
      </c>
      <c r="X53" s="31" t="n">
        <v>24613.89122605124</v>
      </c>
      <c r="Y53" s="31" t="n">
        <v>72136.38101772405</v>
      </c>
      <c r="Z53" s="31" t="n">
        <v>16047.65533984881</v>
      </c>
      <c r="AA53" s="31" t="n">
        <v>81393.59529987993</v>
      </c>
      <c r="AB53" s="31" t="n">
        <v>9449.561263118263</v>
      </c>
      <c r="AC53" s="31" t="n">
        <v>293635.1780152161</v>
      </c>
      <c r="AD53" s="31" t="n">
        <v>732787.1980632917</v>
      </c>
      <c r="AE53" s="31" t="n">
        <v>892700.269030868</v>
      </c>
      <c r="AF53" s="31" t="n">
        <v>52875.63542613645</v>
      </c>
      <c r="AG53" s="31" t="n">
        <v>114048.297704937</v>
      </c>
      <c r="AH53" s="31" t="n">
        <v>632809.8517937018</v>
      </c>
      <c r="AI53" s="31" t="n">
        <v>679303.1598442422</v>
      </c>
      <c r="AJ53" s="31" t="n">
        <v>1383762.402666046</v>
      </c>
      <c r="AK53" s="31" t="n">
        <v>37581.31267660268</v>
      </c>
      <c r="AL53" s="31" t="n">
        <v>554933.7774671075</v>
      </c>
      <c r="AM53" s="31" t="n">
        <v>858578.6288222203</v>
      </c>
      <c r="AN53" s="31" t="n">
        <v>2548568.152769363</v>
      </c>
      <c r="AO53" s="31" t="n">
        <v>1060560.336449616</v>
      </c>
      <c r="AP53" s="31" t="n">
        <v>11639244.95641422</v>
      </c>
      <c r="AQ53" s="31" t="n">
        <v>7862056.698696577</v>
      </c>
      <c r="AR53" s="31" t="n">
        <v>3243254.892598493</v>
      </c>
      <c r="AS53" s="31" t="n">
        <v>30709615.44606355</v>
      </c>
      <c r="AT53" s="31" t="n">
        <v>240398.3881029178</v>
      </c>
      <c r="AU53" s="31" t="n">
        <v>444955.1829304456</v>
      </c>
      <c r="AV53" s="31" t="n">
        <v>-867.6491485019142</v>
      </c>
      <c r="AW53" s="31" t="n">
        <v>45208.75737485379</v>
      </c>
      <c r="AX53" s="31" t="n">
        <v>60539.97608095653</v>
      </c>
      <c r="AY53" s="31" t="n">
        <v>95199.25575076272</v>
      </c>
      <c r="AZ53" s="31" t="n">
        <v>701234.8932513945</v>
      </c>
      <c r="BA53" s="31" t="n">
        <v>141187.0662695281</v>
      </c>
      <c r="BB53" s="31" t="n">
        <v>110552.4373344245</v>
      </c>
      <c r="BC53" s="31" t="n">
        <v>671562.8449149183</v>
      </c>
      <c r="BD53" s="31" t="n">
        <v>657964.0799476071</v>
      </c>
      <c r="BE53" s="31" t="n">
        <v>150752.563248625</v>
      </c>
      <c r="BF53" s="31" t="n">
        <v>1019076.567628688</v>
      </c>
      <c r="BG53" s="31" t="n">
        <v>276965.5888293775</v>
      </c>
      <c r="BH53" s="31" t="n">
        <v>131150.0179850456</v>
      </c>
      <c r="BI53" s="31" t="n">
        <v>171389.8215442118</v>
      </c>
      <c r="BJ53" s="31" t="n">
        <v>390720.0849481802</v>
      </c>
      <c r="BK53" s="31" t="n">
        <v>184745.8081072035</v>
      </c>
      <c r="BL53" s="31" t="n">
        <v>505882.3665430079</v>
      </c>
      <c r="BM53" s="31" t="n">
        <v>87304.87012091771</v>
      </c>
      <c r="BN53" s="31" t="n">
        <v>1023200.037252658</v>
      </c>
      <c r="BO53" s="31" t="n">
        <v>129347.0351565764</v>
      </c>
      <c r="BP53" s="31" t="n">
        <v>30369.40151684574</v>
      </c>
      <c r="BQ53" s="31" t="n">
        <v>1473.334023866964</v>
      </c>
      <c r="BR53" s="31" t="n">
        <v>390517.4732731902</v>
      </c>
      <c r="BS53" s="31" t="n">
        <v>936893.0844381581</v>
      </c>
      <c r="BT53" s="31" t="n">
        <v>84907.33625874901</v>
      </c>
      <c r="BU53" s="31" t="n">
        <v>64374.01930670077</v>
      </c>
      <c r="BV53" s="31" t="n">
        <v>73790.34181522933</v>
      </c>
      <c r="BW53" s="31" t="n">
        <v>32.06690758417454</v>
      </c>
      <c r="BX53" s="31" t="n">
        <v>-10545.45615005986</v>
      </c>
      <c r="BY53" s="31" t="n">
        <v>22706.81169103906</v>
      </c>
      <c r="BZ53" s="31" t="n">
        <v>3166.631567365511</v>
      </c>
      <c r="CA53" s="31" t="n">
        <v>409597.2683065049</v>
      </c>
      <c r="CB53" s="31" t="n">
        <v>12410.01067445849</v>
      </c>
      <c r="CC53" s="31" t="n">
        <v>1416.727562216495</v>
      </c>
      <c r="CD53" s="31" t="n">
        <v>78788.246784651</v>
      </c>
      <c r="CE53" s="31" t="n">
        <v>78328.64620017751</v>
      </c>
      <c r="CF53" s="31" t="n">
        <v>-1657.227311375011</v>
      </c>
      <c r="CG53" s="31" t="n">
        <v>-13945.91224099563</v>
      </c>
      <c r="CH53" s="31" t="n">
        <v>-551963.5010091956</v>
      </c>
      <c r="CI53" s="31" t="n">
        <v>-1014.118964725391</v>
      </c>
      <c r="CJ53" s="31" t="n">
        <v>3703.078428000435</v>
      </c>
      <c r="CK53" s="31" t="n">
        <v>9240.255497391774</v>
      </c>
      <c r="CL53" s="31" t="n">
        <v>7706.090901399768</v>
      </c>
      <c r="CM53" s="31" t="n">
        <v>19272.76251188666</v>
      </c>
      <c r="CN53" s="31" t="n">
        <v>198858.7271351544</v>
      </c>
      <c r="CO53" s="31" t="n">
        <v>92132.20812230559</v>
      </c>
      <c r="CP53" s="31" t="n">
        <v>1925.508971176481</v>
      </c>
      <c r="CQ53" s="31" t="n">
        <v>903.605785773693</v>
      </c>
      <c r="CR53" s="31" t="n">
        <v>-36859.65227380587</v>
      </c>
      <c r="CS53" s="31" t="n">
        <v>2406.220188279851</v>
      </c>
      <c r="CT53" s="31" t="n">
        <v>2197.143642080543</v>
      </c>
      <c r="CU53" s="31" t="n">
        <v>-32162.07986357969</v>
      </c>
      <c r="CV53" s="31" t="n">
        <v>116461.9239167593</v>
      </c>
      <c r="CW53" s="31" t="n">
        <v>244.5017587520774</v>
      </c>
      <c r="CX53" s="31" t="n">
        <v>7280.752114369169</v>
      </c>
      <c r="CY53" s="31" t="n">
        <v>849044.5590101777</v>
      </c>
      <c r="CZ53" s="31" t="n">
        <v>47809.88602077646</v>
      </c>
      <c r="DA53" s="31" t="n">
        <v>47751.29395972275</v>
      </c>
      <c r="DB53" s="31" t="n">
        <v>15108.71640218828</v>
      </c>
      <c r="DC53" s="31" t="n">
        <v>-109808.6583146357</v>
      </c>
      <c r="DD53" s="31" t="n">
        <v>2075.596297374788</v>
      </c>
      <c r="DE53" s="31" t="n">
        <v>0</v>
      </c>
      <c r="DF53" s="31">
        <f>SUM(C53:DE53)</f>
        <v/>
      </c>
      <c r="DG53" s="31" t="n">
        <v>0</v>
      </c>
      <c r="DH53" s="31" t="n">
        <v>0</v>
      </c>
      <c r="DI53" s="31" t="n">
        <v>0</v>
      </c>
      <c r="DJ53" s="31" t="n">
        <v>0</v>
      </c>
      <c r="DK53" s="31">
        <f>SUM(DG53:DJ53)</f>
        <v/>
      </c>
      <c r="DL53" s="31">
        <f>DF53+DK53</f>
        <v/>
      </c>
    </row>
    <row r="54">
      <c r="A54" s="28" t="inlineStr">
        <is>
          <t>242</t>
        </is>
      </c>
      <c r="B54" s="28" t="inlineStr">
        <is>
          <t>Fabricación de otros productos químicos (excl 24210 - Fabricación de plaguicidas y productos químicos de uso agropecuario)</t>
        </is>
      </c>
      <c r="C54" s="29" t="n">
        <v>16631800.81273057</v>
      </c>
      <c r="D54" s="29" t="n">
        <v>907086.2124839816</v>
      </c>
      <c r="E54" s="29" t="n">
        <v>7.292728519986994</v>
      </c>
      <c r="F54" s="29" t="n">
        <v>160919.2448326228</v>
      </c>
      <c r="G54" s="29" t="n">
        <v>2638.127439507322</v>
      </c>
      <c r="H54" s="29" t="n">
        <v>388935.7720413745</v>
      </c>
      <c r="I54" s="29" t="n">
        <v>8.557292556205892</v>
      </c>
      <c r="J54" s="29" t="n">
        <v>74662.92522622514</v>
      </c>
      <c r="K54" s="29" t="n">
        <v>516.9133620297257</v>
      </c>
      <c r="L54" s="29" t="n">
        <v>895193.4014692333</v>
      </c>
      <c r="M54" s="29" t="n">
        <v>213420.0634049443</v>
      </c>
      <c r="N54" s="29" t="n">
        <v>-91958.70344869186</v>
      </c>
      <c r="O54" s="29" t="n">
        <v>-19434.1753639014</v>
      </c>
      <c r="P54" s="29" t="n">
        <v>109098.3083813317</v>
      </c>
      <c r="Q54" s="29" t="n">
        <v>-259919.0876098536</v>
      </c>
      <c r="R54" s="29" t="n">
        <v>816258.4524820776</v>
      </c>
      <c r="S54" s="29" t="n">
        <v>-27357.97889966988</v>
      </c>
      <c r="T54" s="29" t="n">
        <v>2877349.789748192</v>
      </c>
      <c r="U54" s="29" t="n">
        <v>224890.0767141116</v>
      </c>
      <c r="V54" s="29" t="n">
        <v>40001.10753080796</v>
      </c>
      <c r="W54" s="29" t="n">
        <v>439017.0455483411</v>
      </c>
      <c r="X54" s="29" t="n">
        <v>-1087.552415911428</v>
      </c>
      <c r="Y54" s="29" t="n">
        <v>646784.7423217627</v>
      </c>
      <c r="Z54" s="29" t="n">
        <v>30716.4719371202</v>
      </c>
      <c r="AA54" s="29" t="n">
        <v>136361.0302823439</v>
      </c>
      <c r="AB54" s="29" t="n">
        <v>-2383.022086941109</v>
      </c>
      <c r="AC54" s="29" t="n">
        <v>831275.5995528465</v>
      </c>
      <c r="AD54" s="29" t="n">
        <v>158913.598912492</v>
      </c>
      <c r="AE54" s="29" t="n">
        <v>5721567.093433839</v>
      </c>
      <c r="AF54" s="29" t="n">
        <v>194724.0414821245</v>
      </c>
      <c r="AG54" s="29" t="n">
        <v>343731.8826053763</v>
      </c>
      <c r="AH54" s="29" t="n">
        <v>215059.0983564375</v>
      </c>
      <c r="AI54" s="29" t="n">
        <v>580403.6258192408</v>
      </c>
      <c r="AJ54" s="29" t="n">
        <v>1626160.721463699</v>
      </c>
      <c r="AK54" s="29" t="n">
        <v>382430.6820107673</v>
      </c>
      <c r="AL54" s="29" t="n">
        <v>1505771.348883306</v>
      </c>
      <c r="AM54" s="29" t="n">
        <v>1140996.676172144</v>
      </c>
      <c r="AN54" s="29" t="n">
        <v>1954822.954644909</v>
      </c>
      <c r="AO54" s="29" t="n">
        <v>1973589.263936365</v>
      </c>
      <c r="AP54" s="29" t="n">
        <v>2698781.958753801</v>
      </c>
      <c r="AQ54" s="29" t="n">
        <v>32409134.88024407</v>
      </c>
      <c r="AR54" s="29" t="n">
        <v>679797.7302531983</v>
      </c>
      <c r="AS54" s="29" t="n">
        <v>885058.7518037517</v>
      </c>
      <c r="AT54" s="29" t="n">
        <v>110825.7185489688</v>
      </c>
      <c r="AU54" s="29" t="n">
        <v>989711.5257129595</v>
      </c>
      <c r="AV54" s="29" t="n">
        <v>472849.2377968436</v>
      </c>
      <c r="AW54" s="29" t="n">
        <v>317306.1214771334</v>
      </c>
      <c r="AX54" s="29" t="n">
        <v>219238.6466133806</v>
      </c>
      <c r="AY54" s="29" t="n">
        <v>202549.5891755867</v>
      </c>
      <c r="AZ54" s="29" t="n">
        <v>744185.7219000977</v>
      </c>
      <c r="BA54" s="29" t="n">
        <v>93861.09368511225</v>
      </c>
      <c r="BB54" s="29" t="n">
        <v>213026.1070228485</v>
      </c>
      <c r="BC54" s="29" t="n">
        <v>267043.101515264</v>
      </c>
      <c r="BD54" s="29" t="n">
        <v>6967.152531678193</v>
      </c>
      <c r="BE54" s="29" t="n">
        <v>92553.82573606302</v>
      </c>
      <c r="BF54" s="29" t="n">
        <v>71237.2234237571</v>
      </c>
      <c r="BG54" s="29" t="n">
        <v>58555.61476126876</v>
      </c>
      <c r="BH54" s="29" t="n">
        <v>25257.89575549235</v>
      </c>
      <c r="BI54" s="29" t="n">
        <v>4393.282238776598</v>
      </c>
      <c r="BJ54" s="29" t="n">
        <v>61302.23025648846</v>
      </c>
      <c r="BK54" s="29" t="n">
        <v>316824.9289309321</v>
      </c>
      <c r="BL54" s="29" t="n">
        <v>422341.947208738</v>
      </c>
      <c r="BM54" s="29" t="n">
        <v>72436.39543006811</v>
      </c>
      <c r="BN54" s="29" t="n">
        <v>758128.1770164309</v>
      </c>
      <c r="BO54" s="29" t="n">
        <v>39982.47967389363</v>
      </c>
      <c r="BP54" s="29" t="n">
        <v>7541.546225954378</v>
      </c>
      <c r="BQ54" s="29" t="n">
        <v>2131.92854310202</v>
      </c>
      <c r="BR54" s="29" t="n">
        <v>65327.68737333086</v>
      </c>
      <c r="BS54" s="29" t="n">
        <v>5439135.65434576</v>
      </c>
      <c r="BT54" s="29" t="n">
        <v>868006.2626238893</v>
      </c>
      <c r="BU54" s="29" t="n">
        <v>496046.5493119369</v>
      </c>
      <c r="BV54" s="29" t="n">
        <v>1380881.992747513</v>
      </c>
      <c r="BW54" s="29" t="n">
        <v>50794.89070326572</v>
      </c>
      <c r="BX54" s="29" t="n">
        <v>394290.888945959</v>
      </c>
      <c r="BY54" s="29" t="n">
        <v>1569463.704814535</v>
      </c>
      <c r="BZ54" s="29" t="n">
        <v>20333.31853912738</v>
      </c>
      <c r="CA54" s="29" t="n">
        <v>1680393.35757357</v>
      </c>
      <c r="CB54" s="29" t="n">
        <v>138028.455073795</v>
      </c>
      <c r="CC54" s="29" t="n">
        <v>24843.47608996712</v>
      </c>
      <c r="CD54" s="29" t="n">
        <v>445728.2109310371</v>
      </c>
      <c r="CE54" s="29" t="n">
        <v>46968.74052967044</v>
      </c>
      <c r="CF54" s="29" t="n">
        <v>-10523.42591457653</v>
      </c>
      <c r="CG54" s="29" t="n">
        <v>-56424.97076258426</v>
      </c>
      <c r="CH54" s="29" t="n">
        <v>-2993347.759031484</v>
      </c>
      <c r="CI54" s="29" t="n">
        <v>17157.16076176445</v>
      </c>
      <c r="CJ54" s="29" t="n">
        <v>28923.51645663136</v>
      </c>
      <c r="CK54" s="29" t="n">
        <v>98215.02883989188</v>
      </c>
      <c r="CL54" s="29" t="n">
        <v>358454.439273631</v>
      </c>
      <c r="CM54" s="29" t="n">
        <v>162403.500297233</v>
      </c>
      <c r="CN54" s="29" t="n">
        <v>2151026.2922399</v>
      </c>
      <c r="CO54" s="29" t="n">
        <v>996345.7933094732</v>
      </c>
      <c r="CP54" s="29" t="n">
        <v>567085.0842800192</v>
      </c>
      <c r="CQ54" s="29" t="n">
        <v>57266.65881240733</v>
      </c>
      <c r="CR54" s="29" t="n">
        <v>-156329.3904160222</v>
      </c>
      <c r="CS54" s="29" t="n">
        <v>40943.08495044849</v>
      </c>
      <c r="CT54" s="29" t="n">
        <v>37385.53903928056</v>
      </c>
      <c r="CU54" s="29" t="n">
        <v>4080520.795221825</v>
      </c>
      <c r="CV54" s="29" t="n">
        <v>1995765.119260133</v>
      </c>
      <c r="CW54" s="29" t="n">
        <v>744279.5479613288</v>
      </c>
      <c r="CX54" s="29" t="n">
        <v>425843.7821517215</v>
      </c>
      <c r="CY54" s="29" t="n">
        <v>30603925.14294659</v>
      </c>
      <c r="CZ54" s="29" t="n">
        <v>13125442.7067294</v>
      </c>
      <c r="DA54" s="29" t="n">
        <v>49426.83906664752</v>
      </c>
      <c r="DB54" s="29" t="n">
        <v>3656291.101033943</v>
      </c>
      <c r="DC54" s="29" t="n">
        <v>-463378.5700636287</v>
      </c>
      <c r="DD54" s="29" t="n">
        <v>3106903.733820691</v>
      </c>
      <c r="DE54" s="29" t="n">
        <v>0</v>
      </c>
      <c r="DF54" s="29">
        <f>SUM(C54:DE54)</f>
        <v/>
      </c>
      <c r="DG54" s="29" t="n">
        <v>0</v>
      </c>
      <c r="DH54" s="29" t="n">
        <v>0</v>
      </c>
      <c r="DI54" s="29" t="n">
        <v>0</v>
      </c>
      <c r="DJ54" s="29" t="n">
        <v>0</v>
      </c>
      <c r="DK54" s="29">
        <f>SUM(DG54:DJ54)</f>
        <v/>
      </c>
      <c r="DL54" s="29">
        <f>DF54+DK54</f>
        <v/>
      </c>
    </row>
    <row r="55">
      <c r="A55" s="30" t="inlineStr">
        <is>
          <t>251</t>
        </is>
      </c>
      <c r="B55" s="30" t="inlineStr">
        <is>
          <t>Fabricación de productos de caucho</t>
        </is>
      </c>
      <c r="C55" s="31" t="n">
        <v>-413866.0311547986</v>
      </c>
      <c r="D55" s="31" t="n">
        <v>-83504.36463247355</v>
      </c>
      <c r="E55" s="31" t="n">
        <v>0.3981169140347703</v>
      </c>
      <c r="F55" s="31" t="n">
        <v>790.0750032732568</v>
      </c>
      <c r="G55" s="31" t="n">
        <v>3.116100762781745</v>
      </c>
      <c r="H55" s="31" t="n">
        <v>553.3786072390591</v>
      </c>
      <c r="I55" s="31" t="n">
        <v>0.1978216883697191</v>
      </c>
      <c r="J55" s="31" t="n">
        <v>1355676.627258153</v>
      </c>
      <c r="K55" s="31" t="n">
        <v>1836477.26385405</v>
      </c>
      <c r="L55" s="31" t="n">
        <v>6286.934759034771</v>
      </c>
      <c r="M55" s="31" t="n">
        <v>8638.197921187015</v>
      </c>
      <c r="N55" s="31" t="n">
        <v>13248.23453379266</v>
      </c>
      <c r="O55" s="31" t="n">
        <v>-10531.09048302381</v>
      </c>
      <c r="P55" s="31" t="n">
        <v>-2315.387284261</v>
      </c>
      <c r="Q55" s="31" t="n">
        <v>-62870.64812065545</v>
      </c>
      <c r="R55" s="31" t="n">
        <v>-11179.78595506871</v>
      </c>
      <c r="S55" s="31" t="n">
        <v>-18474.4249872353</v>
      </c>
      <c r="T55" s="31" t="n">
        <v>-30515.21285388255</v>
      </c>
      <c r="U55" s="31" t="n">
        <v>2901.53653049127</v>
      </c>
      <c r="V55" s="31" t="n">
        <v>3423.801540247109</v>
      </c>
      <c r="W55" s="31" t="n">
        <v>-5102.201342452225</v>
      </c>
      <c r="X55" s="31" t="n">
        <v>-1689.583633010582</v>
      </c>
      <c r="Y55" s="31" t="n">
        <v>-52854.42452163837</v>
      </c>
      <c r="Z55" s="31" t="n">
        <v>-9605.125222138702</v>
      </c>
      <c r="AA55" s="31" t="n">
        <v>3306.108346343324</v>
      </c>
      <c r="AB55" s="31" t="n">
        <v>-213.6288492836011</v>
      </c>
      <c r="AC55" s="31" t="n">
        <v>17054.08914884057</v>
      </c>
      <c r="AD55" s="31" t="n">
        <v>1490.439207810135</v>
      </c>
      <c r="AE55" s="31" t="n">
        <v>10617.65996013628</v>
      </c>
      <c r="AF55" s="31" t="n">
        <v>36513.70477822527</v>
      </c>
      <c r="AG55" s="31" t="n">
        <v>-3723.887096760274</v>
      </c>
      <c r="AH55" s="31" t="n">
        <v>27060.95969616832</v>
      </c>
      <c r="AI55" s="31" t="n">
        <v>26877.54467480931</v>
      </c>
      <c r="AJ55" s="31" t="n">
        <v>20139.95644529636</v>
      </c>
      <c r="AK55" s="31" t="n">
        <v>-4026.279976308115</v>
      </c>
      <c r="AL55" s="31" t="n">
        <v>5692.179038127622</v>
      </c>
      <c r="AM55" s="31" t="n">
        <v>-217659.7445531042</v>
      </c>
      <c r="AN55" s="31" t="n">
        <v>-16342.30100107475</v>
      </c>
      <c r="AO55" s="31" t="n">
        <v>-5147.411849039867</v>
      </c>
      <c r="AP55" s="31" t="n">
        <v>4051.140106415896</v>
      </c>
      <c r="AQ55" s="31" t="n">
        <v>50569.2951599829</v>
      </c>
      <c r="AR55" s="31" t="n">
        <v>504513.8302723502</v>
      </c>
      <c r="AS55" s="31" t="n">
        <v>128521.0935536256</v>
      </c>
      <c r="AT55" s="31" t="n">
        <v>-24.53269733862385</v>
      </c>
      <c r="AU55" s="31" t="n">
        <v>57605.33070951355</v>
      </c>
      <c r="AV55" s="31" t="n">
        <v>51053.83235025591</v>
      </c>
      <c r="AW55" s="31" t="n">
        <v>4527.094641290642</v>
      </c>
      <c r="AX55" s="31" t="n">
        <v>8276.527701419245</v>
      </c>
      <c r="AY55" s="31" t="n">
        <v>33931.78511770873</v>
      </c>
      <c r="AZ55" s="31" t="n">
        <v>345137.8449471534</v>
      </c>
      <c r="BA55" s="31" t="n">
        <v>203570.5293255419</v>
      </c>
      <c r="BB55" s="31" t="n">
        <v>2113542.452860654</v>
      </c>
      <c r="BC55" s="31" t="n">
        <v>151404.3338460902</v>
      </c>
      <c r="BD55" s="31" t="n">
        <v>10828.22244999748</v>
      </c>
      <c r="BE55" s="31" t="n">
        <v>17741.43033348678</v>
      </c>
      <c r="BF55" s="31" t="n">
        <v>35127.88955662416</v>
      </c>
      <c r="BG55" s="31" t="n">
        <v>32767.68976860035</v>
      </c>
      <c r="BH55" s="31" t="n">
        <v>3185.76480337555</v>
      </c>
      <c r="BI55" s="31" t="n">
        <v>263.2613296358452</v>
      </c>
      <c r="BJ55" s="31" t="n">
        <v>25173.14602483263</v>
      </c>
      <c r="BK55" s="31" t="n">
        <v>5271558.650868755</v>
      </c>
      <c r="BL55" s="31" t="n">
        <v>317179.1365954005</v>
      </c>
      <c r="BM55" s="31" t="n">
        <v>205084.967084856</v>
      </c>
      <c r="BN55" s="31" t="n">
        <v>84911.35201660504</v>
      </c>
      <c r="BO55" s="31" t="n">
        <v>68205.96745884462</v>
      </c>
      <c r="BP55" s="31" t="n">
        <v>14115.0684393784</v>
      </c>
      <c r="BQ55" s="31" t="n">
        <v>28.3034024319076</v>
      </c>
      <c r="BR55" s="31" t="n">
        <v>232775.2531577852</v>
      </c>
      <c r="BS55" s="31" t="n">
        <v>2073782.003446707</v>
      </c>
      <c r="BT55" s="31" t="n">
        <v>2475339.994514132</v>
      </c>
      <c r="BU55" s="31" t="n">
        <v>585165.2750859903</v>
      </c>
      <c r="BV55" s="31" t="n">
        <v>670272.7969814454</v>
      </c>
      <c r="BW55" s="31" t="n">
        <v>4847.689683971855</v>
      </c>
      <c r="BX55" s="31" t="n">
        <v>-12951.97046363822</v>
      </c>
      <c r="BY55" s="31" t="n">
        <v>67159.81818539884</v>
      </c>
      <c r="BZ55" s="31" t="n">
        <v>3.826660647639688</v>
      </c>
      <c r="CA55" s="31" t="n">
        <v>7139151.315854919</v>
      </c>
      <c r="CB55" s="31" t="n">
        <v>72809.20976435042</v>
      </c>
      <c r="CC55" s="31" t="n">
        <v>13.94968821352725</v>
      </c>
      <c r="CD55" s="31" t="n">
        <v>1166569.237661902</v>
      </c>
      <c r="CE55" s="31" t="n">
        <v>2914017.745239917</v>
      </c>
      <c r="CF55" s="31" t="n">
        <v>2504.044882984687</v>
      </c>
      <c r="CG55" s="31" t="n">
        <v>-16120.2504947048</v>
      </c>
      <c r="CH55" s="31" t="n">
        <v>-993434.8181048564</v>
      </c>
      <c r="CI55" s="31" t="n">
        <v>-2385.542385980772</v>
      </c>
      <c r="CJ55" s="31" t="n">
        <v>5011.158467137829</v>
      </c>
      <c r="CK55" s="31" t="n">
        <v>924.4345009566545</v>
      </c>
      <c r="CL55" s="31" t="n">
        <v>40072.65965695043</v>
      </c>
      <c r="CM55" s="31" t="n">
        <v>23812.67481459178</v>
      </c>
      <c r="CN55" s="31" t="n">
        <v>153.7306976680385</v>
      </c>
      <c r="CO55" s="31" t="n">
        <v>95.25830262204214</v>
      </c>
      <c r="CP55" s="31" t="n">
        <v>35848.52830140513</v>
      </c>
      <c r="CQ55" s="31" t="n">
        <v>33216.47866742071</v>
      </c>
      <c r="CR55" s="31" t="n">
        <v>-24813.96129021039</v>
      </c>
      <c r="CS55" s="31" t="n">
        <v>12618.41600366855</v>
      </c>
      <c r="CT55" s="31" t="n">
        <v>11522.00144883971</v>
      </c>
      <c r="CU55" s="31" t="n">
        <v>32401.76855669203</v>
      </c>
      <c r="CV55" s="31" t="n">
        <v>614705.0633892788</v>
      </c>
      <c r="CW55" s="31" t="n">
        <v>42692.9477421713</v>
      </c>
      <c r="CX55" s="31" t="n">
        <v>7363.986814478445</v>
      </c>
      <c r="CY55" s="31" t="n">
        <v>761394.8416296614</v>
      </c>
      <c r="CZ55" s="31" t="n">
        <v>147015.5088561139</v>
      </c>
      <c r="DA55" s="31" t="n">
        <v>395595.4698369973</v>
      </c>
      <c r="DB55" s="31" t="n">
        <v>35283.3960976115</v>
      </c>
      <c r="DC55" s="31" t="n">
        <v>-199885.8077555846</v>
      </c>
      <c r="DD55" s="31" t="n">
        <v>8972.912333592994</v>
      </c>
      <c r="DE55" s="31" t="n">
        <v>0</v>
      </c>
      <c r="DF55" s="31">
        <f>SUM(C55:DE55)</f>
        <v/>
      </c>
      <c r="DG55" s="31" t="n">
        <v>0</v>
      </c>
      <c r="DH55" s="31" t="n">
        <v>0</v>
      </c>
      <c r="DI55" s="31" t="n">
        <v>0</v>
      </c>
      <c r="DJ55" s="31" t="n">
        <v>0</v>
      </c>
      <c r="DK55" s="31">
        <f>SUM(DG55:DJ55)</f>
        <v/>
      </c>
      <c r="DL55" s="31">
        <f>DF55+DK55</f>
        <v/>
      </c>
    </row>
    <row r="56">
      <c r="A56" s="28" t="inlineStr">
        <is>
          <t>252</t>
        </is>
      </c>
      <c r="B56" s="28" t="inlineStr">
        <is>
          <t>25201 - Fabricación de envases plásticos. 25209 - Fabricación de productos plásticos en formas básicas y artículos de plástico n.c.p., excepto muebles</t>
        </is>
      </c>
      <c r="C56" s="29" t="n">
        <v>320157.9482574486</v>
      </c>
      <c r="D56" s="29" t="n">
        <v>-42380.63696534014</v>
      </c>
      <c r="E56" s="29" t="n">
        <v>0.5896406817658868</v>
      </c>
      <c r="F56" s="29" t="n">
        <v>527505.7026133301</v>
      </c>
      <c r="G56" s="29" t="n">
        <v>4.615176380216181</v>
      </c>
      <c r="H56" s="29" t="n">
        <v>300693.8846372884</v>
      </c>
      <c r="I56" s="29" t="n">
        <v>6.867489876254057</v>
      </c>
      <c r="J56" s="29" t="n">
        <v>186223.4623820618</v>
      </c>
      <c r="K56" s="29" t="n">
        <v>30604.28183514849</v>
      </c>
      <c r="L56" s="29" t="n">
        <v>53480.72562732154</v>
      </c>
      <c r="M56" s="29" t="n">
        <v>11732.75895927441</v>
      </c>
      <c r="N56" s="29" t="n">
        <v>935892.7593137122</v>
      </c>
      <c r="O56" s="29" t="n">
        <v>2599.424686386262</v>
      </c>
      <c r="P56" s="29" t="n">
        <v>388739.380208325</v>
      </c>
      <c r="Q56" s="29" t="n">
        <v>696366.5759141184</v>
      </c>
      <c r="R56" s="29" t="n">
        <v>2763556.720740072</v>
      </c>
      <c r="S56" s="29" t="n">
        <v>394217.3917814782</v>
      </c>
      <c r="T56" s="29" t="n">
        <v>641763.3081635345</v>
      </c>
      <c r="U56" s="29" t="n">
        <v>2128607.952326897</v>
      </c>
      <c r="V56" s="29" t="n">
        <v>173339.3126909556</v>
      </c>
      <c r="W56" s="29" t="n">
        <v>1387486.26723292</v>
      </c>
      <c r="X56" s="29" t="n">
        <v>478374.5172067797</v>
      </c>
      <c r="Y56" s="29" t="n">
        <v>1428044.1833221</v>
      </c>
      <c r="Z56" s="29" t="n">
        <v>156563.1069581554</v>
      </c>
      <c r="AA56" s="29" t="n">
        <v>583693.772999456</v>
      </c>
      <c r="AB56" s="29" t="n">
        <v>1830190.8710413</v>
      </c>
      <c r="AC56" s="29" t="n">
        <v>6314816.386223199</v>
      </c>
      <c r="AD56" s="29" t="n">
        <v>79975.75588771557</v>
      </c>
      <c r="AE56" s="29" t="n">
        <v>331637.5184774394</v>
      </c>
      <c r="AF56" s="29" t="n">
        <v>534996.6343075469</v>
      </c>
      <c r="AG56" s="29" t="n">
        <v>19132.29993128715</v>
      </c>
      <c r="AH56" s="29" t="n">
        <v>143180.3494685147</v>
      </c>
      <c r="AI56" s="29" t="n">
        <v>165218.421982063</v>
      </c>
      <c r="AJ56" s="29" t="n">
        <v>1673521.247921869</v>
      </c>
      <c r="AK56" s="29" t="n">
        <v>83399.77315934288</v>
      </c>
      <c r="AL56" s="29" t="n">
        <v>1068224.046590278</v>
      </c>
      <c r="AM56" s="29" t="n">
        <v>128675.745534371</v>
      </c>
      <c r="AN56" s="29" t="n">
        <v>186224.976936347</v>
      </c>
      <c r="AO56" s="29" t="n">
        <v>497066.9961907788</v>
      </c>
      <c r="AP56" s="29" t="n">
        <v>1047966.943522844</v>
      </c>
      <c r="AQ56" s="29" t="n">
        <v>10014205.84764227</v>
      </c>
      <c r="AR56" s="29" t="n">
        <v>169351.9469870087</v>
      </c>
      <c r="AS56" s="29" t="n">
        <v>4257607.562697544</v>
      </c>
      <c r="AT56" s="29" t="n">
        <v>57720.61564511362</v>
      </c>
      <c r="AU56" s="29" t="n">
        <v>559729.6660886552</v>
      </c>
      <c r="AV56" s="29" t="n">
        <v>74659.45214074304</v>
      </c>
      <c r="AW56" s="29" t="n">
        <v>25320.51547808262</v>
      </c>
      <c r="AX56" s="29" t="n">
        <v>91700.7266196344</v>
      </c>
      <c r="AY56" s="29" t="n">
        <v>75049.80089025169</v>
      </c>
      <c r="AZ56" s="29" t="n">
        <v>258278.2993309741</v>
      </c>
      <c r="BA56" s="29" t="n">
        <v>131172.5447931144</v>
      </c>
      <c r="BB56" s="29" t="n">
        <v>255672.7837670663</v>
      </c>
      <c r="BC56" s="29" t="n">
        <v>448625.8570103041</v>
      </c>
      <c r="BD56" s="29" t="n">
        <v>43780.63279889473</v>
      </c>
      <c r="BE56" s="29" t="n">
        <v>205500.9851822711</v>
      </c>
      <c r="BF56" s="29" t="n">
        <v>133145.0186610233</v>
      </c>
      <c r="BG56" s="29" t="n">
        <v>427853.3101268539</v>
      </c>
      <c r="BH56" s="29" t="n">
        <v>78018.64219961586</v>
      </c>
      <c r="BI56" s="29" t="n">
        <v>197542.4892110417</v>
      </c>
      <c r="BJ56" s="29" t="n">
        <v>254468.4090665155</v>
      </c>
      <c r="BK56" s="29" t="n">
        <v>754520.1925784181</v>
      </c>
      <c r="BL56" s="29" t="n">
        <v>999380.6872453135</v>
      </c>
      <c r="BM56" s="29" t="n">
        <v>102378.9503734847</v>
      </c>
      <c r="BN56" s="29" t="n">
        <v>1557505.283954897</v>
      </c>
      <c r="BO56" s="29" t="n">
        <v>28253.04616931748</v>
      </c>
      <c r="BP56" s="29" t="n">
        <v>1805.873693323096</v>
      </c>
      <c r="BQ56" s="29" t="n">
        <v>901.0663141536161</v>
      </c>
      <c r="BR56" s="29" t="n">
        <v>5906.636135251964</v>
      </c>
      <c r="BS56" s="29" t="n">
        <v>2526239.546646397</v>
      </c>
      <c r="BT56" s="29" t="n">
        <v>781693.1837101316</v>
      </c>
      <c r="BU56" s="29" t="n">
        <v>4955816.33230223</v>
      </c>
      <c r="BV56" s="29" t="n">
        <v>3637434.541132989</v>
      </c>
      <c r="BW56" s="29" t="n">
        <v>29371.3590415832</v>
      </c>
      <c r="BX56" s="29" t="n">
        <v>6109.226805980996</v>
      </c>
      <c r="BY56" s="29" t="n">
        <v>5840282.614685905</v>
      </c>
      <c r="BZ56" s="29" t="n">
        <v>111.5176053329272</v>
      </c>
      <c r="CA56" s="29" t="n">
        <v>103644.8055590561</v>
      </c>
      <c r="CB56" s="29" t="n">
        <v>38823.64038016352</v>
      </c>
      <c r="CC56" s="29" t="n">
        <v>169.6482638830662</v>
      </c>
      <c r="CD56" s="29" t="n">
        <v>21535.5945101781</v>
      </c>
      <c r="CE56" s="29" t="n">
        <v>47209.6334605184</v>
      </c>
      <c r="CF56" s="29" t="n">
        <v>-509.5390444497609</v>
      </c>
      <c r="CG56" s="29" t="n">
        <v>-11935.72382709716</v>
      </c>
      <c r="CH56" s="29" t="n">
        <v>-503739.6140245126</v>
      </c>
      <c r="CI56" s="29" t="n">
        <v>-626.2874952388072</v>
      </c>
      <c r="CJ56" s="29" t="n">
        <v>356308.8117234069</v>
      </c>
      <c r="CK56" s="29" t="n">
        <v>8869.763182440105</v>
      </c>
      <c r="CL56" s="29" t="n">
        <v>44656.3248612375</v>
      </c>
      <c r="CM56" s="29" t="n">
        <v>14805.49394988399</v>
      </c>
      <c r="CN56" s="29" t="n">
        <v>129635.7081935409</v>
      </c>
      <c r="CO56" s="29" t="n">
        <v>95238.63011678768</v>
      </c>
      <c r="CP56" s="29" t="n">
        <v>703.1748504158028</v>
      </c>
      <c r="CQ56" s="29" t="n">
        <v>-193.7506492235534</v>
      </c>
      <c r="CR56" s="29" t="n">
        <v>-20315.85133116182</v>
      </c>
      <c r="CS56" s="29" t="n">
        <v>35032.05199284735</v>
      </c>
      <c r="CT56" s="29" t="n">
        <v>31988.11591724861</v>
      </c>
      <c r="CU56" s="29" t="n">
        <v>908602.671371118</v>
      </c>
      <c r="CV56" s="29" t="n">
        <v>1706206.181893849</v>
      </c>
      <c r="CW56" s="29" t="n">
        <v>20943.02821063422</v>
      </c>
      <c r="CX56" s="29" t="n">
        <v>192977.7590208208</v>
      </c>
      <c r="CY56" s="29" t="n">
        <v>213912.4261909964</v>
      </c>
      <c r="CZ56" s="29" t="n">
        <v>238355.6007509609</v>
      </c>
      <c r="DA56" s="29" t="n">
        <v>215041.3242330702</v>
      </c>
      <c r="DB56" s="29" t="n">
        <v>19390.78576299995</v>
      </c>
      <c r="DC56" s="29" t="n">
        <v>28295.5006219057</v>
      </c>
      <c r="DD56" s="29" t="n">
        <v>246027.93057295</v>
      </c>
      <c r="DE56" s="29" t="n">
        <v>0</v>
      </c>
      <c r="DF56" s="29">
        <f>SUM(C56:DE56)</f>
        <v/>
      </c>
      <c r="DG56" s="29" t="n">
        <v>0</v>
      </c>
      <c r="DH56" s="29" t="n">
        <v>0</v>
      </c>
      <c r="DI56" s="29" t="n">
        <v>0</v>
      </c>
      <c r="DJ56" s="29" t="n">
        <v>0</v>
      </c>
      <c r="DK56" s="29">
        <f>SUM(DG56:DJ56)</f>
        <v/>
      </c>
      <c r="DL56" s="29">
        <f>DF56+DK56</f>
        <v/>
      </c>
    </row>
    <row r="57">
      <c r="A57" s="30" t="inlineStr">
        <is>
          <t>261</t>
        </is>
      </c>
      <c r="B57" s="30" t="inlineStr">
        <is>
          <t>26101 - Fabricación de envases de vidrio. 26102 - Fabricación y elaboración de vidrio plano. 26109 - Fabricación de productos de vidrio n.c.p.</t>
        </is>
      </c>
      <c r="C57" s="31" t="n">
        <v>-45997.49152914235</v>
      </c>
      <c r="D57" s="31" t="n">
        <v>-5068.423192292755</v>
      </c>
      <c r="E57" s="31" t="n">
        <v>0</v>
      </c>
      <c r="F57" s="31" t="n">
        <v>406.6845455949559</v>
      </c>
      <c r="G57" s="31" t="n">
        <v>0</v>
      </c>
      <c r="H57" s="31" t="n">
        <v>1096.494425999583</v>
      </c>
      <c r="I57" s="31" t="n">
        <v>0.1930816601407326</v>
      </c>
      <c r="J57" s="31" t="n">
        <v>152.1213487467399</v>
      </c>
      <c r="K57" s="31" t="n">
        <v>102.1540729625907</v>
      </c>
      <c r="L57" s="31" t="n">
        <v>885.2089102246021</v>
      </c>
      <c r="M57" s="31" t="n">
        <v>2394.017358719755</v>
      </c>
      <c r="N57" s="31" t="n">
        <v>-251.4819864469246</v>
      </c>
      <c r="O57" s="31" t="n">
        <v>-950.642975993511</v>
      </c>
      <c r="P57" s="31" t="n">
        <v>184036.3234554537</v>
      </c>
      <c r="Q57" s="31" t="n">
        <v>20261.23945622962</v>
      </c>
      <c r="R57" s="31" t="n">
        <v>16341.62434918497</v>
      </c>
      <c r="S57" s="31" t="n">
        <v>1668.373986546764</v>
      </c>
      <c r="T57" s="31" t="n">
        <v>-1461.211825924615</v>
      </c>
      <c r="U57" s="31" t="n">
        <v>1489.632327892592</v>
      </c>
      <c r="V57" s="31" t="n">
        <v>4288.12619846978</v>
      </c>
      <c r="W57" s="31" t="n">
        <v>336756.78703195</v>
      </c>
      <c r="X57" s="31" t="n">
        <v>727.5143447351543</v>
      </c>
      <c r="Y57" s="31" t="n">
        <v>202684.4199952985</v>
      </c>
      <c r="Z57" s="31" t="n">
        <v>1123043.582031971</v>
      </c>
      <c r="AA57" s="31" t="n">
        <v>2909086.343109105</v>
      </c>
      <c r="AB57" s="31" t="n">
        <v>282541.603946964</v>
      </c>
      <c r="AC57" s="31" t="n">
        <v>1789972.776555004</v>
      </c>
      <c r="AD57" s="31" t="n">
        <v>82.19051383731498</v>
      </c>
      <c r="AE57" s="31" t="n">
        <v>185.7838390167743</v>
      </c>
      <c r="AF57" s="31" t="n">
        <v>4397.71224475002</v>
      </c>
      <c r="AG57" s="31" t="n">
        <v>-337.0336893414486</v>
      </c>
      <c r="AH57" s="31" t="n">
        <v>62.32944765370712</v>
      </c>
      <c r="AI57" s="31" t="n">
        <v>92718.15775844399</v>
      </c>
      <c r="AJ57" s="31" t="n">
        <v>2446.202078176735</v>
      </c>
      <c r="AK57" s="31" t="n">
        <v>53704.03759943251</v>
      </c>
      <c r="AL57" s="31" t="n">
        <v>9349.151244884468</v>
      </c>
      <c r="AM57" s="31" t="n">
        <v>-10584.8215928251</v>
      </c>
      <c r="AN57" s="31" t="n">
        <v>2778.087318949573</v>
      </c>
      <c r="AO57" s="31" t="n">
        <v>19160.49957385369</v>
      </c>
      <c r="AP57" s="31" t="n">
        <v>274938.3889255229</v>
      </c>
      <c r="AQ57" s="31" t="n">
        <v>1058516.684440505</v>
      </c>
      <c r="AR57" s="31" t="n">
        <v>3623.429696039707</v>
      </c>
      <c r="AS57" s="31" t="n">
        <v>238380.5511091026</v>
      </c>
      <c r="AT57" s="31" t="n">
        <v>1729603.695451656</v>
      </c>
      <c r="AU57" s="31" t="n">
        <v>31205.51673161599</v>
      </c>
      <c r="AV57" s="31" t="n">
        <v>-653.5465348706705</v>
      </c>
      <c r="AW57" s="31" t="n">
        <v>173.4805078231196</v>
      </c>
      <c r="AX57" s="31" t="n">
        <v>414.7366511025824</v>
      </c>
      <c r="AY57" s="31" t="n">
        <v>157159.6770104906</v>
      </c>
      <c r="AZ57" s="31" t="n">
        <v>19432.50812945169</v>
      </c>
      <c r="BA57" s="31" t="n">
        <v>39574.84600822858</v>
      </c>
      <c r="BB57" s="31" t="n">
        <v>323604.3141700702</v>
      </c>
      <c r="BC57" s="31" t="n">
        <v>207310.1823097342</v>
      </c>
      <c r="BD57" s="31" t="n">
        <v>2427.181007008187</v>
      </c>
      <c r="BE57" s="31" t="n">
        <v>3063.736648048073</v>
      </c>
      <c r="BF57" s="31" t="n">
        <v>28121.2861412493</v>
      </c>
      <c r="BG57" s="31" t="n">
        <v>181607.2874426878</v>
      </c>
      <c r="BH57" s="31" t="n">
        <v>3759.993290818357</v>
      </c>
      <c r="BI57" s="31" t="n">
        <v>150.8251526503908</v>
      </c>
      <c r="BJ57" s="31" t="n">
        <v>254941.7556650746</v>
      </c>
      <c r="BK57" s="31" t="n">
        <v>1563719.038050088</v>
      </c>
      <c r="BL57" s="31" t="n">
        <v>45838.75725249821</v>
      </c>
      <c r="BM57" s="31" t="n">
        <v>15559.68881261947</v>
      </c>
      <c r="BN57" s="31" t="n">
        <v>97446.77025324893</v>
      </c>
      <c r="BO57" s="31" t="n">
        <v>317.3502322417992</v>
      </c>
      <c r="BP57" s="31" t="n">
        <v>86.71982960837974</v>
      </c>
      <c r="BQ57" s="31" t="n">
        <v>21.74749256006047</v>
      </c>
      <c r="BR57" s="31" t="n">
        <v>9.942605917904297</v>
      </c>
      <c r="BS57" s="31" t="n">
        <v>1379523.964680354</v>
      </c>
      <c r="BT57" s="31" t="n">
        <v>514909.2835114296</v>
      </c>
      <c r="BU57" s="31" t="n">
        <v>556805.9202365292</v>
      </c>
      <c r="BV57" s="31" t="n">
        <v>860123.2025620862</v>
      </c>
      <c r="BW57" s="31" t="n">
        <v>7777.381313482575</v>
      </c>
      <c r="BX57" s="31" t="n">
        <v>-975.818470825187</v>
      </c>
      <c r="BY57" s="31" t="n">
        <v>32539.05137953572</v>
      </c>
      <c r="BZ57" s="31" t="n">
        <v>1.61884021954613</v>
      </c>
      <c r="CA57" s="31" t="n">
        <v>43.29399425959559</v>
      </c>
      <c r="CB57" s="31" t="n">
        <v>121.7595281493502</v>
      </c>
      <c r="CC57" s="31" t="n">
        <v>1.233985624656855</v>
      </c>
      <c r="CD57" s="31" t="n">
        <v>133.1128914886295</v>
      </c>
      <c r="CE57" s="31" t="n">
        <v>42.82415139095943</v>
      </c>
      <c r="CF57" s="31" t="n">
        <v>-285.9750712464864</v>
      </c>
      <c r="CG57" s="31" t="n">
        <v>-1625.881210800581</v>
      </c>
      <c r="CH57" s="31" t="n">
        <v>-60071.04034006849</v>
      </c>
      <c r="CI57" s="31" t="n">
        <v>-79.31243463502472</v>
      </c>
      <c r="CJ57" s="31" t="n">
        <v>466.7107818882027</v>
      </c>
      <c r="CK57" s="31" t="n">
        <v>82.60071968948641</v>
      </c>
      <c r="CL57" s="31" t="n">
        <v>1397.934301190789</v>
      </c>
      <c r="CM57" s="31" t="n">
        <v>91.04980891599882</v>
      </c>
      <c r="CN57" s="31" t="n">
        <v>524.6385103924282</v>
      </c>
      <c r="CO57" s="31" t="n">
        <v>327.1627486400445</v>
      </c>
      <c r="CP57" s="31" t="n">
        <v>8.288571624191441</v>
      </c>
      <c r="CQ57" s="31" t="n">
        <v>173.6753455489108</v>
      </c>
      <c r="CR57" s="31" t="n">
        <v>-4060.28878429923</v>
      </c>
      <c r="CS57" s="31" t="n">
        <v>3091.309948520737</v>
      </c>
      <c r="CT57" s="31" t="n">
        <v>2822.705931973811</v>
      </c>
      <c r="CU57" s="31" t="n">
        <v>86640.72631452169</v>
      </c>
      <c r="CV57" s="31" t="n">
        <v>149357.2950864027</v>
      </c>
      <c r="CW57" s="31" t="n">
        <v>2088.402379332711</v>
      </c>
      <c r="CX57" s="31" t="n">
        <v>10364.48085273128</v>
      </c>
      <c r="CY57" s="31" t="n">
        <v>738817.7095351907</v>
      </c>
      <c r="CZ57" s="31" t="n">
        <v>100784.4738512618</v>
      </c>
      <c r="DA57" s="31" t="n">
        <v>92993.63259098133</v>
      </c>
      <c r="DB57" s="31" t="n">
        <v>891.9097446253718</v>
      </c>
      <c r="DC57" s="31" t="n">
        <v>-7200.213430397474</v>
      </c>
      <c r="DD57" s="31" t="n">
        <v>179.1546104888112</v>
      </c>
      <c r="DE57" s="31" t="n">
        <v>0</v>
      </c>
      <c r="DF57" s="31">
        <f>SUM(C57:DE57)</f>
        <v/>
      </c>
      <c r="DG57" s="31" t="n">
        <v>0</v>
      </c>
      <c r="DH57" s="31" t="n">
        <v>0</v>
      </c>
      <c r="DI57" s="31" t="n">
        <v>0</v>
      </c>
      <c r="DJ57" s="31" t="n">
        <v>0</v>
      </c>
      <c r="DK57" s="31">
        <f>SUM(DG57:DJ57)</f>
        <v/>
      </c>
      <c r="DL57" s="31">
        <f>DF57+DK57</f>
        <v/>
      </c>
    </row>
    <row r="58">
      <c r="A58" s="28" t="inlineStr">
        <is>
          <t>269</t>
        </is>
      </c>
      <c r="B58" s="28" t="inlineStr">
        <is>
          <t>Fabricación de productos minerales no metálicos n.c.p.</t>
        </is>
      </c>
      <c r="C58" s="29" t="n">
        <v>-352248.5511356239</v>
      </c>
      <c r="D58" s="29" t="n">
        <v>-48104.91741628523</v>
      </c>
      <c r="E58" s="29" t="n">
        <v>0</v>
      </c>
      <c r="F58" s="29" t="n">
        <v>83982.55099001527</v>
      </c>
      <c r="G58" s="29" t="n">
        <v>0</v>
      </c>
      <c r="H58" s="29" t="n">
        <v>3150.69115651125</v>
      </c>
      <c r="I58" s="29" t="n">
        <v>9.943082355767098</v>
      </c>
      <c r="J58" s="29" t="n">
        <v>1054052.775968181</v>
      </c>
      <c r="K58" s="29" t="n">
        <v>3984.369393503863</v>
      </c>
      <c r="L58" s="29" t="n">
        <v>19556.44852590545</v>
      </c>
      <c r="M58" s="29" t="n">
        <v>13923.98015130042</v>
      </c>
      <c r="N58" s="29" t="n">
        <v>-16858.26341407021</v>
      </c>
      <c r="O58" s="29" t="n">
        <v>-8456.037080143693</v>
      </c>
      <c r="P58" s="29" t="n">
        <v>1552.864567843585</v>
      </c>
      <c r="Q58" s="29" t="n">
        <v>167238.8810045769</v>
      </c>
      <c r="R58" s="29" t="n">
        <v>15925.71884515852</v>
      </c>
      <c r="S58" s="29" t="n">
        <v>-6171.997068507552</v>
      </c>
      <c r="T58" s="29" t="n">
        <v>-3191.471306325977</v>
      </c>
      <c r="U58" s="29" t="n">
        <v>11762.27373502622</v>
      </c>
      <c r="V58" s="29" t="n">
        <v>49591.79333789025</v>
      </c>
      <c r="W58" s="29" t="n">
        <v>12072.29903373836</v>
      </c>
      <c r="X58" s="29" t="n">
        <v>694.4346973838897</v>
      </c>
      <c r="Y58" s="29" t="n">
        <v>-15061.70815368832</v>
      </c>
      <c r="Z58" s="29" t="n">
        <v>-2978.446742972909</v>
      </c>
      <c r="AA58" s="29" t="n">
        <v>1008.73836693914</v>
      </c>
      <c r="AB58" s="29" t="n">
        <v>10067.2260589163</v>
      </c>
      <c r="AC58" s="29" t="n">
        <v>133826.0481506888</v>
      </c>
      <c r="AD58" s="29" t="n">
        <v>5113.340023717663</v>
      </c>
      <c r="AE58" s="29" t="n">
        <v>4117.815926258604</v>
      </c>
      <c r="AF58" s="29" t="n">
        <v>-5858.668489323438</v>
      </c>
      <c r="AG58" s="29" t="n">
        <v>1305.733619654617</v>
      </c>
      <c r="AH58" s="29" t="n">
        <v>2742.797950516338</v>
      </c>
      <c r="AI58" s="29" t="n">
        <v>30504.43145855231</v>
      </c>
      <c r="AJ58" s="29" t="n">
        <v>50685.48460971998</v>
      </c>
      <c r="AK58" s="29" t="n">
        <v>-584.0263043733994</v>
      </c>
      <c r="AL58" s="29" t="n">
        <v>12682.26584395203</v>
      </c>
      <c r="AM58" s="29" t="n">
        <v>-115026.8844457137</v>
      </c>
      <c r="AN58" s="29" t="n">
        <v>213171.8325334978</v>
      </c>
      <c r="AO58" s="29" t="n">
        <v>843.1105050639326</v>
      </c>
      <c r="AP58" s="29" t="n">
        <v>15158.19709863558</v>
      </c>
      <c r="AQ58" s="29" t="n">
        <v>185667.5234127677</v>
      </c>
      <c r="AR58" s="29" t="n">
        <v>30113.15692917825</v>
      </c>
      <c r="AS58" s="29" t="n">
        <v>15622.48462513061</v>
      </c>
      <c r="AT58" s="29" t="n">
        <v>14102.36547436029</v>
      </c>
      <c r="AU58" s="29" t="n">
        <v>6479264.645445322</v>
      </c>
      <c r="AV58" s="29" t="n">
        <v>859541.711230541</v>
      </c>
      <c r="AW58" s="29" t="n">
        <v>100189.5515360494</v>
      </c>
      <c r="AX58" s="29" t="n">
        <v>213239.2927402423</v>
      </c>
      <c r="AY58" s="29" t="n">
        <v>52748.98121198596</v>
      </c>
      <c r="AZ58" s="29" t="n">
        <v>93110.38310478431</v>
      </c>
      <c r="BA58" s="29" t="n">
        <v>17787.94772385811</v>
      </c>
      <c r="BB58" s="29" t="n">
        <v>2468.562376297015</v>
      </c>
      <c r="BC58" s="29" t="n">
        <v>4675.452692767421</v>
      </c>
      <c r="BD58" s="29" t="n">
        <v>-206.3718514899277</v>
      </c>
      <c r="BE58" s="29" t="n">
        <v>100288.946651959</v>
      </c>
      <c r="BF58" s="29" t="n">
        <v>64.26853251888645</v>
      </c>
      <c r="BG58" s="29" t="n">
        <v>58170.2922666637</v>
      </c>
      <c r="BH58" s="29" t="n">
        <v>2701.68325961393</v>
      </c>
      <c r="BI58" s="29" t="n">
        <v>1207.615376411982</v>
      </c>
      <c r="BJ58" s="29" t="n">
        <v>6028.984700969873</v>
      </c>
      <c r="BK58" s="29" t="n">
        <v>-8635.920961336451</v>
      </c>
      <c r="BL58" s="29" t="n">
        <v>137633.0473275332</v>
      </c>
      <c r="BM58" s="29" t="n">
        <v>718.9407523589789</v>
      </c>
      <c r="BN58" s="29" t="n">
        <v>48682.01786223181</v>
      </c>
      <c r="BO58" s="29" t="n">
        <v>1533.291906809816</v>
      </c>
      <c r="BP58" s="29" t="n">
        <v>481540.8295162873</v>
      </c>
      <c r="BQ58" s="29" t="n">
        <v>1788.443595313398</v>
      </c>
      <c r="BR58" s="29" t="n">
        <v>386135.0398143691</v>
      </c>
      <c r="BS58" s="29" t="n">
        <v>50218659.31889614</v>
      </c>
      <c r="BT58" s="29" t="n">
        <v>70528.09691661765</v>
      </c>
      <c r="BU58" s="29" t="n">
        <v>850398.2331017831</v>
      </c>
      <c r="BV58" s="29" t="n">
        <v>434661.1782408371</v>
      </c>
      <c r="BW58" s="29" t="n">
        <v>301.6108299357655</v>
      </c>
      <c r="BX58" s="29" t="n">
        <v>-8022.29614284255</v>
      </c>
      <c r="BY58" s="29" t="n">
        <v>45811.12621409624</v>
      </c>
      <c r="BZ58" s="29" t="n">
        <v>234.7038735295593</v>
      </c>
      <c r="CA58" s="29" t="n">
        <v>5657.371264498214</v>
      </c>
      <c r="CB58" s="29" t="n">
        <v>913.0596951539959</v>
      </c>
      <c r="CC58" s="29" t="n">
        <v>7324.04897887589</v>
      </c>
      <c r="CD58" s="29" t="n">
        <v>5505.724469633389</v>
      </c>
      <c r="CE58" s="29" t="n">
        <v>2818.764612089137</v>
      </c>
      <c r="CF58" s="29" t="n">
        <v>-2385.169405072078</v>
      </c>
      <c r="CG58" s="29" t="n">
        <v>-6230.299777996473</v>
      </c>
      <c r="CH58" s="29" t="n">
        <v>-550449.4047685672</v>
      </c>
      <c r="CI58" s="29" t="n">
        <v>1482.852855951099</v>
      </c>
      <c r="CJ58" s="29" t="n">
        <v>6884.280186321768</v>
      </c>
      <c r="CK58" s="29" t="n">
        <v>2554.386290164422</v>
      </c>
      <c r="CL58" s="29" t="n">
        <v>3821.440970006799</v>
      </c>
      <c r="CM58" s="29" t="n">
        <v>1224.436439109051</v>
      </c>
      <c r="CN58" s="29" t="n">
        <v>4333655.703919104</v>
      </c>
      <c r="CO58" s="29" t="n">
        <v>3868496.339859658</v>
      </c>
      <c r="CP58" s="29" t="n">
        <v>707.4234041280087</v>
      </c>
      <c r="CQ58" s="29" t="n">
        <v>-731.6508083710361</v>
      </c>
      <c r="CR58" s="29" t="n">
        <v>-27193.8352819722</v>
      </c>
      <c r="CS58" s="29" t="n">
        <v>5786.957869042489</v>
      </c>
      <c r="CT58" s="29" t="n">
        <v>5284.128921736035</v>
      </c>
      <c r="CU58" s="29" t="n">
        <v>-25695.04591984177</v>
      </c>
      <c r="CV58" s="29" t="n">
        <v>282333.7504440192</v>
      </c>
      <c r="CW58" s="29" t="n">
        <v>44630.93938116229</v>
      </c>
      <c r="CX58" s="29" t="n">
        <v>53289.13322348292</v>
      </c>
      <c r="CY58" s="29" t="n">
        <v>358445.9250002686</v>
      </c>
      <c r="CZ58" s="29" t="n">
        <v>103488.1289901972</v>
      </c>
      <c r="DA58" s="29" t="n">
        <v>35354.0089548169</v>
      </c>
      <c r="DB58" s="29" t="n">
        <v>198412.0437211277</v>
      </c>
      <c r="DC58" s="29" t="n">
        <v>-100735.5946972596</v>
      </c>
      <c r="DD58" s="29" t="n">
        <v>1636.478698405892</v>
      </c>
      <c r="DE58" s="29" t="n">
        <v>0</v>
      </c>
      <c r="DF58" s="29">
        <f>SUM(C58:DE58)</f>
        <v/>
      </c>
      <c r="DG58" s="29" t="n">
        <v>0</v>
      </c>
      <c r="DH58" s="29" t="n">
        <v>0</v>
      </c>
      <c r="DI58" s="29" t="n">
        <v>0</v>
      </c>
      <c r="DJ58" s="29" t="n">
        <v>0</v>
      </c>
      <c r="DK58" s="29">
        <f>SUM(DG58:DJ58)</f>
        <v/>
      </c>
      <c r="DL58" s="29">
        <f>DF58+DK58</f>
        <v/>
      </c>
    </row>
    <row r="59">
      <c r="A59" s="30" t="inlineStr">
        <is>
          <t>27100</t>
        </is>
      </c>
      <c r="B59" s="30" t="inlineStr">
        <is>
          <t>27100 - Industrias básicas de hierro y acero</t>
        </is>
      </c>
      <c r="C59" s="31" t="n">
        <v>-272916.0459173362</v>
      </c>
      <c r="D59" s="31" t="n">
        <v>-42652.57150154913</v>
      </c>
      <c r="E59" s="31" t="n">
        <v>0.1971670260301534</v>
      </c>
      <c r="F59" s="31" t="n">
        <v>189407.1327686233</v>
      </c>
      <c r="G59" s="31" t="n">
        <v>1.543245962552372</v>
      </c>
      <c r="H59" s="31" t="n">
        <v>2615.468965449601</v>
      </c>
      <c r="I59" s="31" t="n">
        <v>0.1695535703581744</v>
      </c>
      <c r="J59" s="31" t="n">
        <v>5248855.166080646</v>
      </c>
      <c r="K59" s="31" t="n">
        <v>554.0155859149797</v>
      </c>
      <c r="L59" s="31" t="n">
        <v>310114.5123278492</v>
      </c>
      <c r="M59" s="31" t="n">
        <v>124327.6304613299</v>
      </c>
      <c r="N59" s="31" t="n">
        <v>-15615.09293133685</v>
      </c>
      <c r="O59" s="31" t="n">
        <v>-6409.212985997156</v>
      </c>
      <c r="P59" s="31" t="n">
        <v>2419.401046651489</v>
      </c>
      <c r="Q59" s="31" t="n">
        <v>-49554.74224073792</v>
      </c>
      <c r="R59" s="31" t="n">
        <v>-3311.016629666149</v>
      </c>
      <c r="S59" s="31" t="n">
        <v>-11076.87007622412</v>
      </c>
      <c r="T59" s="31" t="n">
        <v>-2521.946877239083</v>
      </c>
      <c r="U59" s="31" t="n">
        <v>-278.4059981393939</v>
      </c>
      <c r="V59" s="31" t="n">
        <v>93.98142249493706</v>
      </c>
      <c r="W59" s="31" t="n">
        <v>3337.3467855136</v>
      </c>
      <c r="X59" s="31" t="n">
        <v>-1912.507754654477</v>
      </c>
      <c r="Y59" s="31" t="n">
        <v>-27619.81022077704</v>
      </c>
      <c r="Z59" s="31" t="n">
        <v>-2700.882079105225</v>
      </c>
      <c r="AA59" s="31" t="n">
        <v>-8300.298375101032</v>
      </c>
      <c r="AB59" s="31" t="n">
        <v>1901.324713389648</v>
      </c>
      <c r="AC59" s="31" t="n">
        <v>2815.689878743699</v>
      </c>
      <c r="AD59" s="31" t="n">
        <v>3760.639494233023</v>
      </c>
      <c r="AE59" s="31" t="n">
        <v>15528.91587690237</v>
      </c>
      <c r="AF59" s="31" t="n">
        <v>-5137.821601394467</v>
      </c>
      <c r="AG59" s="31" t="n">
        <v>-2494.530529140109</v>
      </c>
      <c r="AH59" s="31" t="n">
        <v>1886.042372339</v>
      </c>
      <c r="AI59" s="31" t="n">
        <v>48834.79550189742</v>
      </c>
      <c r="AJ59" s="31" t="n">
        <v>29668.55977667824</v>
      </c>
      <c r="AK59" s="31" t="n">
        <v>1646.054715556471</v>
      </c>
      <c r="AL59" s="31" t="n">
        <v>11010.56315350346</v>
      </c>
      <c r="AM59" s="31" t="n">
        <v>-122988.2773223084</v>
      </c>
      <c r="AN59" s="31" t="n">
        <v>79905.50381094638</v>
      </c>
      <c r="AO59" s="31" t="n">
        <v>-3063.581008672884</v>
      </c>
      <c r="AP59" s="31" t="n">
        <v>-5052.670505254486</v>
      </c>
      <c r="AQ59" s="31" t="n">
        <v>18095.68378457729</v>
      </c>
      <c r="AR59" s="31" t="n">
        <v>243394.06889591</v>
      </c>
      <c r="AS59" s="31" t="n">
        <v>302285.7451418955</v>
      </c>
      <c r="AT59" s="31" t="n">
        <v>893.531251950512</v>
      </c>
      <c r="AU59" s="31" t="n">
        <v>748747.8317077019</v>
      </c>
      <c r="AV59" s="31" t="n">
        <v>14889280.27206371</v>
      </c>
      <c r="AW59" s="31" t="n">
        <v>37487.66271411526</v>
      </c>
      <c r="AX59" s="31" t="n">
        <v>660120.5792496776</v>
      </c>
      <c r="AY59" s="31" t="n">
        <v>5593668.945113339</v>
      </c>
      <c r="AZ59" s="31" t="n">
        <v>12238644.12931134</v>
      </c>
      <c r="BA59" s="31" t="n">
        <v>2358203.03846657</v>
      </c>
      <c r="BB59" s="31" t="n">
        <v>3960659.38592606</v>
      </c>
      <c r="BC59" s="31" t="n">
        <v>1693797.554987899</v>
      </c>
      <c r="BD59" s="31" t="n">
        <v>75.55571820593207</v>
      </c>
      <c r="BE59" s="31" t="n">
        <v>734755.1892247559</v>
      </c>
      <c r="BF59" s="31" t="n">
        <v>109815.183558777</v>
      </c>
      <c r="BG59" s="31" t="n">
        <v>188382.417970467</v>
      </c>
      <c r="BH59" s="31" t="n">
        <v>9228.983593176676</v>
      </c>
      <c r="BI59" s="31" t="n">
        <v>2339.903782929913</v>
      </c>
      <c r="BJ59" s="31" t="n">
        <v>291936.899992787</v>
      </c>
      <c r="BK59" s="31" t="n">
        <v>3363674.742268886</v>
      </c>
      <c r="BL59" s="31" t="n">
        <v>2557102.754558935</v>
      </c>
      <c r="BM59" s="31" t="n">
        <v>985975.4066243093</v>
      </c>
      <c r="BN59" s="31" t="n">
        <v>1609132.789539378</v>
      </c>
      <c r="BO59" s="31" t="n">
        <v>565338.0105274295</v>
      </c>
      <c r="BP59" s="31" t="n">
        <v>6893.853629081649</v>
      </c>
      <c r="BQ59" s="31" t="n">
        <v>210001.7303497717</v>
      </c>
      <c r="BR59" s="31" t="n">
        <v>120395.3918688657</v>
      </c>
      <c r="BS59" s="31" t="n">
        <v>22881868.99555368</v>
      </c>
      <c r="BT59" s="31" t="n">
        <v>185267.10350152</v>
      </c>
      <c r="BU59" s="31" t="n">
        <v>1754.614828683293</v>
      </c>
      <c r="BV59" s="31" t="n">
        <v>8331.939288535123</v>
      </c>
      <c r="BW59" s="31" t="n">
        <v>1465.778881167623</v>
      </c>
      <c r="BX59" s="31" t="n">
        <v>-9817.329153861259</v>
      </c>
      <c r="BY59" s="31" t="n">
        <v>3443.959942173483</v>
      </c>
      <c r="BZ59" s="31" t="n">
        <v>1132.963688659037</v>
      </c>
      <c r="CA59" s="31" t="n">
        <v>684.6723246443217</v>
      </c>
      <c r="CB59" s="31" t="n">
        <v>1419.411541721955</v>
      </c>
      <c r="CC59" s="31" t="n">
        <v>60.47015048265857</v>
      </c>
      <c r="CD59" s="31" t="n">
        <v>2837.40920153228</v>
      </c>
      <c r="CE59" s="31" t="n">
        <v>9111.004670789998</v>
      </c>
      <c r="CF59" s="31" t="n">
        <v>374.8866227145395</v>
      </c>
      <c r="CG59" s="31" t="n">
        <v>-8999.67380563299</v>
      </c>
      <c r="CH59" s="31" t="n">
        <v>-498636.6812456296</v>
      </c>
      <c r="CI59" s="31" t="n">
        <v>1132.456591997187</v>
      </c>
      <c r="CJ59" s="31" t="n">
        <v>5938.641661234355</v>
      </c>
      <c r="CK59" s="31" t="n">
        <v>179.1263842584002</v>
      </c>
      <c r="CL59" s="31" t="n">
        <v>864.5977960012362</v>
      </c>
      <c r="CM59" s="31" t="n">
        <v>122.284018953573</v>
      </c>
      <c r="CN59" s="31" t="n">
        <v>461371.9608544536</v>
      </c>
      <c r="CO59" s="31" t="n">
        <v>287750.0928307438</v>
      </c>
      <c r="CP59" s="31" t="n">
        <v>138.5295688126907</v>
      </c>
      <c r="CQ59" s="31" t="n">
        <v>2333.595248640372</v>
      </c>
      <c r="CR59" s="31" t="n">
        <v>-33800.4045473229</v>
      </c>
      <c r="CS59" s="31" t="n">
        <v>2518.832683782625</v>
      </c>
      <c r="CT59" s="31" t="n">
        <v>2299.971234383984</v>
      </c>
      <c r="CU59" s="31" t="n">
        <v>-37203.65073543075</v>
      </c>
      <c r="CV59" s="31" t="n">
        <v>122958.3569296528</v>
      </c>
      <c r="CW59" s="31" t="n">
        <v>-915.9618295252454</v>
      </c>
      <c r="CX59" s="31" t="n">
        <v>6693.30372252821</v>
      </c>
      <c r="CY59" s="31" t="n">
        <v>1869.24649364476</v>
      </c>
      <c r="CZ59" s="31" t="n">
        <v>19770.77767908369</v>
      </c>
      <c r="DA59" s="31" t="n">
        <v>-320.5774616744075</v>
      </c>
      <c r="DB59" s="31" t="n">
        <v>1084.308309050584</v>
      </c>
      <c r="DC59" s="31" t="n">
        <v>-95369.19673213181</v>
      </c>
      <c r="DD59" s="31" t="n">
        <v>38.71260814681851</v>
      </c>
      <c r="DE59" s="31" t="n">
        <v>0</v>
      </c>
      <c r="DF59" s="31">
        <f>SUM(C59:DE59)</f>
        <v/>
      </c>
      <c r="DG59" s="31" t="n">
        <v>0</v>
      </c>
      <c r="DH59" s="31" t="n">
        <v>0</v>
      </c>
      <c r="DI59" s="31" t="n">
        <v>0</v>
      </c>
      <c r="DJ59" s="31" t="n">
        <v>0</v>
      </c>
      <c r="DK59" s="31">
        <f>SUM(DG59:DJ59)</f>
        <v/>
      </c>
      <c r="DL59" s="31">
        <f>DF59+DK59</f>
        <v/>
      </c>
    </row>
    <row r="60">
      <c r="A60" s="28" t="inlineStr">
        <is>
          <t>272</t>
        </is>
      </c>
      <c r="B60" s="28" t="inlineStr">
        <is>
          <t>27201 - Elaboración de aluminio primario y semielaborados de aluminio. 27209 - Producción de metales no ferrosos n.c.p. y sus semielaborados</t>
        </is>
      </c>
      <c r="C60" s="29" t="n">
        <v>-77636.79922090242</v>
      </c>
      <c r="D60" s="29" t="n">
        <v>-7461.574661715642</v>
      </c>
      <c r="E60" s="29" t="n">
        <v>0</v>
      </c>
      <c r="F60" s="29" t="n">
        <v>0</v>
      </c>
      <c r="G60" s="29" t="n">
        <v>0</v>
      </c>
      <c r="H60" s="29" t="n">
        <v>4061.054403776027</v>
      </c>
      <c r="I60" s="29" t="n">
        <v>0.001501266474555048</v>
      </c>
      <c r="J60" s="29" t="n">
        <v>59803.76232703983</v>
      </c>
      <c r="K60" s="29" t="n">
        <v>-140.168707815627</v>
      </c>
      <c r="L60" s="29" t="n">
        <v>2608.177699353941</v>
      </c>
      <c r="M60" s="29" t="n">
        <v>12510.9476804412</v>
      </c>
      <c r="N60" s="29" t="n">
        <v>-2799.76885172336</v>
      </c>
      <c r="O60" s="29" t="n">
        <v>-809.1935358642251</v>
      </c>
      <c r="P60" s="29" t="n">
        <v>4478.284902888771</v>
      </c>
      <c r="Q60" s="29" t="n">
        <v>-5960.873077436125</v>
      </c>
      <c r="R60" s="29" t="n">
        <v>24640.17255001687</v>
      </c>
      <c r="S60" s="29" t="n">
        <v>1662.891957787897</v>
      </c>
      <c r="T60" s="29" t="n">
        <v>8930.496425612055</v>
      </c>
      <c r="U60" s="29" t="n">
        <v>377953.2868057375</v>
      </c>
      <c r="V60" s="29" t="n">
        <v>5882.111702180254</v>
      </c>
      <c r="W60" s="29" t="n">
        <v>162105.6633157734</v>
      </c>
      <c r="X60" s="29" t="n">
        <v>18344.12686402652</v>
      </c>
      <c r="Y60" s="29" t="n">
        <v>205458.8841124799</v>
      </c>
      <c r="Z60" s="29" t="n">
        <v>2418.74741842326</v>
      </c>
      <c r="AA60" s="29" t="n">
        <v>3616.376155077815</v>
      </c>
      <c r="AB60" s="29" t="n">
        <v>2380.987517318669</v>
      </c>
      <c r="AC60" s="29" t="n">
        <v>50685.47371409186</v>
      </c>
      <c r="AD60" s="29" t="n">
        <v>172390.2274892577</v>
      </c>
      <c r="AE60" s="29" t="n">
        <v>9106.431777402178</v>
      </c>
      <c r="AF60" s="29" t="n">
        <v>967.0571800508089</v>
      </c>
      <c r="AG60" s="29" t="n">
        <v>23902.80568332618</v>
      </c>
      <c r="AH60" s="29" t="n">
        <v>1326.138599124629</v>
      </c>
      <c r="AI60" s="29" t="n">
        <v>66973.27579795162</v>
      </c>
      <c r="AJ60" s="29" t="n">
        <v>307866.7137827792</v>
      </c>
      <c r="AK60" s="29" t="n">
        <v>45211.95095309131</v>
      </c>
      <c r="AL60" s="29" t="n">
        <v>78399.61778030309</v>
      </c>
      <c r="AM60" s="29" t="n">
        <v>59135.50557747135</v>
      </c>
      <c r="AN60" s="29" t="n">
        <v>240673.8930497208</v>
      </c>
      <c r="AO60" s="29" t="n">
        <v>27985.2803978515</v>
      </c>
      <c r="AP60" s="29" t="n">
        <v>56722.89297017439</v>
      </c>
      <c r="AQ60" s="29" t="n">
        <v>510251.8592466416</v>
      </c>
      <c r="AR60" s="29" t="n">
        <v>82017.6622242248</v>
      </c>
      <c r="AS60" s="29" t="n">
        <v>275960.2567381989</v>
      </c>
      <c r="AT60" s="29" t="n">
        <v>46655.17897425988</v>
      </c>
      <c r="AU60" s="29" t="n">
        <v>388644.2206857785</v>
      </c>
      <c r="AV60" s="29" t="n">
        <v>364227.3714782376</v>
      </c>
      <c r="AW60" s="29" t="n">
        <v>7373003.589730524</v>
      </c>
      <c r="AX60" s="29" t="n">
        <v>2856756.025989963</v>
      </c>
      <c r="AY60" s="29" t="n">
        <v>811015.8422402915</v>
      </c>
      <c r="AZ60" s="29" t="n">
        <v>2861650.611142459</v>
      </c>
      <c r="BA60" s="29" t="n">
        <v>1019320.805655191</v>
      </c>
      <c r="BB60" s="29" t="n">
        <v>306910.4623270891</v>
      </c>
      <c r="BC60" s="29" t="n">
        <v>420827.8088765373</v>
      </c>
      <c r="BD60" s="29" t="n">
        <v>3480.716854599936</v>
      </c>
      <c r="BE60" s="29" t="n">
        <v>619134.7230211124</v>
      </c>
      <c r="BF60" s="29" t="n">
        <v>3575424.256882059</v>
      </c>
      <c r="BG60" s="29" t="n">
        <v>1069322.456760562</v>
      </c>
      <c r="BH60" s="29" t="n">
        <v>107582.7208106849</v>
      </c>
      <c r="BI60" s="29" t="n">
        <v>69170.91581616874</v>
      </c>
      <c r="BJ60" s="29" t="n">
        <v>134681.4954405358</v>
      </c>
      <c r="BK60" s="29" t="n">
        <v>204935.555954063</v>
      </c>
      <c r="BL60" s="29" t="n">
        <v>2504214.674079619</v>
      </c>
      <c r="BM60" s="29" t="n">
        <v>46152.70971072988</v>
      </c>
      <c r="BN60" s="29" t="n">
        <v>660878.1613643275</v>
      </c>
      <c r="BO60" s="29" t="n">
        <v>46576.12932736579</v>
      </c>
      <c r="BP60" s="29" t="n">
        <v>16.86350886158412</v>
      </c>
      <c r="BQ60" s="29" t="n">
        <v>831.6947166728505</v>
      </c>
      <c r="BR60" s="29" t="n">
        <v>1196.39818245896</v>
      </c>
      <c r="BS60" s="29" t="n">
        <v>1549601.292442837</v>
      </c>
      <c r="BT60" s="29" t="n">
        <v>5944.070195070247</v>
      </c>
      <c r="BU60" s="29" t="n">
        <v>92.17168236349681</v>
      </c>
      <c r="BV60" s="29" t="n">
        <v>3962.241820096531</v>
      </c>
      <c r="BW60" s="29" t="n">
        <v>22267.6012996479</v>
      </c>
      <c r="BX60" s="29" t="n">
        <v>-2135.394001137386</v>
      </c>
      <c r="BY60" s="29" t="n">
        <v>659.8991631051205</v>
      </c>
      <c r="BZ60" s="29" t="n">
        <v>797.6646554365943</v>
      </c>
      <c r="CA60" s="29" t="n">
        <v>10226.91539652952</v>
      </c>
      <c r="CB60" s="29" t="n">
        <v>1704.320318079472</v>
      </c>
      <c r="CC60" s="29" t="n">
        <v>115.0732169694416</v>
      </c>
      <c r="CD60" s="29" t="n">
        <v>4416.119303457993</v>
      </c>
      <c r="CE60" s="29" t="n">
        <v>8511.432166835322</v>
      </c>
      <c r="CF60" s="29" t="n">
        <v>2230.980004319036</v>
      </c>
      <c r="CG60" s="29" t="n">
        <v>-2081.821218714893</v>
      </c>
      <c r="CH60" s="29" t="n">
        <v>-101178.7326029634</v>
      </c>
      <c r="CI60" s="29" t="n">
        <v>717.7359730752821</v>
      </c>
      <c r="CJ60" s="29" t="n">
        <v>103.8105645662636</v>
      </c>
      <c r="CK60" s="29" t="n">
        <v>842.797468064766</v>
      </c>
      <c r="CL60" s="29" t="n">
        <v>1165.932357561513</v>
      </c>
      <c r="CM60" s="29" t="n">
        <v>1433.675493192651</v>
      </c>
      <c r="CN60" s="29" t="n">
        <v>273284.1896406613</v>
      </c>
      <c r="CO60" s="29" t="n">
        <v>167833.1920731958</v>
      </c>
      <c r="CP60" s="29" t="n">
        <v>93.22117309113257</v>
      </c>
      <c r="CQ60" s="29" t="n">
        <v>3063.201626366838</v>
      </c>
      <c r="CR60" s="29" t="n">
        <v>-7691.829125806948</v>
      </c>
      <c r="CS60" s="29" t="n">
        <v>2027.951454604338</v>
      </c>
      <c r="CT60" s="29" t="n">
        <v>1851.742690313469</v>
      </c>
      <c r="CU60" s="29" t="n">
        <v>17040.59679840501</v>
      </c>
      <c r="CV60" s="29" t="n">
        <v>98737.76575249113</v>
      </c>
      <c r="CW60" s="29" t="n">
        <v>4020.476371603355</v>
      </c>
      <c r="CX60" s="29" t="n">
        <v>6162.470780734198</v>
      </c>
      <c r="CY60" s="29" t="n">
        <v>142074.9294537964</v>
      </c>
      <c r="CZ60" s="29" t="n">
        <v>108154.6277304168</v>
      </c>
      <c r="DA60" s="29" t="n">
        <v>142.1804245399529</v>
      </c>
      <c r="DB60" s="29" t="n">
        <v>2541.897089480563</v>
      </c>
      <c r="DC60" s="29" t="n">
        <v>-15640.21759405036</v>
      </c>
      <c r="DD60" s="29" t="n">
        <v>403.0996043017761</v>
      </c>
      <c r="DE60" s="29" t="n">
        <v>0</v>
      </c>
      <c r="DF60" s="29">
        <f>SUM(C60:DE60)</f>
        <v/>
      </c>
      <c r="DG60" s="29" t="n">
        <v>0</v>
      </c>
      <c r="DH60" s="29" t="n">
        <v>0</v>
      </c>
      <c r="DI60" s="29" t="n">
        <v>0</v>
      </c>
      <c r="DJ60" s="29" t="n">
        <v>0</v>
      </c>
      <c r="DK60" s="29">
        <f>SUM(DG60:DJ60)</f>
        <v/>
      </c>
      <c r="DL60" s="29">
        <f>DF60+DK60</f>
        <v/>
      </c>
    </row>
    <row r="61">
      <c r="A61" s="30" t="inlineStr">
        <is>
          <t>273</t>
        </is>
      </c>
      <c r="B61" s="30" t="inlineStr">
        <is>
          <t>27310 - Fundición de hierro y acero. 27320 - Fundición de metales no ferrosos</t>
        </is>
      </c>
      <c r="C61" s="31" t="n">
        <v>152045.1795246815</v>
      </c>
      <c r="D61" s="31" t="n">
        <v>-3613.199532473264</v>
      </c>
      <c r="E61" s="31" t="n">
        <v>1.621912221210047</v>
      </c>
      <c r="F61" s="31" t="n">
        <v>3347.434999194778</v>
      </c>
      <c r="G61" s="31" t="n">
        <v>12.69486859640496</v>
      </c>
      <c r="H61" s="31" t="n">
        <v>181894.0141028502</v>
      </c>
      <c r="I61" s="31" t="n">
        <v>0.7991151213156836</v>
      </c>
      <c r="J61" s="31" t="n">
        <v>4989318.693149191</v>
      </c>
      <c r="K61" s="31" t="n">
        <v>2001.992255224133</v>
      </c>
      <c r="L61" s="31" t="n">
        <v>7581.383487767373</v>
      </c>
      <c r="M61" s="31" t="n">
        <v>36880.57197571144</v>
      </c>
      <c r="N61" s="31" t="n">
        <v>71717.96353821745</v>
      </c>
      <c r="O61" s="31" t="n">
        <v>68442.78170078131</v>
      </c>
      <c r="P61" s="31" t="n">
        <v>366117.3616603035</v>
      </c>
      <c r="Q61" s="31" t="n">
        <v>299797.3270056288</v>
      </c>
      <c r="R61" s="31" t="n">
        <v>414612.4957181141</v>
      </c>
      <c r="S61" s="31" t="n">
        <v>-2019.091852480177</v>
      </c>
      <c r="T61" s="31" t="n">
        <v>-2974.544146638787</v>
      </c>
      <c r="U61" s="31" t="n">
        <v>38581.51794397381</v>
      </c>
      <c r="V61" s="31" t="n">
        <v>-91.84219105360296</v>
      </c>
      <c r="W61" s="31" t="n">
        <v>384643.9837488659</v>
      </c>
      <c r="X61" s="31" t="n">
        <v>3755.096821429118</v>
      </c>
      <c r="Y61" s="31" t="n">
        <v>144359.8701468649</v>
      </c>
      <c r="Z61" s="31" t="n">
        <v>166792.39139783</v>
      </c>
      <c r="AA61" s="31" t="n">
        <v>150997.2999659802</v>
      </c>
      <c r="AB61" s="31" t="n">
        <v>197094.462872831</v>
      </c>
      <c r="AC61" s="31" t="n">
        <v>303717.0978575744</v>
      </c>
      <c r="AD61" s="31" t="n">
        <v>37080.24886438287</v>
      </c>
      <c r="AE61" s="31" t="n">
        <v>8629.260101926002</v>
      </c>
      <c r="AF61" s="31" t="n">
        <v>49815.80764841136</v>
      </c>
      <c r="AG61" s="31" t="n">
        <v>5389.610613589214</v>
      </c>
      <c r="AH61" s="31" t="n">
        <v>30081.02395081806</v>
      </c>
      <c r="AI61" s="31" t="n">
        <v>233907.3506486238</v>
      </c>
      <c r="AJ61" s="31" t="n">
        <v>22357.10731090981</v>
      </c>
      <c r="AK61" s="31" t="n">
        <v>834.5795859039595</v>
      </c>
      <c r="AL61" s="31" t="n">
        <v>7880.681713808926</v>
      </c>
      <c r="AM61" s="31" t="n">
        <v>44049.53521277674</v>
      </c>
      <c r="AN61" s="31" t="n">
        <v>76833.77874376356</v>
      </c>
      <c r="AO61" s="31" t="n">
        <v>40065.88538987036</v>
      </c>
      <c r="AP61" s="31" t="n">
        <v>14884.04636616735</v>
      </c>
      <c r="AQ61" s="31" t="n">
        <v>1504070.696287033</v>
      </c>
      <c r="AR61" s="31" t="n">
        <v>219968.6992591999</v>
      </c>
      <c r="AS61" s="31" t="n">
        <v>47315.57366999511</v>
      </c>
      <c r="AT61" s="31" t="n">
        <v>22491.29049703726</v>
      </c>
      <c r="AU61" s="31" t="n">
        <v>70806.7396846042</v>
      </c>
      <c r="AV61" s="31" t="n">
        <v>1069465.388441534</v>
      </c>
      <c r="AW61" s="31" t="n">
        <v>194132.6574252833</v>
      </c>
      <c r="AX61" s="31" t="n">
        <v>361239.6415696428</v>
      </c>
      <c r="AY61" s="31" t="n">
        <v>321818.1130559743</v>
      </c>
      <c r="AZ61" s="31" t="n">
        <v>930328.6874877531</v>
      </c>
      <c r="BA61" s="31" t="n">
        <v>963303.5241533406</v>
      </c>
      <c r="BB61" s="31" t="n">
        <v>1574007.521295078</v>
      </c>
      <c r="BC61" s="31" t="n">
        <v>439423.802284959</v>
      </c>
      <c r="BD61" s="31" t="n">
        <v>3243.907273969456</v>
      </c>
      <c r="BE61" s="31" t="n">
        <v>213365.9971898616</v>
      </c>
      <c r="BF61" s="31" t="n">
        <v>111995.7213067134</v>
      </c>
      <c r="BG61" s="31" t="n">
        <v>153617.6005954617</v>
      </c>
      <c r="BH61" s="31" t="n">
        <v>75082.3576967078</v>
      </c>
      <c r="BI61" s="31" t="n">
        <v>8998.294723129155</v>
      </c>
      <c r="BJ61" s="31" t="n">
        <v>48472.19944690477</v>
      </c>
      <c r="BK61" s="31" t="n">
        <v>3856793.739159958</v>
      </c>
      <c r="BL61" s="31" t="n">
        <v>2885577.766082932</v>
      </c>
      <c r="BM61" s="31" t="n">
        <v>242928.3060378319</v>
      </c>
      <c r="BN61" s="31" t="n">
        <v>477809.6885515629</v>
      </c>
      <c r="BO61" s="31" t="n">
        <v>210703.8997023752</v>
      </c>
      <c r="BP61" s="31" t="n">
        <v>785.2799992604471</v>
      </c>
      <c r="BQ61" s="31" t="n">
        <v>71544.36003807143</v>
      </c>
      <c r="BR61" s="31" t="n">
        <v>44145.93842454556</v>
      </c>
      <c r="BS61" s="31" t="n">
        <v>1186110.853561683</v>
      </c>
      <c r="BT61" s="31" t="n">
        <v>338029.155364827</v>
      </c>
      <c r="BU61" s="31" t="n">
        <v>191.831405120844</v>
      </c>
      <c r="BV61" s="31" t="n">
        <v>301493.3845544303</v>
      </c>
      <c r="BW61" s="31" t="n">
        <v>113873.4188086631</v>
      </c>
      <c r="BX61" s="31" t="n">
        <v>-1711.637275647955</v>
      </c>
      <c r="BY61" s="31" t="n">
        <v>44559.71048708973</v>
      </c>
      <c r="BZ61" s="31" t="n">
        <v>52430.03903921807</v>
      </c>
      <c r="CA61" s="31" t="n">
        <v>45137.32547242285</v>
      </c>
      <c r="CB61" s="31" t="n">
        <v>67774.02936631659</v>
      </c>
      <c r="CC61" s="31" t="n">
        <v>1068.444639688519</v>
      </c>
      <c r="CD61" s="31" t="n">
        <v>218930.5468298431</v>
      </c>
      <c r="CE61" s="31" t="n">
        <v>668125.8108291817</v>
      </c>
      <c r="CF61" s="31" t="n">
        <v>226087.9572193339</v>
      </c>
      <c r="CG61" s="31" t="n">
        <v>76947.33028964057</v>
      </c>
      <c r="CH61" s="31" t="n">
        <v>474595.6244409673</v>
      </c>
      <c r="CI61" s="31" t="n">
        <v>79602.12740007021</v>
      </c>
      <c r="CJ61" s="31" t="n">
        <v>6975.595330126974</v>
      </c>
      <c r="CK61" s="31" t="n">
        <v>3114.960042847043</v>
      </c>
      <c r="CL61" s="31" t="n">
        <v>10364.94964022675</v>
      </c>
      <c r="CM61" s="31" t="n">
        <v>6742.457957570718</v>
      </c>
      <c r="CN61" s="31" t="n">
        <v>93124.48251101481</v>
      </c>
      <c r="CO61" s="31" t="n">
        <v>98481.80130520958</v>
      </c>
      <c r="CP61" s="31" t="n">
        <v>6.396849421682743</v>
      </c>
      <c r="CQ61" s="31" t="n">
        <v>273353.619183624</v>
      </c>
      <c r="CR61" s="31" t="n">
        <v>74903.6954901374</v>
      </c>
      <c r="CS61" s="31" t="n">
        <v>2899.704209246634</v>
      </c>
      <c r="CT61" s="31" t="n">
        <v>2647.748821280969</v>
      </c>
      <c r="CU61" s="31" t="n">
        <v>197800.8820659466</v>
      </c>
      <c r="CV61" s="31" t="n">
        <v>141258.8441557874</v>
      </c>
      <c r="CW61" s="31" t="n">
        <v>8848.573154966456</v>
      </c>
      <c r="CX61" s="31" t="n">
        <v>10348.85518717465</v>
      </c>
      <c r="CY61" s="31" t="n">
        <v>14795.13829250718</v>
      </c>
      <c r="CZ61" s="31" t="n">
        <v>48835.74638701214</v>
      </c>
      <c r="DA61" s="31" t="n">
        <v>5510.043722829334</v>
      </c>
      <c r="DB61" s="31" t="n">
        <v>8519.731499691241</v>
      </c>
      <c r="DC61" s="31" t="n">
        <v>225741.8311368077</v>
      </c>
      <c r="DD61" s="31" t="n">
        <v>54.37892622429258</v>
      </c>
      <c r="DE61" s="31" t="n">
        <v>0</v>
      </c>
      <c r="DF61" s="31">
        <f>SUM(C61:DE61)</f>
        <v/>
      </c>
      <c r="DG61" s="31" t="n">
        <v>0</v>
      </c>
      <c r="DH61" s="31" t="n">
        <v>0</v>
      </c>
      <c r="DI61" s="31" t="n">
        <v>0</v>
      </c>
      <c r="DJ61" s="31" t="n">
        <v>0</v>
      </c>
      <c r="DK61" s="31">
        <f>SUM(DG61:DJ61)</f>
        <v/>
      </c>
      <c r="DL61" s="31">
        <f>DF61+DK61</f>
        <v/>
      </c>
    </row>
    <row r="62">
      <c r="A62" s="28" t="inlineStr">
        <is>
          <t>281</t>
        </is>
      </c>
      <c r="B62" s="28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9" t="n">
        <v>535214.4310480013</v>
      </c>
      <c r="D62" s="29" t="n">
        <v>-21477.66731398223</v>
      </c>
      <c r="E62" s="29" t="n">
        <v>218.0234160357693</v>
      </c>
      <c r="F62" s="29" t="n">
        <v>6608.221801190756</v>
      </c>
      <c r="G62" s="29" t="n">
        <v>1706.491005689869</v>
      </c>
      <c r="H62" s="29" t="n">
        <v>16103.83082972998</v>
      </c>
      <c r="I62" s="29" t="n">
        <v>99.57194448942327</v>
      </c>
      <c r="J62" s="29" t="n">
        <v>1405529.567058863</v>
      </c>
      <c r="K62" s="29" t="n">
        <v>26940.10454181216</v>
      </c>
      <c r="L62" s="29" t="n">
        <v>12933.21205260231</v>
      </c>
      <c r="M62" s="29" t="n">
        <v>4422.487834429546</v>
      </c>
      <c r="N62" s="29" t="n">
        <v>-8008.508102495683</v>
      </c>
      <c r="O62" s="29" t="n">
        <v>-543.8396128012926</v>
      </c>
      <c r="P62" s="29" t="n">
        <v>9839.877734419766</v>
      </c>
      <c r="Q62" s="29" t="n">
        <v>831220.0471172417</v>
      </c>
      <c r="R62" s="29" t="n">
        <v>4986.829951599962</v>
      </c>
      <c r="S62" s="29" t="n">
        <v>-3649.326620490654</v>
      </c>
      <c r="T62" s="29" t="n">
        <v>-7001.782198638828</v>
      </c>
      <c r="U62" s="29" t="n">
        <v>3370.52950322133</v>
      </c>
      <c r="V62" s="29" t="n">
        <v>3327.773292431442</v>
      </c>
      <c r="W62" s="29" t="n">
        <v>10398.55271774716</v>
      </c>
      <c r="X62" s="29" t="n">
        <v>-592.3922261113996</v>
      </c>
      <c r="Y62" s="29" t="n">
        <v>-10690.9988778154</v>
      </c>
      <c r="Z62" s="29" t="n">
        <v>10545.93907632414</v>
      </c>
      <c r="AA62" s="29" t="n">
        <v>23668.39793342365</v>
      </c>
      <c r="AB62" s="29" t="n">
        <v>7856.281070598827</v>
      </c>
      <c r="AC62" s="29" t="n">
        <v>27894.29794399832</v>
      </c>
      <c r="AD62" s="29" t="n">
        <v>2691.365953171513</v>
      </c>
      <c r="AE62" s="29" t="n">
        <v>4615.575855345543</v>
      </c>
      <c r="AF62" s="29" t="n">
        <v>-2125.495569426949</v>
      </c>
      <c r="AG62" s="29" t="n">
        <v>-681.8065451843133</v>
      </c>
      <c r="AH62" s="29" t="n">
        <v>166484.3938852148</v>
      </c>
      <c r="AI62" s="29" t="n">
        <v>10687.6186082078</v>
      </c>
      <c r="AJ62" s="29" t="n">
        <v>9669.57779447997</v>
      </c>
      <c r="AK62" s="29" t="n">
        <v>28.79396373970803</v>
      </c>
      <c r="AL62" s="29" t="n">
        <v>3749.480258583155</v>
      </c>
      <c r="AM62" s="29" t="n">
        <v>2924.981200305927</v>
      </c>
      <c r="AN62" s="29" t="n">
        <v>1508.345209690917</v>
      </c>
      <c r="AO62" s="29" t="n">
        <v>1618.800729079953</v>
      </c>
      <c r="AP62" s="29" t="n">
        <v>1231.484803164426</v>
      </c>
      <c r="AQ62" s="29" t="n">
        <v>106359.9400818175</v>
      </c>
      <c r="AR62" s="29" t="n">
        <v>14559.61597243654</v>
      </c>
      <c r="AS62" s="29" t="n">
        <v>16467.25356222864</v>
      </c>
      <c r="AT62" s="29" t="n">
        <v>25766.26376912921</v>
      </c>
      <c r="AU62" s="29" t="n">
        <v>38888.77312972502</v>
      </c>
      <c r="AV62" s="29" t="n">
        <v>558832.0077501435</v>
      </c>
      <c r="AW62" s="29" t="n">
        <v>15781.59058885296</v>
      </c>
      <c r="AX62" s="29" t="n">
        <v>8305.704439043167</v>
      </c>
      <c r="AY62" s="29" t="n">
        <v>293938.6731200966</v>
      </c>
      <c r="AZ62" s="29" t="n">
        <v>470993.710603376</v>
      </c>
      <c r="BA62" s="29" t="n">
        <v>154542.4192345476</v>
      </c>
      <c r="BB62" s="29" t="n">
        <v>323977.7942691576</v>
      </c>
      <c r="BC62" s="29" t="n">
        <v>172211.0089700643</v>
      </c>
      <c r="BD62" s="29" t="n">
        <v>23761.85982335493</v>
      </c>
      <c r="BE62" s="29" t="n">
        <v>32818.85910420585</v>
      </c>
      <c r="BF62" s="29" t="n">
        <v>19370.5895610524</v>
      </c>
      <c r="BG62" s="29" t="n">
        <v>13844.60385275451</v>
      </c>
      <c r="BH62" s="29" t="n">
        <v>5494.916855401359</v>
      </c>
      <c r="BI62" s="29" t="n">
        <v>9292.551410633372</v>
      </c>
      <c r="BJ62" s="29" t="n">
        <v>17244.78729847763</v>
      </c>
      <c r="BK62" s="29" t="n">
        <v>234935.1374487048</v>
      </c>
      <c r="BL62" s="29" t="n">
        <v>152894.4056881604</v>
      </c>
      <c r="BM62" s="29" t="n">
        <v>60946.04697319213</v>
      </c>
      <c r="BN62" s="29" t="n">
        <v>95270.32718993288</v>
      </c>
      <c r="BO62" s="29" t="n">
        <v>26452.33929618034</v>
      </c>
      <c r="BP62" s="29" t="n">
        <v>322985.7178614639</v>
      </c>
      <c r="BQ62" s="29" t="n">
        <v>13697.89152740394</v>
      </c>
      <c r="BR62" s="29" t="n">
        <v>24563.29696787969</v>
      </c>
      <c r="BS62" s="29" t="n">
        <v>9806401.298436694</v>
      </c>
      <c r="BT62" s="29" t="n">
        <v>25914.92290262918</v>
      </c>
      <c r="BU62" s="29" t="n">
        <v>17010.60174878089</v>
      </c>
      <c r="BV62" s="29" t="n">
        <v>35432.3878024692</v>
      </c>
      <c r="BW62" s="29" t="n">
        <v>6906.303692106272</v>
      </c>
      <c r="BX62" s="29" t="n">
        <v>-2577.95912731029</v>
      </c>
      <c r="BY62" s="29" t="n">
        <v>339759.256902706</v>
      </c>
      <c r="BZ62" s="29" t="n">
        <v>5288.43853729791</v>
      </c>
      <c r="CA62" s="29" t="n">
        <v>45520.60741224811</v>
      </c>
      <c r="CB62" s="29" t="n">
        <v>7921.387379326767</v>
      </c>
      <c r="CC62" s="29" t="n">
        <v>433.4109817801638</v>
      </c>
      <c r="CD62" s="29" t="n">
        <v>10507.66440896423</v>
      </c>
      <c r="CE62" s="29" t="n">
        <v>24003.96113824463</v>
      </c>
      <c r="CF62" s="29" t="n">
        <v>3619.443028659954</v>
      </c>
      <c r="CG62" s="29" t="n">
        <v>-3883.461729926247</v>
      </c>
      <c r="CH62" s="29" t="n">
        <v>-298387.739277309</v>
      </c>
      <c r="CI62" s="29" t="n">
        <v>3312.813620163918</v>
      </c>
      <c r="CJ62" s="29" t="n">
        <v>15203.25356220476</v>
      </c>
      <c r="CK62" s="29" t="n">
        <v>1389.121476974327</v>
      </c>
      <c r="CL62" s="29" t="n">
        <v>3460.712539096046</v>
      </c>
      <c r="CM62" s="29" t="n">
        <v>986.1682385486141</v>
      </c>
      <c r="CN62" s="29" t="n">
        <v>1683114.061055989</v>
      </c>
      <c r="CO62" s="29" t="n">
        <v>1021431.038806588</v>
      </c>
      <c r="CP62" s="29" t="n">
        <v>513.079291462464</v>
      </c>
      <c r="CQ62" s="29" t="n">
        <v>17213.62135671973</v>
      </c>
      <c r="CR62" s="29" t="n">
        <v>-19394.94309668149</v>
      </c>
      <c r="CS62" s="29" t="n">
        <v>2513.5898551838</v>
      </c>
      <c r="CT62" s="29" t="n">
        <v>2295.183955323432</v>
      </c>
      <c r="CU62" s="29" t="n">
        <v>-5634.543527362986</v>
      </c>
      <c r="CV62" s="29" t="n">
        <v>122449.3162070575</v>
      </c>
      <c r="CW62" s="29" t="n">
        <v>16651.42296055459</v>
      </c>
      <c r="CX62" s="29" t="n">
        <v>3635.54352198889</v>
      </c>
      <c r="CY62" s="29" t="n">
        <v>34877.52674229676</v>
      </c>
      <c r="CZ62" s="29" t="n">
        <v>6232.913431450112</v>
      </c>
      <c r="DA62" s="29" t="n">
        <v>3349.049556294793</v>
      </c>
      <c r="DB62" s="29" t="n">
        <v>17622.83116687396</v>
      </c>
      <c r="DC62" s="29" t="n">
        <v>-54876.98936233127</v>
      </c>
      <c r="DD62" s="29" t="n">
        <v>783.6344747603954</v>
      </c>
      <c r="DE62" s="29" t="n">
        <v>0</v>
      </c>
      <c r="DF62" s="29">
        <f>SUM(C62:DE62)</f>
        <v/>
      </c>
      <c r="DG62" s="29" t="n">
        <v>0</v>
      </c>
      <c r="DH62" s="29" t="n">
        <v>0</v>
      </c>
      <c r="DI62" s="29" t="n">
        <v>0</v>
      </c>
      <c r="DJ62" s="29" t="n">
        <v>0</v>
      </c>
      <c r="DK62" s="29">
        <f>SUM(DG62:DJ62)</f>
        <v/>
      </c>
      <c r="DL62" s="29">
        <f>DF62+DK62</f>
        <v/>
      </c>
    </row>
    <row r="63">
      <c r="A63" s="30" t="inlineStr">
        <is>
          <t>289</t>
        </is>
      </c>
      <c r="B63" s="30" t="inlineStr">
        <is>
          <t>Fabricación de otros productos elaborados de metal; actividades de servicios de trabajo de metales</t>
        </is>
      </c>
      <c r="C63" s="31" t="n">
        <v>616357.5118533432</v>
      </c>
      <c r="D63" s="31" t="n">
        <v>-14538.84838192856</v>
      </c>
      <c r="E63" s="31" t="n">
        <v>227.3799814692462</v>
      </c>
      <c r="F63" s="31" t="n">
        <v>5254.840585684805</v>
      </c>
      <c r="G63" s="31" t="n">
        <v>479.5750931999222</v>
      </c>
      <c r="H63" s="31" t="n">
        <v>457634.4359820047</v>
      </c>
      <c r="I63" s="31" t="n">
        <v>31.39031246090906</v>
      </c>
      <c r="J63" s="31" t="n">
        <v>7097621.575379143</v>
      </c>
      <c r="K63" s="31" t="n">
        <v>627051.0815862756</v>
      </c>
      <c r="L63" s="31" t="n">
        <v>10782.50577199722</v>
      </c>
      <c r="M63" s="31" t="n">
        <v>14894.38463185807</v>
      </c>
      <c r="N63" s="31" t="n">
        <v>186675.9709289463</v>
      </c>
      <c r="O63" s="31" t="n">
        <v>172622.1588289269</v>
      </c>
      <c r="P63" s="31" t="n">
        <v>556091.0139088966</v>
      </c>
      <c r="Q63" s="31" t="n">
        <v>1105984.181789654</v>
      </c>
      <c r="R63" s="31" t="n">
        <v>640984.7004878183</v>
      </c>
      <c r="S63" s="31" t="n">
        <v>96156.27520934268</v>
      </c>
      <c r="T63" s="31" t="n">
        <v>39140.20545708441</v>
      </c>
      <c r="U63" s="31" t="n">
        <v>141129.8290140153</v>
      </c>
      <c r="V63" s="31" t="n">
        <v>96337.17337020456</v>
      </c>
      <c r="W63" s="31" t="n">
        <v>577806.9222547396</v>
      </c>
      <c r="X63" s="31" t="n">
        <v>22669.84500524934</v>
      </c>
      <c r="Y63" s="31" t="n">
        <v>299770.1298472892</v>
      </c>
      <c r="Z63" s="31" t="n">
        <v>231582.9681990185</v>
      </c>
      <c r="AA63" s="31" t="n">
        <v>239822.0611392032</v>
      </c>
      <c r="AB63" s="31" t="n">
        <v>332858.4536119368</v>
      </c>
      <c r="AC63" s="31" t="n">
        <v>586127.6919869105</v>
      </c>
      <c r="AD63" s="31" t="n">
        <v>86744.33886096629</v>
      </c>
      <c r="AE63" s="31" t="n">
        <v>166271.7785996266</v>
      </c>
      <c r="AF63" s="31" t="n">
        <v>111886.8559010309</v>
      </c>
      <c r="AG63" s="31" t="n">
        <v>43376.49601142678</v>
      </c>
      <c r="AH63" s="31" t="n">
        <v>55724.87388147387</v>
      </c>
      <c r="AI63" s="31" t="n">
        <v>419902.2866356811</v>
      </c>
      <c r="AJ63" s="31" t="n">
        <v>303388.9697090689</v>
      </c>
      <c r="AK63" s="31" t="n">
        <v>53849.80697493713</v>
      </c>
      <c r="AL63" s="31" t="n">
        <v>109336.6682045471</v>
      </c>
      <c r="AM63" s="31" t="n">
        <v>1454134.828719426</v>
      </c>
      <c r="AN63" s="31" t="n">
        <v>111246.4085045415</v>
      </c>
      <c r="AO63" s="31" t="n">
        <v>62811.82442116668</v>
      </c>
      <c r="AP63" s="31" t="n">
        <v>64352.31012426352</v>
      </c>
      <c r="AQ63" s="31" t="n">
        <v>3845184.854234133</v>
      </c>
      <c r="AR63" s="31" t="n">
        <v>344207.814007026</v>
      </c>
      <c r="AS63" s="31" t="n">
        <v>105541.8743503982</v>
      </c>
      <c r="AT63" s="31" t="n">
        <v>63663.02685508227</v>
      </c>
      <c r="AU63" s="31" t="n">
        <v>447046.9699181519</v>
      </c>
      <c r="AV63" s="31" t="n">
        <v>941763.9386121475</v>
      </c>
      <c r="AW63" s="31" t="n">
        <v>191580.7820526518</v>
      </c>
      <c r="AX63" s="31" t="n">
        <v>241425.1831270751</v>
      </c>
      <c r="AY63" s="31" t="n">
        <v>523039.5997994857</v>
      </c>
      <c r="AZ63" s="31" t="n">
        <v>1467561.537920357</v>
      </c>
      <c r="BA63" s="31" t="n">
        <v>2453379.796922199</v>
      </c>
      <c r="BB63" s="31" t="n">
        <v>2846512.448986052</v>
      </c>
      <c r="BC63" s="31" t="n">
        <v>1007361.984555324</v>
      </c>
      <c r="BD63" s="31" t="n">
        <v>534261.4399104961</v>
      </c>
      <c r="BE63" s="31" t="n">
        <v>387260.0180656212</v>
      </c>
      <c r="BF63" s="31" t="n">
        <v>270128.567884617</v>
      </c>
      <c r="BG63" s="31" t="n">
        <v>258819.2197854086</v>
      </c>
      <c r="BH63" s="31" t="n">
        <v>267050.4316688876</v>
      </c>
      <c r="BI63" s="31" t="n">
        <v>22884.76721054006</v>
      </c>
      <c r="BJ63" s="31" t="n">
        <v>103615.2452356968</v>
      </c>
      <c r="BK63" s="31" t="n">
        <v>7549594.409767395</v>
      </c>
      <c r="BL63" s="31" t="n">
        <v>4273544.273287876</v>
      </c>
      <c r="BM63" s="31" t="n">
        <v>363333.1891792178</v>
      </c>
      <c r="BN63" s="31" t="n">
        <v>662030.2319969574</v>
      </c>
      <c r="BO63" s="31" t="n">
        <v>500765.1867270342</v>
      </c>
      <c r="BP63" s="31" t="n">
        <v>400943.0276827649</v>
      </c>
      <c r="BQ63" s="31" t="n">
        <v>117659.3790020146</v>
      </c>
      <c r="BR63" s="31" t="n">
        <v>522030.1519920089</v>
      </c>
      <c r="BS63" s="31" t="n">
        <v>8415792.681540657</v>
      </c>
      <c r="BT63" s="31" t="n">
        <v>1057718.200656462</v>
      </c>
      <c r="BU63" s="31" t="n">
        <v>1533793.91236328</v>
      </c>
      <c r="BV63" s="31" t="n">
        <v>953140.6673879975</v>
      </c>
      <c r="BW63" s="31" t="n">
        <v>192098.9773159192</v>
      </c>
      <c r="BX63" s="31" t="n">
        <v>295243.8170518423</v>
      </c>
      <c r="BY63" s="31" t="n">
        <v>157948.4761851169</v>
      </c>
      <c r="BZ63" s="31" t="n">
        <v>221459.6125592081</v>
      </c>
      <c r="CA63" s="31" t="n">
        <v>248514.7584066903</v>
      </c>
      <c r="CB63" s="31" t="n">
        <v>260855.0731012729</v>
      </c>
      <c r="CC63" s="31" t="n">
        <v>17371.14302909594</v>
      </c>
      <c r="CD63" s="31" t="n">
        <v>304358.6043412434</v>
      </c>
      <c r="CE63" s="31" t="n">
        <v>1147842.514766339</v>
      </c>
      <c r="CF63" s="31" t="n">
        <v>315640.8698883099</v>
      </c>
      <c r="CG63" s="31" t="n">
        <v>166625.7215450885</v>
      </c>
      <c r="CH63" s="31" t="n">
        <v>658707.4911180413</v>
      </c>
      <c r="CI63" s="31" t="n">
        <v>114984.0322749998</v>
      </c>
      <c r="CJ63" s="31" t="n">
        <v>16686.38821617784</v>
      </c>
      <c r="CK63" s="31" t="n">
        <v>6069.693559331047</v>
      </c>
      <c r="CL63" s="31" t="n">
        <v>35974.23800732401</v>
      </c>
      <c r="CM63" s="31" t="n">
        <v>45254.83575820951</v>
      </c>
      <c r="CN63" s="31" t="n">
        <v>127426.8849215167</v>
      </c>
      <c r="CO63" s="31" t="n">
        <v>84927.94227356138</v>
      </c>
      <c r="CP63" s="31" t="n">
        <v>42419.02560173659</v>
      </c>
      <c r="CQ63" s="31" t="n">
        <v>766885.1888505507</v>
      </c>
      <c r="CR63" s="31" t="n">
        <v>286986.1295553944</v>
      </c>
      <c r="CS63" s="31" t="n">
        <v>7785.602467856414</v>
      </c>
      <c r="CT63" s="31" t="n">
        <v>7109.1112298605</v>
      </c>
      <c r="CU63" s="31" t="n">
        <v>919168.8588773059</v>
      </c>
      <c r="CV63" s="31" t="n">
        <v>384282.1237569309</v>
      </c>
      <c r="CW63" s="31" t="n">
        <v>128339.9742683065</v>
      </c>
      <c r="CX63" s="31" t="n">
        <v>47037.24424213906</v>
      </c>
      <c r="CY63" s="31" t="n">
        <v>355396.2689438053</v>
      </c>
      <c r="CZ63" s="31" t="n">
        <v>109042.2061101875</v>
      </c>
      <c r="DA63" s="31" t="n">
        <v>368756.3305199535</v>
      </c>
      <c r="DB63" s="31" t="n">
        <v>79861.4289451535</v>
      </c>
      <c r="DC63" s="31" t="n">
        <v>391962.759934882</v>
      </c>
      <c r="DD63" s="31" t="n">
        <v>25594.48955794569</v>
      </c>
      <c r="DE63" s="31" t="n">
        <v>0</v>
      </c>
      <c r="DF63" s="31">
        <f>SUM(C63:DE63)</f>
        <v/>
      </c>
      <c r="DG63" s="31" t="n">
        <v>0</v>
      </c>
      <c r="DH63" s="31" t="n">
        <v>0</v>
      </c>
      <c r="DI63" s="31" t="n">
        <v>0</v>
      </c>
      <c r="DJ63" s="31" t="n">
        <v>0</v>
      </c>
      <c r="DK63" s="31">
        <f>SUM(DG63:DJ63)</f>
        <v/>
      </c>
      <c r="DL63" s="31">
        <f>DF63+DK63</f>
        <v/>
      </c>
    </row>
    <row r="64">
      <c r="A64" s="28" t="inlineStr">
        <is>
          <t>291</t>
        </is>
      </c>
      <c r="B64" s="28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9" t="n">
        <v>4041082.591933811</v>
      </c>
      <c r="D64" s="29" t="n">
        <v>-47341.8417458784</v>
      </c>
      <c r="E64" s="29" t="n">
        <v>78.88796551308256</v>
      </c>
      <c r="F64" s="29" t="n">
        <v>346.6950150572567</v>
      </c>
      <c r="G64" s="29" t="n">
        <v>617.4639681049752</v>
      </c>
      <c r="H64" s="29" t="n">
        <v>599297.5048520262</v>
      </c>
      <c r="I64" s="29" t="n">
        <v>39.07915759384816</v>
      </c>
      <c r="J64" s="29" t="n">
        <v>3699682.305481967</v>
      </c>
      <c r="K64" s="29" t="n">
        <v>366957.4007122379</v>
      </c>
      <c r="L64" s="29" t="n">
        <v>26782.04954528141</v>
      </c>
      <c r="M64" s="29" t="n">
        <v>86284.07792390534</v>
      </c>
      <c r="N64" s="29" t="n">
        <v>208403.309618548</v>
      </c>
      <c r="O64" s="29" t="n">
        <v>96584.21354082187</v>
      </c>
      <c r="P64" s="29" t="n">
        <v>77739.57837682974</v>
      </c>
      <c r="Q64" s="29" t="n">
        <v>1400671.241511523</v>
      </c>
      <c r="R64" s="29" t="n">
        <v>126900.3440427446</v>
      </c>
      <c r="S64" s="29" t="n">
        <v>144062.0748378771</v>
      </c>
      <c r="T64" s="29" t="n">
        <v>46034.12179382519</v>
      </c>
      <c r="U64" s="29" t="n">
        <v>101369.2338340951</v>
      </c>
      <c r="V64" s="29" t="n">
        <v>127887.5930635015</v>
      </c>
      <c r="W64" s="29" t="n">
        <v>113220.9880188516</v>
      </c>
      <c r="X64" s="29" t="n">
        <v>20832.03501391983</v>
      </c>
      <c r="Y64" s="29" t="n">
        <v>261683.5280072488</v>
      </c>
      <c r="Z64" s="29" t="n">
        <v>57016.57357448639</v>
      </c>
      <c r="AA64" s="29" t="n">
        <v>44887.70678414967</v>
      </c>
      <c r="AB64" s="29" t="n">
        <v>100029.1625657157</v>
      </c>
      <c r="AC64" s="29" t="n">
        <v>240240.8743029711</v>
      </c>
      <c r="AD64" s="29" t="n">
        <v>35908.0876743401</v>
      </c>
      <c r="AE64" s="29" t="n">
        <v>206257.417526237</v>
      </c>
      <c r="AF64" s="29" t="n">
        <v>30927.20997237483</v>
      </c>
      <c r="AG64" s="29" t="n">
        <v>44784.17863404566</v>
      </c>
      <c r="AH64" s="29" t="n">
        <v>23346.91510334229</v>
      </c>
      <c r="AI64" s="29" t="n">
        <v>149015.8771441618</v>
      </c>
      <c r="AJ64" s="29" t="n">
        <v>354490.6362923666</v>
      </c>
      <c r="AK64" s="29" t="n">
        <v>43121.35882730036</v>
      </c>
      <c r="AL64" s="29" t="n">
        <v>114280.5283139325</v>
      </c>
      <c r="AM64" s="29" t="n">
        <v>-49299.06264204009</v>
      </c>
      <c r="AN64" s="29" t="n">
        <v>88473.53703132589</v>
      </c>
      <c r="AO64" s="29" t="n">
        <v>8966.500933879721</v>
      </c>
      <c r="AP64" s="29" t="n">
        <v>54232.59520011908</v>
      </c>
      <c r="AQ64" s="29" t="n">
        <v>319996.2615634656</v>
      </c>
      <c r="AR64" s="29" t="n">
        <v>26903.99084837674</v>
      </c>
      <c r="AS64" s="29" t="n">
        <v>116806.8874354138</v>
      </c>
      <c r="AT64" s="29" t="n">
        <v>44608.83791287254</v>
      </c>
      <c r="AU64" s="29" t="n">
        <v>756879.2424632722</v>
      </c>
      <c r="AV64" s="29" t="n">
        <v>875011.2791685933</v>
      </c>
      <c r="AW64" s="29" t="n">
        <v>83826.49874391624</v>
      </c>
      <c r="AX64" s="29" t="n">
        <v>201245.1696004673</v>
      </c>
      <c r="AY64" s="29" t="n">
        <v>244806.4739587441</v>
      </c>
      <c r="AZ64" s="29" t="n">
        <v>1191979.560743209</v>
      </c>
      <c r="BA64" s="29" t="n">
        <v>4143490.119169865</v>
      </c>
      <c r="BB64" s="29" t="n">
        <v>5529223.081124115</v>
      </c>
      <c r="BC64" s="29" t="n">
        <v>2447508.355235089</v>
      </c>
      <c r="BD64" s="29" t="n">
        <v>13326.41137808538</v>
      </c>
      <c r="BE64" s="29" t="n">
        <v>530549.593245751</v>
      </c>
      <c r="BF64" s="29" t="n">
        <v>43006.07960153184</v>
      </c>
      <c r="BG64" s="29" t="n">
        <v>189445.1537741394</v>
      </c>
      <c r="BH64" s="29" t="n">
        <v>254029.2815852104</v>
      </c>
      <c r="BI64" s="29" t="n">
        <v>40572.27123673125</v>
      </c>
      <c r="BJ64" s="29" t="n">
        <v>106988.046784492</v>
      </c>
      <c r="BK64" s="29" t="n">
        <v>7332050.470603054</v>
      </c>
      <c r="BL64" s="29" t="n">
        <v>1464298.641050478</v>
      </c>
      <c r="BM64" s="29" t="n">
        <v>114987.7485489249</v>
      </c>
      <c r="BN64" s="29" t="n">
        <v>68974.23872573608</v>
      </c>
      <c r="BO64" s="29" t="n">
        <v>618523.5755189146</v>
      </c>
      <c r="BP64" s="29" t="n">
        <v>3207290.586034908</v>
      </c>
      <c r="BQ64" s="29" t="n">
        <v>140904.2129945202</v>
      </c>
      <c r="BR64" s="29" t="n">
        <v>583878.8116399911</v>
      </c>
      <c r="BS64" s="29" t="n">
        <v>15569518.96471178</v>
      </c>
      <c r="BT64" s="29" t="n">
        <v>22810.08173365182</v>
      </c>
      <c r="BU64" s="29" t="n">
        <v>55509.28106793585</v>
      </c>
      <c r="BV64" s="29" t="n">
        <v>83940.61915825662</v>
      </c>
      <c r="BW64" s="29" t="n">
        <v>57504.52438866999</v>
      </c>
      <c r="BX64" s="29" t="n">
        <v>-4334.614162969394</v>
      </c>
      <c r="BY64" s="29" t="n">
        <v>202260.3440702648</v>
      </c>
      <c r="BZ64" s="29" t="n">
        <v>203472.4518983167</v>
      </c>
      <c r="CA64" s="29" t="n">
        <v>210163.7632236168</v>
      </c>
      <c r="CB64" s="29" t="n">
        <v>127526.0858767878</v>
      </c>
      <c r="CC64" s="29" t="n">
        <v>21961.58475517109</v>
      </c>
      <c r="CD64" s="29" t="n">
        <v>6542.271615871827</v>
      </c>
      <c r="CE64" s="29" t="n">
        <v>426081.299411323</v>
      </c>
      <c r="CF64" s="29" t="n">
        <v>696.7622200866042</v>
      </c>
      <c r="CG64" s="29" t="n">
        <v>71454.64697698959</v>
      </c>
      <c r="CH64" s="29" t="n">
        <v>706579.9439513829</v>
      </c>
      <c r="CI64" s="29" t="n">
        <v>621.1339537967715</v>
      </c>
      <c r="CJ64" s="29" t="n">
        <v>7312.690777790584</v>
      </c>
      <c r="CK64" s="29" t="n">
        <v>1362.365679606666</v>
      </c>
      <c r="CL64" s="29" t="n">
        <v>22420.2984510393</v>
      </c>
      <c r="CM64" s="29" t="n">
        <v>2985.061779118766</v>
      </c>
      <c r="CN64" s="29" t="n">
        <v>743737.5713079076</v>
      </c>
      <c r="CO64" s="29" t="n">
        <v>464574.1291514548</v>
      </c>
      <c r="CP64" s="29" t="n">
        <v>1283.009641284797</v>
      </c>
      <c r="CQ64" s="29" t="n">
        <v>197457.4296766779</v>
      </c>
      <c r="CR64" s="29" t="n">
        <v>-9758.787027814096</v>
      </c>
      <c r="CS64" s="29" t="n">
        <v>11922.17481547521</v>
      </c>
      <c r="CT64" s="29" t="n">
        <v>10886.25667891188</v>
      </c>
      <c r="CU64" s="29" t="n">
        <v>67050.68611539762</v>
      </c>
      <c r="CV64" s="29" t="n">
        <v>580788.9520102426</v>
      </c>
      <c r="CW64" s="29" t="n">
        <v>21693.26123657891</v>
      </c>
      <c r="CX64" s="29" t="n">
        <v>44703.9321628742</v>
      </c>
      <c r="CY64" s="29" t="n">
        <v>313050.8184372065</v>
      </c>
      <c r="CZ64" s="29" t="n">
        <v>166825.3764237738</v>
      </c>
      <c r="DA64" s="29" t="n">
        <v>9043.270986624379</v>
      </c>
      <c r="DB64" s="29" t="n">
        <v>25788.70295955366</v>
      </c>
      <c r="DC64" s="29" t="n">
        <v>-7981.827772094641</v>
      </c>
      <c r="DD64" s="29" t="n">
        <v>976.03157875636</v>
      </c>
      <c r="DE64" s="29" t="n">
        <v>0</v>
      </c>
      <c r="DF64" s="29">
        <f>SUM(C64:DE64)</f>
        <v/>
      </c>
      <c r="DG64" s="29" t="n">
        <v>0</v>
      </c>
      <c r="DH64" s="29" t="n">
        <v>0</v>
      </c>
      <c r="DI64" s="29" t="n">
        <v>0</v>
      </c>
      <c r="DJ64" s="29" t="n">
        <v>0</v>
      </c>
      <c r="DK64" s="29">
        <f>SUM(DG64:DJ64)</f>
        <v/>
      </c>
      <c r="DL64" s="29">
        <f>DF64+DK64</f>
        <v/>
      </c>
    </row>
    <row r="65">
      <c r="A65" s="30" t="inlineStr">
        <is>
          <t>292</t>
        </is>
      </c>
      <c r="B65" s="30" t="inlineStr">
        <is>
          <t>Fabricación de maquinaria de uso especial</t>
        </is>
      </c>
      <c r="C65" s="31" t="n">
        <v>-176678.7832798362</v>
      </c>
      <c r="D65" s="31" t="n">
        <v>-31585.50439436841</v>
      </c>
      <c r="E65" s="31" t="n">
        <v>3783.043687299517</v>
      </c>
      <c r="F65" s="31" t="n">
        <v>1628.355918290336</v>
      </c>
      <c r="G65" s="31" t="n">
        <v>290.2357953641757</v>
      </c>
      <c r="H65" s="31" t="n">
        <v>32420.11050283823</v>
      </c>
      <c r="I65" s="31" t="n">
        <v>23.90735343707533</v>
      </c>
      <c r="J65" s="31" t="n">
        <v>139451.5290637966</v>
      </c>
      <c r="K65" s="31" t="n">
        <v>274767.8112340633</v>
      </c>
      <c r="L65" s="31" t="n">
        <v>59538.68443113285</v>
      </c>
      <c r="M65" s="31" t="n">
        <v>59657.38902051259</v>
      </c>
      <c r="N65" s="31" t="n">
        <v>934.6859241168422</v>
      </c>
      <c r="O65" s="31" t="n">
        <v>592.1292544496657</v>
      </c>
      <c r="P65" s="31" t="n">
        <v>52009.68826777593</v>
      </c>
      <c r="Q65" s="31" t="n">
        <v>536366.8775620757</v>
      </c>
      <c r="R65" s="31" t="n">
        <v>41879.67516435959</v>
      </c>
      <c r="S65" s="31" t="n">
        <v>1226.333722703</v>
      </c>
      <c r="T65" s="31" t="n">
        <v>-8686.261613719216</v>
      </c>
      <c r="U65" s="31" t="n">
        <v>66217.32132517084</v>
      </c>
      <c r="V65" s="31" t="n">
        <v>6325.603018282494</v>
      </c>
      <c r="W65" s="31" t="n">
        <v>8574.35058831232</v>
      </c>
      <c r="X65" s="31" t="n">
        <v>791.7149103646989</v>
      </c>
      <c r="Y65" s="31" t="n">
        <v>-9844.372683000647</v>
      </c>
      <c r="Z65" s="31" t="n">
        <v>-192.9352667311127</v>
      </c>
      <c r="AA65" s="31" t="n">
        <v>-1858.189052797203</v>
      </c>
      <c r="AB65" s="31" t="n">
        <v>11957.33055712738</v>
      </c>
      <c r="AC65" s="31" t="n">
        <v>124223.6472340955</v>
      </c>
      <c r="AD65" s="31" t="n">
        <v>2439.507818917724</v>
      </c>
      <c r="AE65" s="31" t="n">
        <v>11137.99255944997</v>
      </c>
      <c r="AF65" s="31" t="n">
        <v>486598.2285290108</v>
      </c>
      <c r="AG65" s="31" t="n">
        <v>7947.123376936359</v>
      </c>
      <c r="AH65" s="31" t="n">
        <v>9572.155371068027</v>
      </c>
      <c r="AI65" s="31" t="n">
        <v>9896.48412203019</v>
      </c>
      <c r="AJ65" s="31" t="n">
        <v>20947.84713881788</v>
      </c>
      <c r="AK65" s="31" t="n">
        <v>6437.443696053637</v>
      </c>
      <c r="AL65" s="31" t="n">
        <v>13916.43691075322</v>
      </c>
      <c r="AM65" s="31" t="n">
        <v>914226.7757133737</v>
      </c>
      <c r="AN65" s="31" t="n">
        <v>-3012.130501094502</v>
      </c>
      <c r="AO65" s="31" t="n">
        <v>-93.31703368818876</v>
      </c>
      <c r="AP65" s="31" t="n">
        <v>467.9039558640309</v>
      </c>
      <c r="AQ65" s="31" t="n">
        <v>1172152.952387077</v>
      </c>
      <c r="AR65" s="31" t="n">
        <v>21348.18157820635</v>
      </c>
      <c r="AS65" s="31" t="n">
        <v>12122.3687014611</v>
      </c>
      <c r="AT65" s="31" t="n">
        <v>3098.718463319969</v>
      </c>
      <c r="AU65" s="31" t="n">
        <v>33987.28055984755</v>
      </c>
      <c r="AV65" s="31" t="n">
        <v>64955.19678666026</v>
      </c>
      <c r="AW65" s="31" t="n">
        <v>4024.968251938264</v>
      </c>
      <c r="AX65" s="31" t="n">
        <v>31644.55489740737</v>
      </c>
      <c r="AY65" s="31" t="n">
        <v>17888.52846945044</v>
      </c>
      <c r="AZ65" s="31" t="n">
        <v>67255.97093997036</v>
      </c>
      <c r="BA65" s="31" t="n">
        <v>394954.4681087938</v>
      </c>
      <c r="BB65" s="31" t="n">
        <v>1111613.781063453</v>
      </c>
      <c r="BC65" s="31" t="n">
        <v>102777.5964103706</v>
      </c>
      <c r="BD65" s="31" t="n">
        <v>376920.0149591118</v>
      </c>
      <c r="BE65" s="31" t="n">
        <v>15106.18040994918</v>
      </c>
      <c r="BF65" s="31" t="n">
        <v>853.1281575726339</v>
      </c>
      <c r="BG65" s="31" t="n">
        <v>7265.362882823924</v>
      </c>
      <c r="BH65" s="31" t="n">
        <v>7099.826964900864</v>
      </c>
      <c r="BI65" s="31" t="n">
        <v>4368.76173188545</v>
      </c>
      <c r="BJ65" s="31" t="n">
        <v>4075.572383309021</v>
      </c>
      <c r="BK65" s="31" t="n">
        <v>421128.3928748498</v>
      </c>
      <c r="BL65" s="31" t="n">
        <v>131229.8655051882</v>
      </c>
      <c r="BM65" s="31" t="n">
        <v>11626.56928044482</v>
      </c>
      <c r="BN65" s="31" t="n">
        <v>13338.53884578347</v>
      </c>
      <c r="BO65" s="31" t="n">
        <v>90700.86409838236</v>
      </c>
      <c r="BP65" s="31" t="n">
        <v>66390.20060030412</v>
      </c>
      <c r="BQ65" s="31" t="n">
        <v>4566.088084623682</v>
      </c>
      <c r="BR65" s="31" t="n">
        <v>228560.5950687313</v>
      </c>
      <c r="BS65" s="31" t="n">
        <v>5545519.714549241</v>
      </c>
      <c r="BT65" s="31" t="n">
        <v>300311.3322764509</v>
      </c>
      <c r="BU65" s="31" t="n">
        <v>695581.718645777</v>
      </c>
      <c r="BV65" s="31" t="n">
        <v>232590.4053831549</v>
      </c>
      <c r="BW65" s="31" t="n">
        <v>7030.044394693021</v>
      </c>
      <c r="BX65" s="31" t="n">
        <v>125331.7081422631</v>
      </c>
      <c r="BY65" s="31" t="n">
        <v>65155.12346164096</v>
      </c>
      <c r="BZ65" s="31" t="n">
        <v>11332.53621525295</v>
      </c>
      <c r="CA65" s="31" t="n">
        <v>15101.56551360648</v>
      </c>
      <c r="CB65" s="31" t="n">
        <v>69237.70990648096</v>
      </c>
      <c r="CC65" s="31" t="n">
        <v>1214.96304260384</v>
      </c>
      <c r="CD65" s="31" t="n">
        <v>8599.208986846965</v>
      </c>
      <c r="CE65" s="31" t="n">
        <v>24617.40088436824</v>
      </c>
      <c r="CF65" s="31" t="n">
        <v>3071.046231291866</v>
      </c>
      <c r="CG65" s="31" t="n">
        <v>-3595.33341359219</v>
      </c>
      <c r="CH65" s="31" t="n">
        <v>-363302.3068061559</v>
      </c>
      <c r="CI65" s="31" t="n">
        <v>2329.487219147441</v>
      </c>
      <c r="CJ65" s="31" t="n">
        <v>4076.882663977742</v>
      </c>
      <c r="CK65" s="31" t="n">
        <v>1943.405666887769</v>
      </c>
      <c r="CL65" s="31" t="n">
        <v>2853.730146707785</v>
      </c>
      <c r="CM65" s="31" t="n">
        <v>15348.44030761639</v>
      </c>
      <c r="CN65" s="31" t="n">
        <v>31978.96219778906</v>
      </c>
      <c r="CO65" s="31" t="n">
        <v>19582.21080057639</v>
      </c>
      <c r="CP65" s="31" t="n">
        <v>18991.01347127203</v>
      </c>
      <c r="CQ65" s="31" t="n">
        <v>114929.5506810089</v>
      </c>
      <c r="CR65" s="31" t="n">
        <v>36823.94289753081</v>
      </c>
      <c r="CS65" s="31" t="n">
        <v>5536.455249283553</v>
      </c>
      <c r="CT65" s="31" t="n">
        <v>5055.39248231594</v>
      </c>
      <c r="CU65" s="31" t="n">
        <v>336250.0777195801</v>
      </c>
      <c r="CV65" s="31" t="n">
        <v>270530.2847519681</v>
      </c>
      <c r="CW65" s="31" t="n">
        <v>49190.68363229845</v>
      </c>
      <c r="CX65" s="31" t="n">
        <v>2680.509099395731</v>
      </c>
      <c r="CY65" s="31" t="n">
        <v>102532.7509267495</v>
      </c>
      <c r="CZ65" s="31" t="n">
        <v>6309.772745160956</v>
      </c>
      <c r="DA65" s="31" t="n">
        <v>153824.9638525442</v>
      </c>
      <c r="DB65" s="31" t="n">
        <v>34265.50114415173</v>
      </c>
      <c r="DC65" s="31" t="n">
        <v>-33956.30967542634</v>
      </c>
      <c r="DD65" s="31" t="n">
        <v>15732.68399033207</v>
      </c>
      <c r="DE65" s="31" t="n">
        <v>0</v>
      </c>
      <c r="DF65" s="31">
        <f>SUM(C65:DE65)</f>
        <v/>
      </c>
      <c r="DG65" s="31" t="n">
        <v>0</v>
      </c>
      <c r="DH65" s="31" t="n">
        <v>0</v>
      </c>
      <c r="DI65" s="31" t="n">
        <v>0</v>
      </c>
      <c r="DJ65" s="31" t="n">
        <v>0</v>
      </c>
      <c r="DK65" s="31">
        <f>SUM(DG65:DJ65)</f>
        <v/>
      </c>
      <c r="DL65" s="31">
        <f>DF65+DK65</f>
        <v/>
      </c>
    </row>
    <row r="66">
      <c r="A66" s="28" t="inlineStr">
        <is>
          <t>29300</t>
        </is>
      </c>
      <c r="B66" s="28" t="inlineStr">
        <is>
          <t>29300 - Fabricación de aparatos de uso doméstico n.c.p.</t>
        </is>
      </c>
      <c r="C66" s="29" t="n">
        <v>-436526.2758710871</v>
      </c>
      <c r="D66" s="29" t="n">
        <v>-47818.07814886391</v>
      </c>
      <c r="E66" s="29" t="n">
        <v>2.586157821218947</v>
      </c>
      <c r="F66" s="29" t="n">
        <v>63.10977795849694</v>
      </c>
      <c r="G66" s="29" t="n">
        <v>20.2421150051176</v>
      </c>
      <c r="H66" s="29" t="n">
        <v>16508.49080975529</v>
      </c>
      <c r="I66" s="29" t="n">
        <v>1.25631166159317</v>
      </c>
      <c r="J66" s="29" t="n">
        <v>126144.2110091855</v>
      </c>
      <c r="K66" s="29" t="n">
        <v>104001.156866688</v>
      </c>
      <c r="L66" s="29" t="n">
        <v>496.9750434483586</v>
      </c>
      <c r="M66" s="29" t="n">
        <v>3020.273812507402</v>
      </c>
      <c r="N66" s="29" t="n">
        <v>-7628.886580582009</v>
      </c>
      <c r="O66" s="29" t="n">
        <v>5963.604199862364</v>
      </c>
      <c r="P66" s="29" t="n">
        <v>14378.37376343404</v>
      </c>
      <c r="Q66" s="29" t="n">
        <v>46117.08564976598</v>
      </c>
      <c r="R66" s="29" t="n">
        <v>9416.765803306609</v>
      </c>
      <c r="S66" s="29" t="n">
        <v>4454.84182338963</v>
      </c>
      <c r="T66" s="29" t="n">
        <v>-14459.64982784734</v>
      </c>
      <c r="U66" s="29" t="n">
        <v>4470.335897712174</v>
      </c>
      <c r="V66" s="29" t="n">
        <v>13406.54802723624</v>
      </c>
      <c r="W66" s="29" t="n">
        <v>10221.8648102143</v>
      </c>
      <c r="X66" s="29" t="n">
        <v>320.1627312922621</v>
      </c>
      <c r="Y66" s="29" t="n">
        <v>-21410.31981781939</v>
      </c>
      <c r="Z66" s="29" t="n">
        <v>-1526.65652066061</v>
      </c>
      <c r="AA66" s="29" t="n">
        <v>-3055.31215299988</v>
      </c>
      <c r="AB66" s="29" t="n">
        <v>13129.20676337998</v>
      </c>
      <c r="AC66" s="29" t="n">
        <v>31347.04420041239</v>
      </c>
      <c r="AD66" s="29" t="n">
        <v>4872.31151826759</v>
      </c>
      <c r="AE66" s="29" t="n">
        <v>23724.56547297314</v>
      </c>
      <c r="AF66" s="29" t="n">
        <v>-975.5723220289929</v>
      </c>
      <c r="AG66" s="29" t="n">
        <v>2955.517789035445</v>
      </c>
      <c r="AH66" s="29" t="n">
        <v>2534.348037127949</v>
      </c>
      <c r="AI66" s="29" t="n">
        <v>20683.11045619913</v>
      </c>
      <c r="AJ66" s="29" t="n">
        <v>40228.82250562228</v>
      </c>
      <c r="AK66" s="29" t="n">
        <v>-388.2370521179894</v>
      </c>
      <c r="AL66" s="29" t="n">
        <v>11875.66797766348</v>
      </c>
      <c r="AM66" s="29" t="n">
        <v>93366.88815786676</v>
      </c>
      <c r="AN66" s="29" t="n">
        <v>-2669.384129540931</v>
      </c>
      <c r="AO66" s="29" t="n">
        <v>-2008.935123017388</v>
      </c>
      <c r="AP66" s="29" t="n">
        <v>-262.1035047441043</v>
      </c>
      <c r="AQ66" s="29" t="n">
        <v>295534.597326659</v>
      </c>
      <c r="AR66" s="29" t="n">
        <v>10538.26256893172</v>
      </c>
      <c r="AS66" s="29" t="n">
        <v>1806.721968594905</v>
      </c>
      <c r="AT66" s="29" t="n">
        <v>5926.419446636159</v>
      </c>
      <c r="AU66" s="29" t="n">
        <v>49545.73176711622</v>
      </c>
      <c r="AV66" s="29" t="n">
        <v>97591.21056268994</v>
      </c>
      <c r="AW66" s="29" t="n">
        <v>8902.496059747442</v>
      </c>
      <c r="AX66" s="29" t="n">
        <v>30969.16087970349</v>
      </c>
      <c r="AY66" s="29" t="n">
        <v>7193.782524870914</v>
      </c>
      <c r="AZ66" s="29" t="n">
        <v>32189.36456407917</v>
      </c>
      <c r="BA66" s="29" t="n">
        <v>382563.4956169724</v>
      </c>
      <c r="BB66" s="29" t="n">
        <v>87117.21050989933</v>
      </c>
      <c r="BC66" s="29" t="n">
        <v>2071163.539791141</v>
      </c>
      <c r="BD66" s="29" t="n">
        <v>87040.87461243071</v>
      </c>
      <c r="BE66" s="29" t="n">
        <v>6593.496526539568</v>
      </c>
      <c r="BF66" s="29" t="n">
        <v>1536.214006122325</v>
      </c>
      <c r="BG66" s="29" t="n">
        <v>8248.712416847631</v>
      </c>
      <c r="BH66" s="29" t="n">
        <v>13500.32520517967</v>
      </c>
      <c r="BI66" s="29" t="n">
        <v>200955.9583127001</v>
      </c>
      <c r="BJ66" s="29" t="n">
        <v>62544.20902983302</v>
      </c>
      <c r="BK66" s="29" t="n">
        <v>315918.7887496452</v>
      </c>
      <c r="BL66" s="29" t="n">
        <v>128926.0203615395</v>
      </c>
      <c r="BM66" s="29" t="n">
        <v>8234.002237380582</v>
      </c>
      <c r="BN66" s="29" t="n">
        <v>13680.60132204284</v>
      </c>
      <c r="BO66" s="29" t="n">
        <v>17317.93432071614</v>
      </c>
      <c r="BP66" s="29" t="n">
        <v>2585.89666820707</v>
      </c>
      <c r="BQ66" s="29" t="n">
        <v>1683.530579237592</v>
      </c>
      <c r="BR66" s="29" t="n">
        <v>73708.49321086558</v>
      </c>
      <c r="BS66" s="29" t="n">
        <v>421081.5244852924</v>
      </c>
      <c r="BT66" s="29" t="n">
        <v>33044.41053331346</v>
      </c>
      <c r="BU66" s="29" t="n">
        <v>36079.64743516202</v>
      </c>
      <c r="BV66" s="29" t="n">
        <v>32318.57794046178</v>
      </c>
      <c r="BW66" s="29" t="n">
        <v>39954.67790639686</v>
      </c>
      <c r="BX66" s="29" t="n">
        <v>-2626.048226740629</v>
      </c>
      <c r="BY66" s="29" t="n">
        <v>17320.01416629264</v>
      </c>
      <c r="BZ66" s="29" t="n">
        <v>27068.74719590128</v>
      </c>
      <c r="CA66" s="29" t="n">
        <v>1568.159636140128</v>
      </c>
      <c r="CB66" s="29" t="n">
        <v>29507.62497940888</v>
      </c>
      <c r="CC66" s="29" t="n">
        <v>2832.398591424465</v>
      </c>
      <c r="CD66" s="29" t="n">
        <v>4979.445371513028</v>
      </c>
      <c r="CE66" s="29" t="n">
        <v>50676.98166640938</v>
      </c>
      <c r="CF66" s="29" t="n">
        <v>2458.830927850644</v>
      </c>
      <c r="CG66" s="29" t="n">
        <v>-4233.326724324246</v>
      </c>
      <c r="CH66" s="29" t="n">
        <v>-533759.9024858722</v>
      </c>
      <c r="CI66" s="29" t="n">
        <v>508.3468571767571</v>
      </c>
      <c r="CJ66" s="29" t="n">
        <v>1077.878035434394</v>
      </c>
      <c r="CK66" s="29" t="n">
        <v>135.8510975927418</v>
      </c>
      <c r="CL66" s="29" t="n">
        <v>3455.275590579159</v>
      </c>
      <c r="CM66" s="29" t="n">
        <v>1026.383411274882</v>
      </c>
      <c r="CN66" s="29" t="n">
        <v>341479.653493722</v>
      </c>
      <c r="CO66" s="29" t="n">
        <v>213394.7912759831</v>
      </c>
      <c r="CP66" s="29" t="n">
        <v>928.8298902490213</v>
      </c>
      <c r="CQ66" s="29" t="n">
        <v>18286.44225110778</v>
      </c>
      <c r="CR66" s="29" t="n">
        <v>-38016.64750433763</v>
      </c>
      <c r="CS66" s="29" t="n">
        <v>571.2928135902589</v>
      </c>
      <c r="CT66" s="29" t="n">
        <v>521.6531634386564</v>
      </c>
      <c r="CU66" s="29" t="n">
        <v>-4978.755690149023</v>
      </c>
      <c r="CV66" s="29" t="n">
        <v>29200.74247515823</v>
      </c>
      <c r="CW66" s="29" t="n">
        <v>282277.1542076996</v>
      </c>
      <c r="CX66" s="29" t="n">
        <v>1673.872725024034</v>
      </c>
      <c r="CY66" s="29" t="n">
        <v>36621.32760789022</v>
      </c>
      <c r="CZ66" s="29" t="n">
        <v>4167.514927202978</v>
      </c>
      <c r="DA66" s="29" t="n">
        <v>7192.795521006472</v>
      </c>
      <c r="DB66" s="29" t="n">
        <v>2163.882761704959</v>
      </c>
      <c r="DC66" s="29" t="n">
        <v>-94606.34497809687</v>
      </c>
      <c r="DD66" s="29" t="n">
        <v>687.4371133109086</v>
      </c>
      <c r="DE66" s="29" t="n">
        <v>0</v>
      </c>
      <c r="DF66" s="29">
        <f>SUM(C66:DE66)</f>
        <v/>
      </c>
      <c r="DG66" s="29" t="n">
        <v>0</v>
      </c>
      <c r="DH66" s="29" t="n">
        <v>0</v>
      </c>
      <c r="DI66" s="29" t="n">
        <v>0</v>
      </c>
      <c r="DJ66" s="29" t="n">
        <v>0</v>
      </c>
      <c r="DK66" s="29">
        <f>SUM(DG66:DJ66)</f>
        <v/>
      </c>
      <c r="DL66" s="29">
        <f>DF66+DK66</f>
        <v/>
      </c>
    </row>
    <row r="67">
      <c r="A67" s="30" t="inlineStr">
        <is>
          <t>30000</t>
        </is>
      </c>
      <c r="B67" s="30" t="inlineStr">
        <is>
          <t>30000 - Fabricación de maquinaria de oficina, contabilidad e informática</t>
        </is>
      </c>
      <c r="C67" s="31" t="n">
        <v>90.70307469276663</v>
      </c>
      <c r="D67" s="31" t="n">
        <v>8.530843684186619</v>
      </c>
      <c r="E67" s="31" t="n">
        <v>0.3255243282006067</v>
      </c>
      <c r="F67" s="31" t="n">
        <v>6.055595533263421</v>
      </c>
      <c r="G67" s="31" t="n">
        <v>2.54791135882595</v>
      </c>
      <c r="H67" s="31" t="n">
        <v>3394.586625319104</v>
      </c>
      <c r="I67" s="31" t="n">
        <v>0.1756799839960359</v>
      </c>
      <c r="J67" s="31" t="n">
        <v>142057.1333887428</v>
      </c>
      <c r="K67" s="31" t="n">
        <v>93944.42693425991</v>
      </c>
      <c r="L67" s="31" t="n">
        <v>1067.806099780562</v>
      </c>
      <c r="M67" s="31" t="n">
        <v>6052.504268331605</v>
      </c>
      <c r="N67" s="31" t="n">
        <v>14791.23903650783</v>
      </c>
      <c r="O67" s="31" t="n">
        <v>7233.447460965041</v>
      </c>
      <c r="P67" s="31" t="n">
        <v>16091.9633076859</v>
      </c>
      <c r="Q67" s="31" t="n">
        <v>12564.46093033576</v>
      </c>
      <c r="R67" s="31" t="n">
        <v>41391.76060941115</v>
      </c>
      <c r="S67" s="31" t="n">
        <v>7817.088973002099</v>
      </c>
      <c r="T67" s="31" t="n">
        <v>5469.319043056425</v>
      </c>
      <c r="U67" s="31" t="n">
        <v>15336.03785755155</v>
      </c>
      <c r="V67" s="31" t="n">
        <v>3162.017035819463</v>
      </c>
      <c r="W67" s="31" t="n">
        <v>15140.92934937749</v>
      </c>
      <c r="X67" s="31" t="n">
        <v>2670.930602523153</v>
      </c>
      <c r="Y67" s="31" t="n">
        <v>20862.57830614058</v>
      </c>
      <c r="Z67" s="31" t="n">
        <v>9.876728953225069</v>
      </c>
      <c r="AA67" s="31" t="n">
        <v>8244.346400357203</v>
      </c>
      <c r="AB67" s="31" t="n">
        <v>638.6156779226574</v>
      </c>
      <c r="AC67" s="31" t="n">
        <v>14163.34316848238</v>
      </c>
      <c r="AD67" s="31" t="n">
        <v>16353.20143138663</v>
      </c>
      <c r="AE67" s="31" t="n">
        <v>18773.12973948874</v>
      </c>
      <c r="AF67" s="31" t="n">
        <v>18197.45237585411</v>
      </c>
      <c r="AG67" s="31" t="n">
        <v>7470.76947978962</v>
      </c>
      <c r="AH67" s="31" t="n">
        <v>5077.618376413801</v>
      </c>
      <c r="AI67" s="31" t="n">
        <v>9654.541805614133</v>
      </c>
      <c r="AJ67" s="31" t="n">
        <v>24271.72135552451</v>
      </c>
      <c r="AK67" s="31" t="n">
        <v>25257.57540214131</v>
      </c>
      <c r="AL67" s="31" t="n">
        <v>36536.50213342287</v>
      </c>
      <c r="AM67" s="31" t="n">
        <v>201708.1444027769</v>
      </c>
      <c r="AN67" s="31" t="n">
        <v>175101.7695512857</v>
      </c>
      <c r="AO67" s="31" t="n">
        <v>2091.549048719618</v>
      </c>
      <c r="AP67" s="31" t="n">
        <v>26909.42994524593</v>
      </c>
      <c r="AQ67" s="31" t="n">
        <v>134905.6532538174</v>
      </c>
      <c r="AR67" s="31" t="n">
        <v>12066.80693002953</v>
      </c>
      <c r="AS67" s="31" t="n">
        <v>51205.92287991287</v>
      </c>
      <c r="AT67" s="31" t="n">
        <v>2640.035763816715</v>
      </c>
      <c r="AU67" s="31" t="n">
        <v>46925.63911968505</v>
      </c>
      <c r="AV67" s="31" t="n">
        <v>110960.5871662482</v>
      </c>
      <c r="AW67" s="31" t="n">
        <v>630.9213059379323</v>
      </c>
      <c r="AX67" s="31" t="n">
        <v>102007.209405378</v>
      </c>
      <c r="AY67" s="31" t="n">
        <v>18919.19340558122</v>
      </c>
      <c r="AZ67" s="31" t="n">
        <v>60355.71813037047</v>
      </c>
      <c r="BA67" s="31" t="n">
        <v>42651.83151627971</v>
      </c>
      <c r="BB67" s="31" t="n">
        <v>17370.76848606594</v>
      </c>
      <c r="BC67" s="31" t="n">
        <v>8264.522239251382</v>
      </c>
      <c r="BD67" s="31" t="n">
        <v>297405.4607221779</v>
      </c>
      <c r="BE67" s="31" t="n">
        <v>13822.46044614271</v>
      </c>
      <c r="BF67" s="31" t="n">
        <v>1486.592776344504</v>
      </c>
      <c r="BG67" s="31" t="n">
        <v>8182.292393016542</v>
      </c>
      <c r="BH67" s="31" t="n">
        <v>25589.49954701775</v>
      </c>
      <c r="BI67" s="31" t="n">
        <v>399.7166404323295</v>
      </c>
      <c r="BJ67" s="31" t="n">
        <v>50343.07479759565</v>
      </c>
      <c r="BK67" s="31" t="n">
        <v>10356.2644719692</v>
      </c>
      <c r="BL67" s="31" t="n">
        <v>32322.9485344878</v>
      </c>
      <c r="BM67" s="31" t="n">
        <v>8761.228544918475</v>
      </c>
      <c r="BN67" s="31" t="n">
        <v>27243.33956644275</v>
      </c>
      <c r="BO67" s="31" t="n">
        <v>292114.7017344148</v>
      </c>
      <c r="BP67" s="31" t="n">
        <v>24539.28680012948</v>
      </c>
      <c r="BQ67" s="31" t="n">
        <v>8.233891739795977</v>
      </c>
      <c r="BR67" s="31" t="n">
        <v>5437.755142086525</v>
      </c>
      <c r="BS67" s="31" t="n">
        <v>449542.6782745647</v>
      </c>
      <c r="BT67" s="31" t="n">
        <v>336130.5012444082</v>
      </c>
      <c r="BU67" s="31" t="n">
        <v>452454.0895535898</v>
      </c>
      <c r="BV67" s="31" t="n">
        <v>659138.0716168829</v>
      </c>
      <c r="BW67" s="31" t="n">
        <v>3.147547684999772</v>
      </c>
      <c r="BX67" s="31" t="n">
        <v>35409.16061976919</v>
      </c>
      <c r="BY67" s="31" t="n">
        <v>77866.02454592727</v>
      </c>
      <c r="BZ67" s="31" t="n">
        <v>2.336866322270244</v>
      </c>
      <c r="CA67" s="31" t="n">
        <v>72.33725023811124</v>
      </c>
      <c r="CB67" s="31" t="n">
        <v>34676.68223985477</v>
      </c>
      <c r="CC67" s="31" t="n">
        <v>0.2556193038917063</v>
      </c>
      <c r="CD67" s="31" t="n">
        <v>27.96644153465792</v>
      </c>
      <c r="CE67" s="31" t="n">
        <v>14.49701681085025</v>
      </c>
      <c r="CF67" s="31" t="n">
        <v>13237.33827319463</v>
      </c>
      <c r="CG67" s="31" t="n">
        <v>59215.11454060098</v>
      </c>
      <c r="CH67" s="31" t="n">
        <v>13415.65626290433</v>
      </c>
      <c r="CI67" s="31" t="n">
        <v>61786.21933803878</v>
      </c>
      <c r="CJ67" s="31" t="n">
        <v>189063.1898264056</v>
      </c>
      <c r="CK67" s="31" t="n">
        <v>44540.97945396444</v>
      </c>
      <c r="CL67" s="31" t="n">
        <v>251405.4075703518</v>
      </c>
      <c r="CM67" s="31" t="n">
        <v>96904.99866147041</v>
      </c>
      <c r="CN67" s="31" t="n">
        <v>59.4790320235151</v>
      </c>
      <c r="CO67" s="31" t="n">
        <v>37.07885073367537</v>
      </c>
      <c r="CP67" s="31" t="n">
        <v>3.064320309746181</v>
      </c>
      <c r="CQ67" s="31" t="n">
        <v>398225.4629082679</v>
      </c>
      <c r="CR67" s="31" t="n">
        <v>975192.8499329863</v>
      </c>
      <c r="CS67" s="31" t="n">
        <v>74152.51092944975</v>
      </c>
      <c r="CT67" s="31" t="n">
        <v>67709.39697310857</v>
      </c>
      <c r="CU67" s="31" t="n">
        <v>706697.4617005297</v>
      </c>
      <c r="CV67" s="31" t="n">
        <v>2139250.287393372</v>
      </c>
      <c r="CW67" s="31" t="n">
        <v>525466.2290461122</v>
      </c>
      <c r="CX67" s="31" t="n">
        <v>70292.50637847498</v>
      </c>
      <c r="CY67" s="31" t="n">
        <v>789477.8850915161</v>
      </c>
      <c r="CZ67" s="31" t="n">
        <v>138210.9992586063</v>
      </c>
      <c r="DA67" s="31" t="n">
        <v>36416.04796520774</v>
      </c>
      <c r="DB67" s="31" t="n">
        <v>75990.43966498754</v>
      </c>
      <c r="DC67" s="31" t="n">
        <v>42496.39425859277</v>
      </c>
      <c r="DD67" s="31" t="n">
        <v>3314.523261155632</v>
      </c>
      <c r="DE67" s="31" t="n">
        <v>0</v>
      </c>
      <c r="DF67" s="31">
        <f>SUM(C67:DE67)</f>
        <v/>
      </c>
      <c r="DG67" s="31" t="n">
        <v>0</v>
      </c>
      <c r="DH67" s="31" t="n">
        <v>0</v>
      </c>
      <c r="DI67" s="31" t="n">
        <v>0</v>
      </c>
      <c r="DJ67" s="31" t="n">
        <v>0</v>
      </c>
      <c r="DK67" s="31">
        <f>SUM(DG67:DJ67)</f>
        <v/>
      </c>
      <c r="DL67" s="31">
        <f>DF67+DK67</f>
        <v/>
      </c>
    </row>
    <row r="68">
      <c r="A68" s="28" t="inlineStr">
        <is>
          <t>311/12</t>
        </is>
      </c>
      <c r="B68" s="28" t="inlineStr">
        <is>
          <t>31100 - Fabricación de motores, generadores y transformadores eléctricos. 31200 - Fabricación de aparatos de distribución y control de la energía eléctrica</t>
        </is>
      </c>
      <c r="C68" s="29" t="n">
        <v>766416.996929239</v>
      </c>
      <c r="D68" s="29" t="n">
        <v>-41191.50769263583</v>
      </c>
      <c r="E68" s="29" t="n">
        <v>82.37563738051294</v>
      </c>
      <c r="F68" s="29" t="n">
        <v>655.2112905018674</v>
      </c>
      <c r="G68" s="29" t="n">
        <v>644.7623233953587</v>
      </c>
      <c r="H68" s="29" t="n">
        <v>252859.8471760065</v>
      </c>
      <c r="I68" s="29" t="n">
        <v>39.08241402972595</v>
      </c>
      <c r="J68" s="29" t="n">
        <v>181692.0395196435</v>
      </c>
      <c r="K68" s="29" t="n">
        <v>6990.360314690801</v>
      </c>
      <c r="L68" s="29" t="n">
        <v>8991.224541750677</v>
      </c>
      <c r="M68" s="29" t="n">
        <v>48985.43055251526</v>
      </c>
      <c r="N68" s="29" t="n">
        <v>613911.0042043912</v>
      </c>
      <c r="O68" s="29" t="n">
        <v>-7075.445866493509</v>
      </c>
      <c r="P68" s="29" t="n">
        <v>243570.8459750061</v>
      </c>
      <c r="Q68" s="29" t="n">
        <v>1196684.806281391</v>
      </c>
      <c r="R68" s="29" t="n">
        <v>1360810.360280739</v>
      </c>
      <c r="S68" s="29" t="n">
        <v>680778.8285849283</v>
      </c>
      <c r="T68" s="29" t="n">
        <v>210158.6573792779</v>
      </c>
      <c r="U68" s="29" t="n">
        <v>696998.6064156315</v>
      </c>
      <c r="V68" s="29" t="n">
        <v>293319.3565424608</v>
      </c>
      <c r="W68" s="29" t="n">
        <v>164588.3438566771</v>
      </c>
      <c r="X68" s="29" t="n">
        <v>43455.41089763185</v>
      </c>
      <c r="Y68" s="29" t="n">
        <v>544164.0626325347</v>
      </c>
      <c r="Z68" s="29" t="n">
        <v>58220.60375035914</v>
      </c>
      <c r="AA68" s="29" t="n">
        <v>310749.3859606102</v>
      </c>
      <c r="AB68" s="29" t="n">
        <v>548139.4787027639</v>
      </c>
      <c r="AC68" s="29" t="n">
        <v>848350.591166025</v>
      </c>
      <c r="AD68" s="29" t="n">
        <v>88279.63758761193</v>
      </c>
      <c r="AE68" s="29" t="n">
        <v>207026.3783525443</v>
      </c>
      <c r="AF68" s="29" t="n">
        <v>-3632.815335799692</v>
      </c>
      <c r="AG68" s="29" t="n">
        <v>5120.325650986849</v>
      </c>
      <c r="AH68" s="29" t="n">
        <v>146725.8781357908</v>
      </c>
      <c r="AI68" s="29" t="n">
        <v>300975.0278708502</v>
      </c>
      <c r="AJ68" s="29" t="n">
        <v>358552.6891433421</v>
      </c>
      <c r="AK68" s="29" t="n">
        <v>108591.7739680683</v>
      </c>
      <c r="AL68" s="29" t="n">
        <v>79575.76070916011</v>
      </c>
      <c r="AM68" s="29" t="n">
        <v>1309640.701899393</v>
      </c>
      <c r="AN68" s="29" t="n">
        <v>476949.3952677363</v>
      </c>
      <c r="AO68" s="29" t="n">
        <v>62641.45353079047</v>
      </c>
      <c r="AP68" s="29" t="n">
        <v>64180.95728170122</v>
      </c>
      <c r="AQ68" s="29" t="n">
        <v>851941.658789314</v>
      </c>
      <c r="AR68" s="29" t="n">
        <v>20933.8147334194</v>
      </c>
      <c r="AS68" s="29" t="n">
        <v>172787.263866876</v>
      </c>
      <c r="AT68" s="29" t="n">
        <v>52230.29397819751</v>
      </c>
      <c r="AU68" s="29" t="n">
        <v>897567.2942265442</v>
      </c>
      <c r="AV68" s="29" t="n">
        <v>1132428.152573364</v>
      </c>
      <c r="AW68" s="29" t="n">
        <v>46447.94952159629</v>
      </c>
      <c r="AX68" s="29" t="n">
        <v>55368.83419710578</v>
      </c>
      <c r="AY68" s="29" t="n">
        <v>262318.6199672712</v>
      </c>
      <c r="AZ68" s="29" t="n">
        <v>450307.008219739</v>
      </c>
      <c r="BA68" s="29" t="n">
        <v>1611525.559544036</v>
      </c>
      <c r="BB68" s="29" t="n">
        <v>859814.0779572322</v>
      </c>
      <c r="BC68" s="29" t="n">
        <v>1751035.449604633</v>
      </c>
      <c r="BD68" s="29" t="n">
        <v>9653.034604996927</v>
      </c>
      <c r="BE68" s="29" t="n">
        <v>3255544.110882706</v>
      </c>
      <c r="BF68" s="29" t="n">
        <v>194736.210154463</v>
      </c>
      <c r="BG68" s="29" t="n">
        <v>654934.524190673</v>
      </c>
      <c r="BH68" s="29" t="n">
        <v>2720425.624169701</v>
      </c>
      <c r="BI68" s="29" t="n">
        <v>1401854.910292424</v>
      </c>
      <c r="BJ68" s="29" t="n">
        <v>454101.9576264687</v>
      </c>
      <c r="BK68" s="29" t="n">
        <v>602292.5641107825</v>
      </c>
      <c r="BL68" s="29" t="n">
        <v>376233.1041775352</v>
      </c>
      <c r="BM68" s="29" t="n">
        <v>54621.58552091512</v>
      </c>
      <c r="BN68" s="29" t="n">
        <v>179635.4787434962</v>
      </c>
      <c r="BO68" s="29" t="n">
        <v>204094.4993311796</v>
      </c>
      <c r="BP68" s="29" t="n">
        <v>590528.4822233305</v>
      </c>
      <c r="BQ68" s="29" t="n">
        <v>2270.172909573076</v>
      </c>
      <c r="BR68" s="29" t="n">
        <v>76707.80970277301</v>
      </c>
      <c r="BS68" s="29" t="n">
        <v>4627098.518542839</v>
      </c>
      <c r="BT68" s="29" t="n">
        <v>24560.30902489923</v>
      </c>
      <c r="BU68" s="29" t="n">
        <v>88485.85278040514</v>
      </c>
      <c r="BV68" s="29" t="n">
        <v>127932.5442438209</v>
      </c>
      <c r="BW68" s="29" t="n">
        <v>286626.8536504408</v>
      </c>
      <c r="BX68" s="29" t="n">
        <v>-2485.26066341092</v>
      </c>
      <c r="BY68" s="29" t="n">
        <v>1337576.245269855</v>
      </c>
      <c r="BZ68" s="29" t="n">
        <v>9402.086543549714</v>
      </c>
      <c r="CA68" s="29" t="n">
        <v>64747.3709718312</v>
      </c>
      <c r="CB68" s="29" t="n">
        <v>104334.8413934373</v>
      </c>
      <c r="CC68" s="29" t="n">
        <v>130.015374832402</v>
      </c>
      <c r="CD68" s="29" t="n">
        <v>3429.429562036225</v>
      </c>
      <c r="CE68" s="29" t="n">
        <v>731093.6620901505</v>
      </c>
      <c r="CF68" s="29" t="n">
        <v>-1907.948002449838</v>
      </c>
      <c r="CG68" s="29" t="n">
        <v>169794.3927695294</v>
      </c>
      <c r="CH68" s="29" t="n">
        <v>5961585.042100141</v>
      </c>
      <c r="CI68" s="29" t="n">
        <v>363.9600394929802</v>
      </c>
      <c r="CJ68" s="29" t="n">
        <v>6922.965538453546</v>
      </c>
      <c r="CK68" s="29" t="n">
        <v>993.9286220437351</v>
      </c>
      <c r="CL68" s="29" t="n">
        <v>3247.473184856668</v>
      </c>
      <c r="CM68" s="29" t="n">
        <v>1316.883350459904</v>
      </c>
      <c r="CN68" s="29" t="n">
        <v>284886.105590934</v>
      </c>
      <c r="CO68" s="29" t="n">
        <v>177957.3977100016</v>
      </c>
      <c r="CP68" s="29" t="n">
        <v>1034.881566868092</v>
      </c>
      <c r="CQ68" s="29" t="n">
        <v>49869.66766583467</v>
      </c>
      <c r="CR68" s="29" t="n">
        <v>73917.38163933069</v>
      </c>
      <c r="CS68" s="29" t="n">
        <v>3971.79649342345</v>
      </c>
      <c r="CT68" s="29" t="n">
        <v>3626.686973897255</v>
      </c>
      <c r="CU68" s="29" t="n">
        <v>514661.7031594065</v>
      </c>
      <c r="CV68" s="29" t="n">
        <v>193031.1394806967</v>
      </c>
      <c r="CW68" s="29" t="n">
        <v>79751.48004796761</v>
      </c>
      <c r="CX68" s="29" t="n">
        <v>14639.37973844826</v>
      </c>
      <c r="CY68" s="29" t="n">
        <v>31804.30242183244</v>
      </c>
      <c r="CZ68" s="29" t="n">
        <v>31023.43793425836</v>
      </c>
      <c r="DA68" s="29" t="n">
        <v>8067.206311199102</v>
      </c>
      <c r="DB68" s="29" t="n">
        <v>122281.131195028</v>
      </c>
      <c r="DC68" s="29" t="n">
        <v>671105.1797299543</v>
      </c>
      <c r="DD68" s="29" t="n">
        <v>1897.413942798001</v>
      </c>
      <c r="DE68" s="29" t="n">
        <v>0</v>
      </c>
      <c r="DF68" s="29">
        <f>SUM(C68:DE68)</f>
        <v/>
      </c>
      <c r="DG68" s="29" t="n">
        <v>0</v>
      </c>
      <c r="DH68" s="29" t="n">
        <v>0</v>
      </c>
      <c r="DI68" s="29" t="n">
        <v>0</v>
      </c>
      <c r="DJ68" s="29" t="n">
        <v>0</v>
      </c>
      <c r="DK68" s="29">
        <f>SUM(DG68:DJ68)</f>
        <v/>
      </c>
      <c r="DL68" s="29">
        <f>DF68+DK68</f>
        <v/>
      </c>
    </row>
    <row r="69">
      <c r="A69" s="30" t="inlineStr">
        <is>
          <t>31300</t>
        </is>
      </c>
      <c r="B69" s="30" t="inlineStr">
        <is>
          <t>31300 - Fabricación de hilos y cables aislados</t>
        </is>
      </c>
      <c r="C69" s="31" t="n">
        <v>17505.56758230268</v>
      </c>
      <c r="D69" s="31" t="n">
        <v>-1912.330511898342</v>
      </c>
      <c r="E69" s="31" t="n">
        <v>7.31611951364435</v>
      </c>
      <c r="F69" s="31" t="n">
        <v>7.170149234665679</v>
      </c>
      <c r="G69" s="31" t="n">
        <v>57.26399656327708</v>
      </c>
      <c r="H69" s="31" t="n">
        <v>13609.68944688556</v>
      </c>
      <c r="I69" s="31" t="n">
        <v>3.322631212189409</v>
      </c>
      <c r="J69" s="31" t="n">
        <v>367650.4656489887</v>
      </c>
      <c r="K69" s="31" t="n">
        <v>145.798364255951</v>
      </c>
      <c r="L69" s="31" t="n">
        <v>4475.179413357759</v>
      </c>
      <c r="M69" s="31" t="n">
        <v>7605.792732066275</v>
      </c>
      <c r="N69" s="31" t="n">
        <v>-974.6364028324738</v>
      </c>
      <c r="O69" s="31" t="n">
        <v>-350.2426191377021</v>
      </c>
      <c r="P69" s="31" t="n">
        <v>-57.42328355544375</v>
      </c>
      <c r="Q69" s="31" t="n">
        <v>23149.11846303762</v>
      </c>
      <c r="R69" s="31" t="n">
        <v>937.434468904612</v>
      </c>
      <c r="S69" s="31" t="n">
        <v>-520.2134801441282</v>
      </c>
      <c r="T69" s="31" t="n">
        <v>-904.9767629257713</v>
      </c>
      <c r="U69" s="31" t="n">
        <v>24394.58289962946</v>
      </c>
      <c r="V69" s="31" t="n">
        <v>-65.83839427992046</v>
      </c>
      <c r="W69" s="31" t="n">
        <v>10138.42789278938</v>
      </c>
      <c r="X69" s="31" t="n">
        <v>1123.842546862557</v>
      </c>
      <c r="Y69" s="31" t="n">
        <v>12148.6531233053</v>
      </c>
      <c r="Z69" s="31" t="n">
        <v>-217.1806792173758</v>
      </c>
      <c r="AA69" s="31" t="n">
        <v>-494.3593389548627</v>
      </c>
      <c r="AB69" s="31" t="n">
        <v>8.951540265433252</v>
      </c>
      <c r="AC69" s="31" t="n">
        <v>1257.178805448511</v>
      </c>
      <c r="AD69" s="31" t="n">
        <v>11207.49715532013</v>
      </c>
      <c r="AE69" s="31" t="n">
        <v>126.0039179878923</v>
      </c>
      <c r="AF69" s="31" t="n">
        <v>-337.0262194247979</v>
      </c>
      <c r="AG69" s="31" t="n">
        <v>321.9442163115563</v>
      </c>
      <c r="AH69" s="31" t="n">
        <v>-3.839247413834063</v>
      </c>
      <c r="AI69" s="31" t="n">
        <v>8644.765413228874</v>
      </c>
      <c r="AJ69" s="31" t="n">
        <v>15803.80160359241</v>
      </c>
      <c r="AK69" s="31" t="n">
        <v>2154.775682880938</v>
      </c>
      <c r="AL69" s="31" t="n">
        <v>3899.127231406528</v>
      </c>
      <c r="AM69" s="31" t="n">
        <v>-1899.107043016457</v>
      </c>
      <c r="AN69" s="31" t="n">
        <v>-583.7428358348475</v>
      </c>
      <c r="AO69" s="31" t="n">
        <v>-103.6342423093204</v>
      </c>
      <c r="AP69" s="31" t="n">
        <v>344.0019413339592</v>
      </c>
      <c r="AQ69" s="31" t="n">
        <v>8093.701363601243</v>
      </c>
      <c r="AR69" s="31" t="n">
        <v>423.3184957163094</v>
      </c>
      <c r="AS69" s="31" t="n">
        <v>16321.08585756414</v>
      </c>
      <c r="AT69" s="31" t="n">
        <v>955.1234861011862</v>
      </c>
      <c r="AU69" s="31" t="n">
        <v>17490.05793539937</v>
      </c>
      <c r="AV69" s="31" t="n">
        <v>1292.268129873892</v>
      </c>
      <c r="AW69" s="31" t="n">
        <v>60829.70884214748</v>
      </c>
      <c r="AX69" s="31" t="n">
        <v>2038.928590894196</v>
      </c>
      <c r="AY69" s="31" t="n">
        <v>75008.59591547967</v>
      </c>
      <c r="AZ69" s="31" t="n">
        <v>161973.9812414968</v>
      </c>
      <c r="BA69" s="31" t="n">
        <v>207625.4562384007</v>
      </c>
      <c r="BB69" s="31" t="n">
        <v>88792.82488729879</v>
      </c>
      <c r="BC69" s="31" t="n">
        <v>149842.8387582799</v>
      </c>
      <c r="BD69" s="31" t="n">
        <v>209.5676296538438</v>
      </c>
      <c r="BE69" s="31" t="n">
        <v>448004.3351692032</v>
      </c>
      <c r="BF69" s="31" t="n">
        <v>996157.1411266054</v>
      </c>
      <c r="BG69" s="31" t="n">
        <v>436567.3759839109</v>
      </c>
      <c r="BH69" s="31" t="n">
        <v>993967.3799768133</v>
      </c>
      <c r="BI69" s="31" t="n">
        <v>162267.3392812738</v>
      </c>
      <c r="BJ69" s="31" t="n">
        <v>84588.92814972813</v>
      </c>
      <c r="BK69" s="31" t="n">
        <v>1451599.359515697</v>
      </c>
      <c r="BL69" s="31" t="n">
        <v>438326.0056207149</v>
      </c>
      <c r="BM69" s="31" t="n">
        <v>11973.23554648786</v>
      </c>
      <c r="BN69" s="31" t="n">
        <v>47623.91612055365</v>
      </c>
      <c r="BO69" s="31" t="n">
        <v>117094.6076194237</v>
      </c>
      <c r="BP69" s="31" t="n">
        <v>1989466.42264079</v>
      </c>
      <c r="BQ69" s="31" t="n">
        <v>553.3075666340459</v>
      </c>
      <c r="BR69" s="31" t="n">
        <v>588.5978632750443</v>
      </c>
      <c r="BS69" s="31" t="n">
        <v>5860674.930059321</v>
      </c>
      <c r="BT69" s="31" t="n">
        <v>142.1239076929141</v>
      </c>
      <c r="BU69" s="31" t="n">
        <v>290099.3738387295</v>
      </c>
      <c r="BV69" s="31" t="n">
        <v>108391.6896104841</v>
      </c>
      <c r="BW69" s="31" t="n">
        <v>121200.4166628713</v>
      </c>
      <c r="BX69" s="31" t="n">
        <v>-369.2289861130363</v>
      </c>
      <c r="BY69" s="31" t="n">
        <v>33045.36715605813</v>
      </c>
      <c r="BZ69" s="31" t="n">
        <v>835.3645602978479</v>
      </c>
      <c r="CA69" s="31" t="n">
        <v>1492.526984445078</v>
      </c>
      <c r="CB69" s="31" t="n">
        <v>10081.57527415572</v>
      </c>
      <c r="CC69" s="31" t="n">
        <v>1.606345641518597</v>
      </c>
      <c r="CD69" s="31" t="n">
        <v>223.8874305961178</v>
      </c>
      <c r="CE69" s="31" t="n">
        <v>70870.02945774855</v>
      </c>
      <c r="CF69" s="31" t="n">
        <v>-72.57601803432155</v>
      </c>
      <c r="CG69" s="31" t="n">
        <v>319263.2512011842</v>
      </c>
      <c r="CH69" s="31" t="n">
        <v>8217400.135127353</v>
      </c>
      <c r="CI69" s="31" t="n">
        <v>69281.93815298211</v>
      </c>
      <c r="CJ69" s="31" t="n">
        <v>2654.306509981359</v>
      </c>
      <c r="CK69" s="31" t="n">
        <v>38.56571226131832</v>
      </c>
      <c r="CL69" s="31" t="n">
        <v>93.92748807422964</v>
      </c>
      <c r="CM69" s="31" t="n">
        <v>20.9700819870265</v>
      </c>
      <c r="CN69" s="31" t="n">
        <v>40433.90511794493</v>
      </c>
      <c r="CO69" s="31" t="n">
        <v>25267.63712086627</v>
      </c>
      <c r="CP69" s="31" t="n">
        <v>15.56077663151707</v>
      </c>
      <c r="CQ69" s="31" t="n">
        <v>35.34926037030045</v>
      </c>
      <c r="CR69" s="31" t="n">
        <v>-1508.495980538616</v>
      </c>
      <c r="CS69" s="31" t="n">
        <v>2748.047566158986</v>
      </c>
      <c r="CT69" s="31" t="n">
        <v>2509.269628577694</v>
      </c>
      <c r="CU69" s="31" t="n">
        <v>10591.04946818934</v>
      </c>
      <c r="CV69" s="31" t="n">
        <v>133874.4367299012</v>
      </c>
      <c r="CW69" s="31" t="n">
        <v>147.9338099504878</v>
      </c>
      <c r="CX69" s="31" t="n">
        <v>15766.5935053534</v>
      </c>
      <c r="CY69" s="31" t="n">
        <v>1130.199846367909</v>
      </c>
      <c r="CZ69" s="31" t="n">
        <v>17743.56172446421</v>
      </c>
      <c r="DA69" s="31" t="n">
        <v>11892.93364491582</v>
      </c>
      <c r="DB69" s="31" t="n">
        <v>4791.537862115808</v>
      </c>
      <c r="DC69" s="31" t="n">
        <v>-4668.141216427586</v>
      </c>
      <c r="DD69" s="31" t="n">
        <v>27.11609931762296</v>
      </c>
      <c r="DE69" s="31" t="n">
        <v>0</v>
      </c>
      <c r="DF69" s="31">
        <f>SUM(C69:DE69)</f>
        <v/>
      </c>
      <c r="DG69" s="31" t="n">
        <v>0</v>
      </c>
      <c r="DH69" s="31" t="n">
        <v>0</v>
      </c>
      <c r="DI69" s="31" t="n">
        <v>0</v>
      </c>
      <c r="DJ69" s="31" t="n">
        <v>0</v>
      </c>
      <c r="DK69" s="31">
        <f>SUM(DG69:DJ69)</f>
        <v/>
      </c>
      <c r="DL69" s="31">
        <f>DF69+DK69</f>
        <v/>
      </c>
    </row>
    <row r="70">
      <c r="A70" s="28" t="inlineStr">
        <is>
          <t>314/15/19</t>
        </is>
      </c>
      <c r="B70" s="28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9" t="n">
        <v>-156139.6249549366</v>
      </c>
      <c r="D70" s="29" t="n">
        <v>-27599.63976480908</v>
      </c>
      <c r="E70" s="29" t="n">
        <v>2.101255076209342</v>
      </c>
      <c r="F70" s="29" t="n">
        <v>10655.47789477809</v>
      </c>
      <c r="G70" s="29" t="n">
        <v>17.30202864974539</v>
      </c>
      <c r="H70" s="29" t="n">
        <v>80063.93205938471</v>
      </c>
      <c r="I70" s="29" t="n">
        <v>1.098494076339401</v>
      </c>
      <c r="J70" s="29" t="n">
        <v>345309.7663105109</v>
      </c>
      <c r="K70" s="29" t="n">
        <v>121976.075174492</v>
      </c>
      <c r="L70" s="29" t="n">
        <v>4344.566071457077</v>
      </c>
      <c r="M70" s="29" t="n">
        <v>17069.67354499073</v>
      </c>
      <c r="N70" s="29" t="n">
        <v>19407.35763713202</v>
      </c>
      <c r="O70" s="29" t="n">
        <v>1184.935048282591</v>
      </c>
      <c r="P70" s="29" t="n">
        <v>7897.798643888986</v>
      </c>
      <c r="Q70" s="29" t="n">
        <v>94480.02150834301</v>
      </c>
      <c r="R70" s="29" t="n">
        <v>59292.88115854617</v>
      </c>
      <c r="S70" s="29" t="n">
        <v>18058.32198021166</v>
      </c>
      <c r="T70" s="29" t="n">
        <v>-3718.241128609978</v>
      </c>
      <c r="U70" s="29" t="n">
        <v>16919.4350624298</v>
      </c>
      <c r="V70" s="29" t="n">
        <v>15786.54603395864</v>
      </c>
      <c r="W70" s="29" t="n">
        <v>10621.68569344831</v>
      </c>
      <c r="X70" s="29" t="n">
        <v>1523.77841954856</v>
      </c>
      <c r="Y70" s="29" t="n">
        <v>-152.7057658604272</v>
      </c>
      <c r="Z70" s="29" t="n">
        <v>589.439340462146</v>
      </c>
      <c r="AA70" s="29" t="n">
        <v>4991.108916687754</v>
      </c>
      <c r="AB70" s="29" t="n">
        <v>11466.7620312406</v>
      </c>
      <c r="AC70" s="29" t="n">
        <v>41825.18435754302</v>
      </c>
      <c r="AD70" s="29" t="n">
        <v>8491.901310881196</v>
      </c>
      <c r="AE70" s="29" t="n">
        <v>13809.0068243384</v>
      </c>
      <c r="AF70" s="29" t="n">
        <v>7721.910390594925</v>
      </c>
      <c r="AG70" s="29" t="n">
        <v>4365.038445948359</v>
      </c>
      <c r="AH70" s="29" t="n">
        <v>2810.876929611466</v>
      </c>
      <c r="AI70" s="29" t="n">
        <v>33832.25501155077</v>
      </c>
      <c r="AJ70" s="29" t="n">
        <v>12200.33559506383</v>
      </c>
      <c r="AK70" s="29" t="n">
        <v>15425.32310592904</v>
      </c>
      <c r="AL70" s="29" t="n">
        <v>23803.7153053394</v>
      </c>
      <c r="AM70" s="29" t="n">
        <v>-42083.36401697327</v>
      </c>
      <c r="AN70" s="29" t="n">
        <v>2404.933314998781</v>
      </c>
      <c r="AO70" s="29" t="n">
        <v>1769.448580267986</v>
      </c>
      <c r="AP70" s="29" t="n">
        <v>-641.6769465733423</v>
      </c>
      <c r="AQ70" s="29" t="n">
        <v>88123.23457791947</v>
      </c>
      <c r="AR70" s="29" t="n">
        <v>12978.84595506953</v>
      </c>
      <c r="AS70" s="29" t="n">
        <v>22692.83095005683</v>
      </c>
      <c r="AT70" s="29" t="n">
        <v>17044.97539946852</v>
      </c>
      <c r="AU70" s="29" t="n">
        <v>84561.42209008227</v>
      </c>
      <c r="AV70" s="29" t="n">
        <v>1162967.421064803</v>
      </c>
      <c r="AW70" s="29" t="n">
        <v>182522.3754172279</v>
      </c>
      <c r="AX70" s="29" t="n">
        <v>31748.14694969443</v>
      </c>
      <c r="AY70" s="29" t="n">
        <v>63844.03942370869</v>
      </c>
      <c r="AZ70" s="29" t="n">
        <v>125527.8167467554</v>
      </c>
      <c r="BA70" s="29" t="n">
        <v>1010003.292282868</v>
      </c>
      <c r="BB70" s="29" t="n">
        <v>561975.3092738462</v>
      </c>
      <c r="BC70" s="29" t="n">
        <v>145747.8899747713</v>
      </c>
      <c r="BD70" s="29" t="n">
        <v>50529.08008212472</v>
      </c>
      <c r="BE70" s="29" t="n">
        <v>422461.0844996703</v>
      </c>
      <c r="BF70" s="29" t="n">
        <v>109951.008755309</v>
      </c>
      <c r="BG70" s="29" t="n">
        <v>1481913.031519512</v>
      </c>
      <c r="BH70" s="29" t="n">
        <v>1230261.527645224</v>
      </c>
      <c r="BI70" s="29" t="n">
        <v>681931.8128468131</v>
      </c>
      <c r="BJ70" s="29" t="n">
        <v>272376.8657275899</v>
      </c>
      <c r="BK70" s="29" t="n">
        <v>1959001.079501833</v>
      </c>
      <c r="BL70" s="29" t="n">
        <v>256840.1567017554</v>
      </c>
      <c r="BM70" s="29" t="n">
        <v>78466.31313214613</v>
      </c>
      <c r="BN70" s="29" t="n">
        <v>183968.6181971637</v>
      </c>
      <c r="BO70" s="29" t="n">
        <v>84471.15711833206</v>
      </c>
      <c r="BP70" s="29" t="n">
        <v>1761802.302609924</v>
      </c>
      <c r="BQ70" s="29" t="n">
        <v>705.6631218196302</v>
      </c>
      <c r="BR70" s="29" t="n">
        <v>2630.212371485782</v>
      </c>
      <c r="BS70" s="29" t="n">
        <v>2174343.834234528</v>
      </c>
      <c r="BT70" s="29" t="n">
        <v>1403159.433134644</v>
      </c>
      <c r="BU70" s="29" t="n">
        <v>3137839.403597019</v>
      </c>
      <c r="BV70" s="29" t="n">
        <v>5863340.145857324</v>
      </c>
      <c r="BW70" s="29" t="n">
        <v>210950.225944549</v>
      </c>
      <c r="BX70" s="29" t="n">
        <v>53382.36778941141</v>
      </c>
      <c r="BY70" s="29" t="n">
        <v>364193.2476903845</v>
      </c>
      <c r="BZ70" s="29" t="n">
        <v>3643.192871199094</v>
      </c>
      <c r="CA70" s="29" t="n">
        <v>34114.05565142089</v>
      </c>
      <c r="CB70" s="29" t="n">
        <v>33027.02309460163</v>
      </c>
      <c r="CC70" s="29" t="n">
        <v>87.71859439202802</v>
      </c>
      <c r="CD70" s="29" t="n">
        <v>2659.505558560587</v>
      </c>
      <c r="CE70" s="29" t="n">
        <v>235841.0071064763</v>
      </c>
      <c r="CF70" s="29" t="n">
        <v>4522.493584805411</v>
      </c>
      <c r="CG70" s="29" t="n">
        <v>180172.5806650922</v>
      </c>
      <c r="CH70" s="29" t="n">
        <v>2936216.759331719</v>
      </c>
      <c r="CI70" s="29" t="n">
        <v>2567.284872478606</v>
      </c>
      <c r="CJ70" s="29" t="n">
        <v>1154.73456518452</v>
      </c>
      <c r="CK70" s="29" t="n">
        <v>58.43673571513322</v>
      </c>
      <c r="CL70" s="29" t="n">
        <v>17639.72575773411</v>
      </c>
      <c r="CM70" s="29" t="n">
        <v>972.4202193698793</v>
      </c>
      <c r="CN70" s="29" t="n">
        <v>390150.0980471032</v>
      </c>
      <c r="CO70" s="29" t="n">
        <v>243762.6206766637</v>
      </c>
      <c r="CP70" s="29" t="n">
        <v>2303.092240358119</v>
      </c>
      <c r="CQ70" s="29" t="n">
        <v>138088.9133029053</v>
      </c>
      <c r="CR70" s="29" t="n">
        <v>1746889.94964383</v>
      </c>
      <c r="CS70" s="29" t="n">
        <v>12945.39811468888</v>
      </c>
      <c r="CT70" s="29" t="n">
        <v>11820.57207417216</v>
      </c>
      <c r="CU70" s="29" t="n">
        <v>3428840.703807428</v>
      </c>
      <c r="CV70" s="29" t="n">
        <v>1137381.114394613</v>
      </c>
      <c r="CW70" s="29" t="n">
        <v>316380.1909835492</v>
      </c>
      <c r="CX70" s="29" t="n">
        <v>36151.22927276662</v>
      </c>
      <c r="CY70" s="29" t="n">
        <v>150462.1343818652</v>
      </c>
      <c r="CZ70" s="29" t="n">
        <v>66088.0930109585</v>
      </c>
      <c r="DA70" s="29" t="n">
        <v>11876.51532064679</v>
      </c>
      <c r="DB70" s="29" t="n">
        <v>50135.37006915166</v>
      </c>
      <c r="DC70" s="29" t="n">
        <v>21762.00643294889</v>
      </c>
      <c r="DD70" s="29" t="n">
        <v>27670.41743036156</v>
      </c>
      <c r="DE70" s="29" t="n">
        <v>0</v>
      </c>
      <c r="DF70" s="29">
        <f>SUM(C70:DE70)</f>
        <v/>
      </c>
      <c r="DG70" s="29" t="n">
        <v>0</v>
      </c>
      <c r="DH70" s="29" t="n">
        <v>0</v>
      </c>
      <c r="DI70" s="29" t="n">
        <v>0</v>
      </c>
      <c r="DJ70" s="29" t="n">
        <v>0</v>
      </c>
      <c r="DK70" s="29">
        <f>SUM(DG70:DJ70)</f>
        <v/>
      </c>
      <c r="DL70" s="29">
        <f>DF70+DK70</f>
        <v/>
      </c>
    </row>
    <row r="71">
      <c r="A71" s="30" t="inlineStr">
        <is>
          <t>32100/32200</t>
        </is>
      </c>
      <c r="B71" s="3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31" t="n">
        <v>15213.90890128535</v>
      </c>
      <c r="D71" s="31" t="n">
        <v>-859.3022695588733</v>
      </c>
      <c r="E71" s="31" t="n">
        <v>16.04312184334751</v>
      </c>
      <c r="F71" s="31" t="n">
        <v>0</v>
      </c>
      <c r="G71" s="31" t="n">
        <v>125.5711135374909</v>
      </c>
      <c r="H71" s="31" t="n">
        <v>14651.33235263245</v>
      </c>
      <c r="I71" s="31" t="n">
        <v>146.9634796613711</v>
      </c>
      <c r="J71" s="31" t="n">
        <v>37129.89376681251</v>
      </c>
      <c r="K71" s="31" t="n">
        <v>73081.58355487783</v>
      </c>
      <c r="L71" s="31" t="n">
        <v>12905.56136012745</v>
      </c>
      <c r="M71" s="31" t="n">
        <v>7152.891599303432</v>
      </c>
      <c r="N71" s="31" t="n">
        <v>4403.061589304437</v>
      </c>
      <c r="O71" s="31" t="n">
        <v>3604.003938243932</v>
      </c>
      <c r="P71" s="31" t="n">
        <v>2009.903454404813</v>
      </c>
      <c r="Q71" s="31" t="n">
        <v>15112.2856531784</v>
      </c>
      <c r="R71" s="31" t="n">
        <v>6829.79771201448</v>
      </c>
      <c r="S71" s="31" t="n">
        <v>1568.339663764009</v>
      </c>
      <c r="T71" s="31" t="n">
        <v>525.693960511252</v>
      </c>
      <c r="U71" s="31" t="n">
        <v>2421.1089687788</v>
      </c>
      <c r="V71" s="31" t="n">
        <v>672.443045445577</v>
      </c>
      <c r="W71" s="31" t="n">
        <v>703.7721506142166</v>
      </c>
      <c r="X71" s="31" t="n">
        <v>303.5128366546261</v>
      </c>
      <c r="Y71" s="31" t="n">
        <v>6135.761618088008</v>
      </c>
      <c r="Z71" s="31" t="n">
        <v>1180.114136152438</v>
      </c>
      <c r="AA71" s="31" t="n">
        <v>1442.014426458492</v>
      </c>
      <c r="AB71" s="31" t="n">
        <v>1806.789010949211</v>
      </c>
      <c r="AC71" s="31" t="n">
        <v>5333.247185351866</v>
      </c>
      <c r="AD71" s="31" t="n">
        <v>506.9801639033316</v>
      </c>
      <c r="AE71" s="31" t="n">
        <v>2236.815118221881</v>
      </c>
      <c r="AF71" s="31" t="n">
        <v>196.6730136167645</v>
      </c>
      <c r="AG71" s="31" t="n">
        <v>433.4208640016176</v>
      </c>
      <c r="AH71" s="31" t="n">
        <v>344.8956224820705</v>
      </c>
      <c r="AI71" s="31" t="n">
        <v>3824.549236114019</v>
      </c>
      <c r="AJ71" s="31" t="n">
        <v>3516.039319568421</v>
      </c>
      <c r="AK71" s="31" t="n">
        <v>7723.888851378489</v>
      </c>
      <c r="AL71" s="31" t="n">
        <v>11426.33901393334</v>
      </c>
      <c r="AM71" s="31" t="n">
        <v>5492.647971402251</v>
      </c>
      <c r="AN71" s="31" t="n">
        <v>2993.182232732948</v>
      </c>
      <c r="AO71" s="31" t="n">
        <v>817.2626842126502</v>
      </c>
      <c r="AP71" s="31" t="n">
        <v>2909.615106204777</v>
      </c>
      <c r="AQ71" s="31" t="n">
        <v>11596.76768258299</v>
      </c>
      <c r="AR71" s="31" t="n">
        <v>747.5415718961489</v>
      </c>
      <c r="AS71" s="31" t="n">
        <v>838.7449521758303</v>
      </c>
      <c r="AT71" s="31" t="n">
        <v>692.2120048915398</v>
      </c>
      <c r="AU71" s="31" t="n">
        <v>12123.76624179107</v>
      </c>
      <c r="AV71" s="31" t="n">
        <v>10825.86465895156</v>
      </c>
      <c r="AW71" s="31" t="n">
        <v>4366.402188384838</v>
      </c>
      <c r="AX71" s="31" t="n">
        <v>777.1299093111695</v>
      </c>
      <c r="AY71" s="31" t="n">
        <v>45260.21529524677</v>
      </c>
      <c r="AZ71" s="31" t="n">
        <v>31304.66445902445</v>
      </c>
      <c r="BA71" s="31" t="n">
        <v>90523.02704091366</v>
      </c>
      <c r="BB71" s="31" t="n">
        <v>77787.94581628112</v>
      </c>
      <c r="BC71" s="31" t="n">
        <v>60245.4772405934</v>
      </c>
      <c r="BD71" s="31" t="n">
        <v>4854.542249068363</v>
      </c>
      <c r="BE71" s="31" t="n">
        <v>205666.4260489325</v>
      </c>
      <c r="BF71" s="31" t="n">
        <v>15261.0592700048</v>
      </c>
      <c r="BG71" s="31" t="n">
        <v>228859.4258877281</v>
      </c>
      <c r="BH71" s="31" t="n">
        <v>31704689.62519545</v>
      </c>
      <c r="BI71" s="31" t="n">
        <v>2499008.608032725</v>
      </c>
      <c r="BJ71" s="31" t="n">
        <v>254149.6364289454</v>
      </c>
      <c r="BK71" s="31" t="n">
        <v>87410.52053219106</v>
      </c>
      <c r="BL71" s="31" t="n">
        <v>14337.25740644788</v>
      </c>
      <c r="BM71" s="31" t="n">
        <v>5137.685591744154</v>
      </c>
      <c r="BN71" s="31" t="n">
        <v>14512.72024678402</v>
      </c>
      <c r="BO71" s="31" t="n">
        <v>51955.19630813615</v>
      </c>
      <c r="BP71" s="31" t="n">
        <v>171845.6901196126</v>
      </c>
      <c r="BQ71" s="31" t="n">
        <v>9008.978915785234</v>
      </c>
      <c r="BR71" s="31" t="n">
        <v>6030.939141850395</v>
      </c>
      <c r="BS71" s="31" t="n">
        <v>784389.863904196</v>
      </c>
      <c r="BT71" s="31" t="n">
        <v>53524.71909781685</v>
      </c>
      <c r="BU71" s="31" t="n">
        <v>96602.81064602625</v>
      </c>
      <c r="BV71" s="31" t="n">
        <v>106464.8778506075</v>
      </c>
      <c r="BW71" s="31" t="n">
        <v>599873.8120257702</v>
      </c>
      <c r="BX71" s="31" t="n">
        <v>3300.908492718464</v>
      </c>
      <c r="BY71" s="31" t="n">
        <v>20472.12809719897</v>
      </c>
      <c r="BZ71" s="31" t="n">
        <v>1479.156094390474</v>
      </c>
      <c r="CA71" s="31" t="n">
        <v>34254.28329043167</v>
      </c>
      <c r="CB71" s="31" t="n">
        <v>4841.552229303607</v>
      </c>
      <c r="CC71" s="31" t="n">
        <v>848.7167538900575</v>
      </c>
      <c r="CD71" s="31" t="n">
        <v>94394.30593433672</v>
      </c>
      <c r="CE71" s="31" t="n">
        <v>57078.71129980887</v>
      </c>
      <c r="CF71" s="31" t="n">
        <v>1751.498041391558</v>
      </c>
      <c r="CG71" s="31" t="n">
        <v>16424119.63061521</v>
      </c>
      <c r="CH71" s="31" t="n">
        <v>10809144.66440149</v>
      </c>
      <c r="CI71" s="31" t="n">
        <v>10084.90412968793</v>
      </c>
      <c r="CJ71" s="31" t="n">
        <v>2357.188773398133</v>
      </c>
      <c r="CK71" s="31" t="n">
        <v>31111.99709707986</v>
      </c>
      <c r="CL71" s="31" t="n">
        <v>7901.739999714579</v>
      </c>
      <c r="CM71" s="31" t="n">
        <v>3859.215555942742</v>
      </c>
      <c r="CN71" s="31" t="n">
        <v>23744.11985889731</v>
      </c>
      <c r="CO71" s="31" t="n">
        <v>12816.5015391741</v>
      </c>
      <c r="CP71" s="31" t="n">
        <v>2320.863162249232</v>
      </c>
      <c r="CQ71" s="31" t="n">
        <v>3582.65033034438</v>
      </c>
      <c r="CR71" s="31" t="n">
        <v>576167.6622562874</v>
      </c>
      <c r="CS71" s="31" t="n">
        <v>2651.79261479291</v>
      </c>
      <c r="CT71" s="31" t="n">
        <v>2421.378272897595</v>
      </c>
      <c r="CU71" s="31" t="n">
        <v>287125.274168707</v>
      </c>
      <c r="CV71" s="31" t="n">
        <v>126330.855358299</v>
      </c>
      <c r="CW71" s="31" t="n">
        <v>20188.33620388371</v>
      </c>
      <c r="CX71" s="31" t="n">
        <v>5650.623381224219</v>
      </c>
      <c r="CY71" s="31" t="n">
        <v>62995.15383688932</v>
      </c>
      <c r="CZ71" s="31" t="n">
        <v>15770.83509797255</v>
      </c>
      <c r="DA71" s="31" t="n">
        <v>25286.54340571717</v>
      </c>
      <c r="DB71" s="31" t="n">
        <v>7920.131203862156</v>
      </c>
      <c r="DC71" s="31" t="n">
        <v>32304.66235515818</v>
      </c>
      <c r="DD71" s="31" t="n">
        <v>346.0977445098181</v>
      </c>
      <c r="DE71" s="31" t="n">
        <v>0</v>
      </c>
      <c r="DF71" s="31">
        <f>SUM(C71:DE71)</f>
        <v/>
      </c>
      <c r="DG71" s="31" t="n">
        <v>0</v>
      </c>
      <c r="DH71" s="31" t="n">
        <v>0</v>
      </c>
      <c r="DI71" s="31" t="n">
        <v>0</v>
      </c>
      <c r="DJ71" s="31" t="n">
        <v>0</v>
      </c>
      <c r="DK71" s="31">
        <f>SUM(DG71:DJ71)</f>
        <v/>
      </c>
      <c r="DL71" s="31">
        <f>DF71+DK71</f>
        <v/>
      </c>
    </row>
    <row r="72">
      <c r="A72" s="28" t="inlineStr">
        <is>
          <t>32300</t>
        </is>
      </c>
      <c r="B72" s="28" t="inlineStr">
        <is>
          <t>32300 - Fabricación de receptores de radio y televisión, aparatos de grabación y reproducción de sonido y video, y productos conexos</t>
        </is>
      </c>
      <c r="C72" s="29" t="n">
        <v>10926.51092477199</v>
      </c>
      <c r="D72" s="29" t="n">
        <v>-216.7447795742596</v>
      </c>
      <c r="E72" s="29" t="n">
        <v>0.04944717934810625</v>
      </c>
      <c r="F72" s="29" t="n">
        <v>0</v>
      </c>
      <c r="G72" s="29" t="n">
        <v>0.3870280007007754</v>
      </c>
      <c r="H72" s="29" t="n">
        <v>1036.293090150722</v>
      </c>
      <c r="I72" s="29" t="n">
        <v>0.02255487766256112</v>
      </c>
      <c r="J72" s="29" t="n">
        <v>1.669164828605058</v>
      </c>
      <c r="K72" s="29" t="n">
        <v>4178.087809020794</v>
      </c>
      <c r="L72" s="29" t="n">
        <v>171.0615145648893</v>
      </c>
      <c r="M72" s="29" t="n">
        <v>1472.321607495657</v>
      </c>
      <c r="N72" s="29" t="n">
        <v>1276.687819667568</v>
      </c>
      <c r="O72" s="29" t="n">
        <v>1201.454279945894</v>
      </c>
      <c r="P72" s="29" t="n">
        <v>797.035727406863</v>
      </c>
      <c r="Q72" s="29" t="n">
        <v>11781.54916637682</v>
      </c>
      <c r="R72" s="29" t="n">
        <v>1000.1862437084</v>
      </c>
      <c r="S72" s="29" t="n">
        <v>1528.12861651531</v>
      </c>
      <c r="T72" s="29" t="n">
        <v>955.6085175912467</v>
      </c>
      <c r="U72" s="29" t="n">
        <v>967.2044172000485</v>
      </c>
      <c r="V72" s="29" t="n">
        <v>1430.809827407932</v>
      </c>
      <c r="W72" s="29" t="n">
        <v>581.900534530711</v>
      </c>
      <c r="X72" s="29" t="n">
        <v>243.6470279487885</v>
      </c>
      <c r="Y72" s="29" t="n">
        <v>965.9160923502978</v>
      </c>
      <c r="Z72" s="29" t="n">
        <v>-2.04687083207512</v>
      </c>
      <c r="AA72" s="29" t="n">
        <v>482.7362760263395</v>
      </c>
      <c r="AB72" s="29" t="n">
        <v>945.1480565197436</v>
      </c>
      <c r="AC72" s="29" t="n">
        <v>8088.372971135564</v>
      </c>
      <c r="AD72" s="29" t="n">
        <v>382.4258161332432</v>
      </c>
      <c r="AE72" s="29" t="n">
        <v>2374.181668651978</v>
      </c>
      <c r="AF72" s="29" t="n">
        <v>437.2833323797487</v>
      </c>
      <c r="AG72" s="29" t="n">
        <v>548.0795424775049</v>
      </c>
      <c r="AH72" s="29" t="n">
        <v>130.9641584643959</v>
      </c>
      <c r="AI72" s="29" t="n">
        <v>1521.296827148884</v>
      </c>
      <c r="AJ72" s="29" t="n">
        <v>6845.874620774982</v>
      </c>
      <c r="AK72" s="29" t="n">
        <v>89898.97937417797</v>
      </c>
      <c r="AL72" s="29" t="n">
        <v>89980.3266211641</v>
      </c>
      <c r="AM72" s="29" t="n">
        <v>-429.6930327847886</v>
      </c>
      <c r="AN72" s="29" t="n">
        <v>1007.89358693184</v>
      </c>
      <c r="AO72" s="29" t="n">
        <v>98.49723326879644</v>
      </c>
      <c r="AP72" s="29" t="n">
        <v>660.3448864975821</v>
      </c>
      <c r="AQ72" s="29" t="n">
        <v>40755.73365210799</v>
      </c>
      <c r="AR72" s="29" t="n">
        <v>282.0563717496671</v>
      </c>
      <c r="AS72" s="29" t="n">
        <v>336.723047754894</v>
      </c>
      <c r="AT72" s="29" t="n">
        <v>498.9643909509969</v>
      </c>
      <c r="AU72" s="29" t="n">
        <v>4805.873513435508</v>
      </c>
      <c r="AV72" s="29" t="n">
        <v>27660.43398451913</v>
      </c>
      <c r="AW72" s="29" t="n">
        <v>16145.70227027654</v>
      </c>
      <c r="AX72" s="29" t="n">
        <v>3209.83583431701</v>
      </c>
      <c r="AY72" s="29" t="n">
        <v>10451.6842337234</v>
      </c>
      <c r="AZ72" s="29" t="n">
        <v>25676.75093567611</v>
      </c>
      <c r="BA72" s="29" t="n">
        <v>113975.6759700982</v>
      </c>
      <c r="BB72" s="29" t="n">
        <v>189032.2113955632</v>
      </c>
      <c r="BC72" s="29" t="n">
        <v>31651.51210068025</v>
      </c>
      <c r="BD72" s="29" t="n">
        <v>2583.808724514067</v>
      </c>
      <c r="BE72" s="29" t="n">
        <v>25720.9765986265</v>
      </c>
      <c r="BF72" s="29" t="n">
        <v>5230.434802618618</v>
      </c>
      <c r="BG72" s="29" t="n">
        <v>26760.65075026513</v>
      </c>
      <c r="BH72" s="29" t="n">
        <v>352897.66763587</v>
      </c>
      <c r="BI72" s="29" t="n">
        <v>121205.6274108914</v>
      </c>
      <c r="BJ72" s="29" t="n">
        <v>157672.1365547774</v>
      </c>
      <c r="BK72" s="29" t="n">
        <v>3086519.801162106</v>
      </c>
      <c r="BL72" s="29" t="n">
        <v>13230.28193660091</v>
      </c>
      <c r="BM72" s="29" t="n">
        <v>7620.674936581079</v>
      </c>
      <c r="BN72" s="29" t="n">
        <v>4291.886425878643</v>
      </c>
      <c r="BO72" s="29" t="n">
        <v>8540.802603147586</v>
      </c>
      <c r="BP72" s="29" t="n">
        <v>150793.065464237</v>
      </c>
      <c r="BQ72" s="29" t="n">
        <v>3.232662969855698</v>
      </c>
      <c r="BR72" s="29" t="n">
        <v>2146.452569586349</v>
      </c>
      <c r="BS72" s="29" t="n">
        <v>439513.8549301657</v>
      </c>
      <c r="BT72" s="29" t="n">
        <v>36212.22176308789</v>
      </c>
      <c r="BU72" s="29" t="n">
        <v>110770.661558988</v>
      </c>
      <c r="BV72" s="29" t="n">
        <v>240255.7073768557</v>
      </c>
      <c r="BW72" s="29" t="n">
        <v>178105.1558635518</v>
      </c>
      <c r="BX72" s="29" t="n">
        <v>5242.833204259062</v>
      </c>
      <c r="BY72" s="29" t="n">
        <v>1063.803774115519</v>
      </c>
      <c r="BZ72" s="29" t="n">
        <v>2364.314895912835</v>
      </c>
      <c r="CA72" s="29" t="n">
        <v>10.70488042439211</v>
      </c>
      <c r="CB72" s="29" t="n">
        <v>1231.868520593036</v>
      </c>
      <c r="CC72" s="29" t="n">
        <v>257.2590409520867</v>
      </c>
      <c r="CD72" s="29" t="n">
        <v>1.36185856991928</v>
      </c>
      <c r="CE72" s="29" t="n">
        <v>3079.718890399034</v>
      </c>
      <c r="CF72" s="29" t="n">
        <v>32.30248465460917</v>
      </c>
      <c r="CG72" s="29" t="n">
        <v>47848.54396725042</v>
      </c>
      <c r="CH72" s="29" t="n">
        <v>72872.1687582725</v>
      </c>
      <c r="CI72" s="29" t="n">
        <v>153.3715647955005</v>
      </c>
      <c r="CJ72" s="29" t="n">
        <v>14.31764235480488</v>
      </c>
      <c r="CK72" s="29" t="n">
        <v>1.264628579975015</v>
      </c>
      <c r="CL72" s="29" t="n">
        <v>7328.806936510662</v>
      </c>
      <c r="CM72" s="29" t="n">
        <v>259.9467765439077</v>
      </c>
      <c r="CN72" s="29" t="n">
        <v>10063.14571402956</v>
      </c>
      <c r="CO72" s="29" t="n">
        <v>6288.581660732358</v>
      </c>
      <c r="CP72" s="29" t="n">
        <v>104.7168165394562</v>
      </c>
      <c r="CQ72" s="29" t="n">
        <v>8126.088961161135</v>
      </c>
      <c r="CR72" s="29" t="n">
        <v>137719.3440823949</v>
      </c>
      <c r="CS72" s="29" t="n">
        <v>3635.754468338746</v>
      </c>
      <c r="CT72" s="29" t="n">
        <v>3319.843650712211</v>
      </c>
      <c r="CU72" s="29" t="n">
        <v>415121.4356041008</v>
      </c>
      <c r="CV72" s="29" t="n">
        <v>177115.4699827823</v>
      </c>
      <c r="CW72" s="29" t="n">
        <v>360162.9281849691</v>
      </c>
      <c r="CX72" s="29" t="n">
        <v>888.0963293720883</v>
      </c>
      <c r="CY72" s="29" t="n">
        <v>610003.0569149454</v>
      </c>
      <c r="CZ72" s="29" t="n">
        <v>183509.441112772</v>
      </c>
      <c r="DA72" s="29" t="n">
        <v>-0.6780575307593748</v>
      </c>
      <c r="DB72" s="29" t="n">
        <v>53341.21247316358</v>
      </c>
      <c r="DC72" s="29" t="n">
        <v>47070.12687592563</v>
      </c>
      <c r="DD72" s="29" t="n">
        <v>396.5099409698034</v>
      </c>
      <c r="DE72" s="29" t="n">
        <v>0</v>
      </c>
      <c r="DF72" s="29">
        <f>SUM(C72:DE72)</f>
        <v/>
      </c>
      <c r="DG72" s="29" t="n">
        <v>0</v>
      </c>
      <c r="DH72" s="29" t="n">
        <v>0</v>
      </c>
      <c r="DI72" s="29" t="n">
        <v>0</v>
      </c>
      <c r="DJ72" s="29" t="n">
        <v>0</v>
      </c>
      <c r="DK72" s="29">
        <f>SUM(DG72:DJ72)</f>
        <v/>
      </c>
      <c r="DL72" s="29">
        <f>DF72+DK72</f>
        <v/>
      </c>
    </row>
    <row r="73">
      <c r="A73" s="30" t="inlineStr">
        <is>
          <t>331/332</t>
        </is>
      </c>
      <c r="B73" s="3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31" t="n">
        <v>-112806.5224714662</v>
      </c>
      <c r="D73" s="31" t="n">
        <v>-23363.06872357782</v>
      </c>
      <c r="E73" s="31" t="n">
        <v>22.97326933143605</v>
      </c>
      <c r="F73" s="31" t="n">
        <v>62.98985675331069</v>
      </c>
      <c r="G73" s="31" t="n">
        <v>179.8140685904798</v>
      </c>
      <c r="H73" s="31" t="n">
        <v>5522.093864523174</v>
      </c>
      <c r="I73" s="31" t="n">
        <v>11.54525011549596</v>
      </c>
      <c r="J73" s="31" t="n">
        <v>17427.63389203199</v>
      </c>
      <c r="K73" s="31" t="n">
        <v>9546.542870574833</v>
      </c>
      <c r="L73" s="31" t="n">
        <v>1538.627253954202</v>
      </c>
      <c r="M73" s="31" t="n">
        <v>12357.97884058702</v>
      </c>
      <c r="N73" s="31" t="n">
        <v>-10737.63344897173</v>
      </c>
      <c r="O73" s="31" t="n">
        <v>-3904.988725374982</v>
      </c>
      <c r="P73" s="31" t="n">
        <v>-188.8007175870794</v>
      </c>
      <c r="Q73" s="31" t="n">
        <v>54025.75431838373</v>
      </c>
      <c r="R73" s="31" t="n">
        <v>-2636.081043159939</v>
      </c>
      <c r="S73" s="31" t="n">
        <v>-5697.760888514596</v>
      </c>
      <c r="T73" s="31" t="n">
        <v>-9310.22085362785</v>
      </c>
      <c r="U73" s="31" t="n">
        <v>-2402.360773420255</v>
      </c>
      <c r="V73" s="31" t="n">
        <v>-513.8921219021579</v>
      </c>
      <c r="W73" s="31" t="n">
        <v>-1130.825060094146</v>
      </c>
      <c r="X73" s="31" t="n">
        <v>-1050.512850256263</v>
      </c>
      <c r="Y73" s="31" t="n">
        <v>-17014.91487820344</v>
      </c>
      <c r="Z73" s="31" t="n">
        <v>-2661.471060242588</v>
      </c>
      <c r="AA73" s="31" t="n">
        <v>-5555.400164205671</v>
      </c>
      <c r="AB73" s="31" t="n">
        <v>-125.3407147480407</v>
      </c>
      <c r="AC73" s="31" t="n">
        <v>45280.80699515178</v>
      </c>
      <c r="AD73" s="31" t="n">
        <v>916.4527967233977</v>
      </c>
      <c r="AE73" s="31" t="n">
        <v>363.4753903174871</v>
      </c>
      <c r="AF73" s="31" t="n">
        <v>-3156.691036346422</v>
      </c>
      <c r="AG73" s="31" t="n">
        <v>-1192.068781277461</v>
      </c>
      <c r="AH73" s="31" t="n">
        <v>1986.602958946193</v>
      </c>
      <c r="AI73" s="31" t="n">
        <v>2126.634479165409</v>
      </c>
      <c r="AJ73" s="31" t="n">
        <v>18801.077354217</v>
      </c>
      <c r="AK73" s="31" t="n">
        <v>765643.6311197629</v>
      </c>
      <c r="AL73" s="31" t="n">
        <v>696466.2910782935</v>
      </c>
      <c r="AM73" s="31" t="n">
        <v>-58111.89702795028</v>
      </c>
      <c r="AN73" s="31" t="n">
        <v>1267.203741922114</v>
      </c>
      <c r="AO73" s="31" t="n">
        <v>-1584.937158554477</v>
      </c>
      <c r="AP73" s="31" t="n">
        <v>-2439.06834983468</v>
      </c>
      <c r="AQ73" s="31" t="n">
        <v>307277.6093364346</v>
      </c>
      <c r="AR73" s="31" t="n">
        <v>422.8189970625372</v>
      </c>
      <c r="AS73" s="31" t="n">
        <v>11498.24609397353</v>
      </c>
      <c r="AT73" s="31" t="n">
        <v>306.9020339659574</v>
      </c>
      <c r="AU73" s="31" t="n">
        <v>2933.189762745504</v>
      </c>
      <c r="AV73" s="31" t="n">
        <v>8652.501047419819</v>
      </c>
      <c r="AW73" s="31" t="n">
        <v>3325.988729210824</v>
      </c>
      <c r="AX73" s="31" t="n">
        <v>5672.521630460917</v>
      </c>
      <c r="AY73" s="31" t="n">
        <v>85738.75195885761</v>
      </c>
      <c r="AZ73" s="31" t="n">
        <v>82935.0798578801</v>
      </c>
      <c r="BA73" s="31" t="n">
        <v>218887.5119893469</v>
      </c>
      <c r="BB73" s="31" t="n">
        <v>456380.6173479225</v>
      </c>
      <c r="BC73" s="31" t="n">
        <v>176729.7718408823</v>
      </c>
      <c r="BD73" s="31" t="n">
        <v>17113.04345124498</v>
      </c>
      <c r="BE73" s="31" t="n">
        <v>190412.0132581344</v>
      </c>
      <c r="BF73" s="31" t="n">
        <v>5692.126492523686</v>
      </c>
      <c r="BG73" s="31" t="n">
        <v>131712.0870745163</v>
      </c>
      <c r="BH73" s="31" t="n">
        <v>881690.4911896493</v>
      </c>
      <c r="BI73" s="31" t="n">
        <v>147250.3741074769</v>
      </c>
      <c r="BJ73" s="31" t="n">
        <v>1205836.029823042</v>
      </c>
      <c r="BK73" s="31" t="n">
        <v>88967.81071438669</v>
      </c>
      <c r="BL73" s="31" t="n">
        <v>30802.70644921255</v>
      </c>
      <c r="BM73" s="31" t="n">
        <v>17287.08657488836</v>
      </c>
      <c r="BN73" s="31" t="n">
        <v>4501.915061155784</v>
      </c>
      <c r="BO73" s="31" t="n">
        <v>47939.81515981436</v>
      </c>
      <c r="BP73" s="31" t="n">
        <v>57086.34697456476</v>
      </c>
      <c r="BQ73" s="31" t="n">
        <v>404.1212931504242</v>
      </c>
      <c r="BR73" s="31" t="n">
        <v>2988.801993028668</v>
      </c>
      <c r="BS73" s="31" t="n">
        <v>3144387.354832753</v>
      </c>
      <c r="BT73" s="31" t="n">
        <v>30830.83698802625</v>
      </c>
      <c r="BU73" s="31" t="n">
        <v>59031.50972242877</v>
      </c>
      <c r="BV73" s="31" t="n">
        <v>106092.8359960976</v>
      </c>
      <c r="BW73" s="31" t="n">
        <v>1415643.345942782</v>
      </c>
      <c r="BX73" s="31" t="n">
        <v>-417.9580513541187</v>
      </c>
      <c r="BY73" s="31" t="n">
        <v>15764.62120933329</v>
      </c>
      <c r="BZ73" s="31" t="n">
        <v>871.8823005646635</v>
      </c>
      <c r="CA73" s="31" t="n">
        <v>15089.73169269558</v>
      </c>
      <c r="CB73" s="31" t="n">
        <v>5495.011986423942</v>
      </c>
      <c r="CC73" s="31" t="n">
        <v>80.7551570201523</v>
      </c>
      <c r="CD73" s="31" t="n">
        <v>3052.685775840707</v>
      </c>
      <c r="CE73" s="31" t="n">
        <v>25983.01504610612</v>
      </c>
      <c r="CF73" s="31" t="n">
        <v>-572.8390281710093</v>
      </c>
      <c r="CG73" s="31" t="n">
        <v>20674.4405584327</v>
      </c>
      <c r="CH73" s="31" t="n">
        <v>-23953.32590295652</v>
      </c>
      <c r="CI73" s="31" t="n">
        <v>4337.841321718748</v>
      </c>
      <c r="CJ73" s="31" t="n">
        <v>20399.17320805072</v>
      </c>
      <c r="CK73" s="31" t="n">
        <v>2706.204892492981</v>
      </c>
      <c r="CL73" s="31" t="n">
        <v>68126.74451306101</v>
      </c>
      <c r="CM73" s="31" t="n">
        <v>7037.59988987683</v>
      </c>
      <c r="CN73" s="31" t="n">
        <v>89107.61160658518</v>
      </c>
      <c r="CO73" s="31" t="n">
        <v>55264.70659392467</v>
      </c>
      <c r="CP73" s="31" t="n">
        <v>239.1425311553299</v>
      </c>
      <c r="CQ73" s="31" t="n">
        <v>19354.675015524</v>
      </c>
      <c r="CR73" s="31" t="n">
        <v>64586.39400542058</v>
      </c>
      <c r="CS73" s="31" t="n">
        <v>32318.15573055629</v>
      </c>
      <c r="CT73" s="31" t="n">
        <v>29511.03961098458</v>
      </c>
      <c r="CU73" s="31" t="n">
        <v>1009860.254399189</v>
      </c>
      <c r="CV73" s="31" t="n">
        <v>1505649.025382543</v>
      </c>
      <c r="CW73" s="31" t="n">
        <v>351342.1499960462</v>
      </c>
      <c r="CX73" s="31" t="n">
        <v>18677.15259604843</v>
      </c>
      <c r="CY73" s="31" t="n">
        <v>4793773.124271029</v>
      </c>
      <c r="CZ73" s="31" t="n">
        <v>1443067.140486833</v>
      </c>
      <c r="DA73" s="31" t="n">
        <v>2522.007942729645</v>
      </c>
      <c r="DB73" s="31" t="n">
        <v>140270.1724922632</v>
      </c>
      <c r="DC73" s="31" t="n">
        <v>281006.094741086</v>
      </c>
      <c r="DD73" s="31" t="n">
        <v>836.692023379351</v>
      </c>
      <c r="DE73" s="31" t="n">
        <v>0</v>
      </c>
      <c r="DF73" s="31">
        <f>SUM(C73:DE73)</f>
        <v/>
      </c>
      <c r="DG73" s="31" t="n">
        <v>0</v>
      </c>
      <c r="DH73" s="31" t="n">
        <v>0</v>
      </c>
      <c r="DI73" s="31" t="n">
        <v>0</v>
      </c>
      <c r="DJ73" s="31" t="n">
        <v>0</v>
      </c>
      <c r="DK73" s="31">
        <f>SUM(DG73:DJ73)</f>
        <v/>
      </c>
      <c r="DL73" s="31">
        <f>DF73+DK73</f>
        <v/>
      </c>
    </row>
    <row r="74">
      <c r="A74" s="28" t="inlineStr">
        <is>
          <t>341/2</t>
        </is>
      </c>
      <c r="B74" s="28" t="inlineStr">
        <is>
          <t>Fabricación de vehículos automotores. Fabricación de carrocerías para vehículos automotores; fabricación de remolques y semirremolques</t>
        </is>
      </c>
      <c r="C74" s="29" t="n">
        <v>-3714391.425006959</v>
      </c>
      <c r="D74" s="29" t="n">
        <v>-728846.4542270283</v>
      </c>
      <c r="E74" s="29" t="n">
        <v>22.38732451805538</v>
      </c>
      <c r="F74" s="29" t="n">
        <v>0</v>
      </c>
      <c r="G74" s="29" t="n">
        <v>175.2278201404477</v>
      </c>
      <c r="H74" s="29" t="n">
        <v>1437.383332754657</v>
      </c>
      <c r="I74" s="29" t="n">
        <v>11.45350569936137</v>
      </c>
      <c r="J74" s="29" t="n">
        <v>221165.2289299761</v>
      </c>
      <c r="K74" s="29" t="n">
        <v>140913.603242029</v>
      </c>
      <c r="L74" s="29" t="n">
        <v>662.4656855902758</v>
      </c>
      <c r="M74" s="29" t="n">
        <v>3182.129215152379</v>
      </c>
      <c r="N74" s="29" t="n">
        <v>-277942.7595465127</v>
      </c>
      <c r="O74" s="29" t="n">
        <v>-119917.8235215252</v>
      </c>
      <c r="P74" s="29" t="n">
        <v>-37872.75103714657</v>
      </c>
      <c r="Q74" s="29" t="n">
        <v>-951107.6124728282</v>
      </c>
      <c r="R74" s="29" t="n">
        <v>-125843.8267532582</v>
      </c>
      <c r="S74" s="29" t="n">
        <v>-189033.5574353907</v>
      </c>
      <c r="T74" s="29" t="n">
        <v>-269272.2174933415</v>
      </c>
      <c r="U74" s="29" t="n">
        <v>-85297.8511974287</v>
      </c>
      <c r="V74" s="29" t="n">
        <v>-31378.31778069128</v>
      </c>
      <c r="W74" s="29" t="n">
        <v>-63599.230506214</v>
      </c>
      <c r="X74" s="29" t="n">
        <v>-35898.72812395083</v>
      </c>
      <c r="Y74" s="29" t="n">
        <v>-554841.6156937148</v>
      </c>
      <c r="Z74" s="29" t="n">
        <v>-85579.86065318888</v>
      </c>
      <c r="AA74" s="29" t="n">
        <v>-168558.8444741429</v>
      </c>
      <c r="AB74" s="29" t="n">
        <v>-25362.50549260983</v>
      </c>
      <c r="AC74" s="29" t="n">
        <v>77337.11382579431</v>
      </c>
      <c r="AD74" s="29" t="n">
        <v>50216.33779906067</v>
      </c>
      <c r="AE74" s="29" t="n">
        <v>-6515.052636170241</v>
      </c>
      <c r="AF74" s="29" t="n">
        <v>-119937.2039168792</v>
      </c>
      <c r="AG74" s="29" t="n">
        <v>-42432.31208611442</v>
      </c>
      <c r="AH74" s="29" t="n">
        <v>-131.3452189230951</v>
      </c>
      <c r="AI74" s="29" t="n">
        <v>18238.9470376759</v>
      </c>
      <c r="AJ74" s="29" t="n">
        <v>1196.457156045726</v>
      </c>
      <c r="AK74" s="29" t="n">
        <v>-67399.40558391066</v>
      </c>
      <c r="AL74" s="29" t="n">
        <v>8129.461475828073</v>
      </c>
      <c r="AM74" s="29" t="n">
        <v>-2168146.890888091</v>
      </c>
      <c r="AN74" s="29" t="n">
        <v>-188464.5798090361</v>
      </c>
      <c r="AO74" s="29" t="n">
        <v>-57964.79432536512</v>
      </c>
      <c r="AP74" s="29" t="n">
        <v>-121372.3454566797</v>
      </c>
      <c r="AQ74" s="29" t="n">
        <v>-377034.318373467</v>
      </c>
      <c r="AR74" s="29" t="n">
        <v>-19429.41742785372</v>
      </c>
      <c r="AS74" s="29" t="n">
        <v>3619.356879573449</v>
      </c>
      <c r="AT74" s="29" t="n">
        <v>5069.882323427848</v>
      </c>
      <c r="AU74" s="29" t="n">
        <v>52500.41039886224</v>
      </c>
      <c r="AV74" s="29" t="n">
        <v>53251.89740753909</v>
      </c>
      <c r="AW74" s="29" t="n">
        <v>11714.07980150715</v>
      </c>
      <c r="AX74" s="29" t="n">
        <v>65479.12690794999</v>
      </c>
      <c r="AY74" s="29" t="n">
        <v>29226.85521652926</v>
      </c>
      <c r="AZ74" s="29" t="n">
        <v>130970.5020026377</v>
      </c>
      <c r="BA74" s="29" t="n">
        <v>38283.26049641443</v>
      </c>
      <c r="BB74" s="29" t="n">
        <v>7677632.355143648</v>
      </c>
      <c r="BC74" s="29" t="n">
        <v>-17097.12826209069</v>
      </c>
      <c r="BD74" s="29" t="n">
        <v>-3633.584859583003</v>
      </c>
      <c r="BE74" s="29" t="n">
        <v>286635.3747571214</v>
      </c>
      <c r="BF74" s="29" t="n">
        <v>-2462.839057872834</v>
      </c>
      <c r="BG74" s="29" t="n">
        <v>22735.32294167114</v>
      </c>
      <c r="BH74" s="29" t="n">
        <v>40873.28708985711</v>
      </c>
      <c r="BI74" s="29" t="n">
        <v>-693.7725842271382</v>
      </c>
      <c r="BJ74" s="29" t="n">
        <v>17236.33606008887</v>
      </c>
      <c r="BK74" s="29" t="n">
        <v>76653633.58517741</v>
      </c>
      <c r="BL74" s="29" t="n">
        <v>5347363.22969788</v>
      </c>
      <c r="BM74" s="29" t="n">
        <v>407882.8246588166</v>
      </c>
      <c r="BN74" s="29" t="n">
        <v>-26286.60835387173</v>
      </c>
      <c r="BO74" s="29" t="n">
        <v>19186.83964438269</v>
      </c>
      <c r="BP74" s="29" t="n">
        <v>864882.3664273581</v>
      </c>
      <c r="BQ74" s="29" t="n">
        <v>3025.454977187894</v>
      </c>
      <c r="BR74" s="29" t="n">
        <v>996.6809712010828</v>
      </c>
      <c r="BS74" s="29" t="n">
        <v>844502.2352048556</v>
      </c>
      <c r="BT74" s="29" t="n">
        <v>1752075.069371355</v>
      </c>
      <c r="BU74" s="29" t="n">
        <v>6111850.177640738</v>
      </c>
      <c r="BV74" s="29" t="n">
        <v>3846730.39499508</v>
      </c>
      <c r="BW74" s="29" t="n">
        <v>331621.315396164</v>
      </c>
      <c r="BX74" s="29" t="n">
        <v>-163430.0024992601</v>
      </c>
      <c r="BY74" s="29" t="n">
        <v>90251.3234573653</v>
      </c>
      <c r="BZ74" s="29" t="n">
        <v>185.1157014449068</v>
      </c>
      <c r="CA74" s="29" t="n">
        <v>26556922.74669394</v>
      </c>
      <c r="CB74" s="29" t="n">
        <v>151011.4419903869</v>
      </c>
      <c r="CC74" s="29" t="n">
        <v>10344.10200972083</v>
      </c>
      <c r="CD74" s="29" t="n">
        <v>733.5640692437634</v>
      </c>
      <c r="CE74" s="29" t="n">
        <v>2992838.477716754</v>
      </c>
      <c r="CF74" s="29" t="n">
        <v>5011.242911950856</v>
      </c>
      <c r="CG74" s="29" t="n">
        <v>-234068.4022346029</v>
      </c>
      <c r="CH74" s="29" t="n">
        <v>-8659550.236191273</v>
      </c>
      <c r="CI74" s="29" t="n">
        <v>-20399.87614955549</v>
      </c>
      <c r="CJ74" s="29" t="n">
        <v>11807.65737264391</v>
      </c>
      <c r="CK74" s="29" t="n">
        <v>255.3366469348019</v>
      </c>
      <c r="CL74" s="29" t="n">
        <v>93756.55985330828</v>
      </c>
      <c r="CM74" s="29" t="n">
        <v>-1233.588901921102</v>
      </c>
      <c r="CN74" s="29" t="n">
        <v>6787.552848545176</v>
      </c>
      <c r="CO74" s="29" t="n">
        <v>3754.925248942264</v>
      </c>
      <c r="CP74" s="29" t="n">
        <v>1420.414200323145</v>
      </c>
      <c r="CQ74" s="29" t="n">
        <v>-1615.410685863579</v>
      </c>
      <c r="CR74" s="29" t="n">
        <v>-695640.0754735204</v>
      </c>
      <c r="CS74" s="29" t="n">
        <v>16587.20241610609</v>
      </c>
      <c r="CT74" s="29" t="n">
        <v>15145.93988778051</v>
      </c>
      <c r="CU74" s="29" t="n">
        <v>-387970.6740475169</v>
      </c>
      <c r="CV74" s="29" t="n">
        <v>808044.1562299829</v>
      </c>
      <c r="CW74" s="29" t="n">
        <v>10062.04439596348</v>
      </c>
      <c r="CX74" s="29" t="n">
        <v>46352.86784143544</v>
      </c>
      <c r="CY74" s="29" t="n">
        <v>186492.5909772172</v>
      </c>
      <c r="CZ74" s="29" t="n">
        <v>50423.69762749627</v>
      </c>
      <c r="DA74" s="29" t="n">
        <v>1374612.805329369</v>
      </c>
      <c r="DB74" s="29" t="n">
        <v>46199.7805311378</v>
      </c>
      <c r="DC74" s="29" t="n">
        <v>-1742851.282940577</v>
      </c>
      <c r="DD74" s="29" t="n">
        <v>174990.3565504954</v>
      </c>
      <c r="DE74" s="29" t="n">
        <v>0</v>
      </c>
      <c r="DF74" s="29">
        <f>SUM(C74:DE74)</f>
        <v/>
      </c>
      <c r="DG74" s="29" t="n">
        <v>0</v>
      </c>
      <c r="DH74" s="29" t="n">
        <v>0</v>
      </c>
      <c r="DI74" s="29" t="n">
        <v>0</v>
      </c>
      <c r="DJ74" s="29" t="n">
        <v>0</v>
      </c>
      <c r="DK74" s="29">
        <f>SUM(DG74:DJ74)</f>
        <v/>
      </c>
      <c r="DL74" s="29">
        <f>DF74+DK74</f>
        <v/>
      </c>
    </row>
    <row r="75">
      <c r="A75" s="30" t="inlineStr">
        <is>
          <t>34300</t>
        </is>
      </c>
      <c r="B75" s="30" t="inlineStr">
        <is>
          <t>34300 - Fabricación de partes; piezas y accesorios para vehículos automotores y sus motores</t>
        </is>
      </c>
      <c r="C75" s="31" t="n">
        <v>441650.8647472928</v>
      </c>
      <c r="D75" s="31" t="n">
        <v>-55284.73586864938</v>
      </c>
      <c r="E75" s="31" t="n">
        <v>49.9550668649448</v>
      </c>
      <c r="F75" s="31" t="n">
        <v>360.8746565622214</v>
      </c>
      <c r="G75" s="31" t="n">
        <v>391.0032869115233</v>
      </c>
      <c r="H75" s="31" t="n">
        <v>25855.91643450695</v>
      </c>
      <c r="I75" s="31" t="n">
        <v>23.09234221279931</v>
      </c>
      <c r="J75" s="31" t="n">
        <v>146808.6010115477</v>
      </c>
      <c r="K75" s="31" t="n">
        <v>111076.387919456</v>
      </c>
      <c r="L75" s="31" t="n">
        <v>1503.359559133023</v>
      </c>
      <c r="M75" s="31" t="n">
        <v>4702.730272537397</v>
      </c>
      <c r="N75" s="31" t="n">
        <v>32722.30193852675</v>
      </c>
      <c r="O75" s="31" t="n">
        <v>16267.32707722258</v>
      </c>
      <c r="P75" s="31" t="n">
        <v>16228.51440996038</v>
      </c>
      <c r="Q75" s="31" t="n">
        <v>-1721.010357957421</v>
      </c>
      <c r="R75" s="31" t="n">
        <v>25711.10589548916</v>
      </c>
      <c r="S75" s="31" t="n">
        <v>16083.05535959881</v>
      </c>
      <c r="T75" s="31" t="n">
        <v>65317.63058790111</v>
      </c>
      <c r="U75" s="31" t="n">
        <v>19729.11132986115</v>
      </c>
      <c r="V75" s="31" t="n">
        <v>23759.49623657595</v>
      </c>
      <c r="W75" s="31" t="n">
        <v>12981.72897681754</v>
      </c>
      <c r="X75" s="31" t="n">
        <v>2634.942525650051</v>
      </c>
      <c r="Y75" s="31" t="n">
        <v>-13943.96740582012</v>
      </c>
      <c r="Z75" s="31" t="n">
        <v>-2439.962959341546</v>
      </c>
      <c r="AA75" s="31" t="n">
        <v>6690.661641942669</v>
      </c>
      <c r="AB75" s="31" t="n">
        <v>18482.01143356418</v>
      </c>
      <c r="AC75" s="31" t="n">
        <v>79775.94207373483</v>
      </c>
      <c r="AD75" s="31" t="n">
        <v>20493.3258932773</v>
      </c>
      <c r="AE75" s="31" t="n">
        <v>48094.55863949447</v>
      </c>
      <c r="AF75" s="31" t="n">
        <v>315.6591067474089</v>
      </c>
      <c r="AG75" s="31" t="n">
        <v>8118.553485303074</v>
      </c>
      <c r="AH75" s="31" t="n">
        <v>4550.915633125343</v>
      </c>
      <c r="AI75" s="31" t="n">
        <v>38492.9964005365</v>
      </c>
      <c r="AJ75" s="31" t="n">
        <v>160708.8724842082</v>
      </c>
      <c r="AK75" s="31" t="n">
        <v>-1236.732619822919</v>
      </c>
      <c r="AL75" s="31" t="n">
        <v>19592.66107130627</v>
      </c>
      <c r="AM75" s="31" t="n">
        <v>-160120.6070288228</v>
      </c>
      <c r="AN75" s="31" t="n">
        <v>19692.16120779556</v>
      </c>
      <c r="AO75" s="31" t="n">
        <v>-146.418825308905</v>
      </c>
      <c r="AP75" s="31" t="n">
        <v>4520.319808827233</v>
      </c>
      <c r="AQ75" s="31" t="n">
        <v>54189.38606106597</v>
      </c>
      <c r="AR75" s="31" t="n">
        <v>6128.537238642305</v>
      </c>
      <c r="AS75" s="31" t="n">
        <v>20887.90770436424</v>
      </c>
      <c r="AT75" s="31" t="n">
        <v>13368.08864077016</v>
      </c>
      <c r="AU75" s="31" t="n">
        <v>115826.5196936201</v>
      </c>
      <c r="AV75" s="31" t="n">
        <v>302071.3456602973</v>
      </c>
      <c r="AW75" s="31" t="n">
        <v>84540.82975331483</v>
      </c>
      <c r="AX75" s="31" t="n">
        <v>142760.0675602877</v>
      </c>
      <c r="AY75" s="31" t="n">
        <v>33299.3575103823</v>
      </c>
      <c r="AZ75" s="31" t="n">
        <v>119666.8398884063</v>
      </c>
      <c r="BA75" s="31" t="n">
        <v>282057.6620895463</v>
      </c>
      <c r="BB75" s="31" t="n">
        <v>2308591.671147925</v>
      </c>
      <c r="BC75" s="31" t="n">
        <v>118796.594638011</v>
      </c>
      <c r="BD75" s="31" t="n">
        <v>97.13428749638717</v>
      </c>
      <c r="BE75" s="31" t="n">
        <v>120167.5545685779</v>
      </c>
      <c r="BF75" s="31" t="n">
        <v>23670.16187632607</v>
      </c>
      <c r="BG75" s="31" t="n">
        <v>24300.56724072872</v>
      </c>
      <c r="BH75" s="31" t="n">
        <v>40833.30781833857</v>
      </c>
      <c r="BI75" s="31" t="n">
        <v>5283.163527584041</v>
      </c>
      <c r="BJ75" s="31" t="n">
        <v>6873.656918261712</v>
      </c>
      <c r="BK75" s="31" t="n">
        <v>22325289.11883138</v>
      </c>
      <c r="BL75" s="31" t="n">
        <v>1547683.890192285</v>
      </c>
      <c r="BM75" s="31" t="n">
        <v>139060.9645936269</v>
      </c>
      <c r="BN75" s="31" t="n">
        <v>36965.64698762909</v>
      </c>
      <c r="BO75" s="31" t="n">
        <v>108977.6190338902</v>
      </c>
      <c r="BP75" s="31" t="n">
        <v>308985.0484554776</v>
      </c>
      <c r="BQ75" s="31" t="n">
        <v>1113.164241095003</v>
      </c>
      <c r="BR75" s="31" t="n">
        <v>41051.48556787329</v>
      </c>
      <c r="BS75" s="31" t="n">
        <v>1055700.776972936</v>
      </c>
      <c r="BT75" s="31" t="n">
        <v>477607.1926658917</v>
      </c>
      <c r="BU75" s="31" t="n">
        <v>1472910.925796508</v>
      </c>
      <c r="BV75" s="31" t="n">
        <v>1025799.881804368</v>
      </c>
      <c r="BW75" s="31" t="n">
        <v>64334.36084997333</v>
      </c>
      <c r="BX75" s="31" t="n">
        <v>-9502.474329254019</v>
      </c>
      <c r="BY75" s="31" t="n">
        <v>54940.29064735162</v>
      </c>
      <c r="BZ75" s="31" t="n">
        <v>41265.56238085701</v>
      </c>
      <c r="CA75" s="31" t="n">
        <v>7300978.035977809</v>
      </c>
      <c r="CB75" s="31" t="n">
        <v>62546.85184763993</v>
      </c>
      <c r="CC75" s="31" t="n">
        <v>7192.284819012049</v>
      </c>
      <c r="CD75" s="31" t="n">
        <v>3202.778042604172</v>
      </c>
      <c r="CE75" s="31" t="n">
        <v>844203.1232219829</v>
      </c>
      <c r="CF75" s="31" t="n">
        <v>10953.76566874493</v>
      </c>
      <c r="CG75" s="31" t="n">
        <v>1107.228040444344</v>
      </c>
      <c r="CH75" s="31" t="n">
        <v>-498035.2107192573</v>
      </c>
      <c r="CI75" s="31" t="n">
        <v>-231.6761841710077</v>
      </c>
      <c r="CJ75" s="31" t="n">
        <v>3638.889877550534</v>
      </c>
      <c r="CK75" s="31" t="n">
        <v>323.8440840490689</v>
      </c>
      <c r="CL75" s="31" t="n">
        <v>26403.25435774428</v>
      </c>
      <c r="CM75" s="31" t="n">
        <v>372.6529540072069</v>
      </c>
      <c r="CN75" s="31" t="n">
        <v>20364.45699307678</v>
      </c>
      <c r="CO75" s="31" t="n">
        <v>12651.49271872044</v>
      </c>
      <c r="CP75" s="31" t="n">
        <v>144.6615544309652</v>
      </c>
      <c r="CQ75" s="31" t="n">
        <v>20908.14536132588</v>
      </c>
      <c r="CR75" s="31" t="n">
        <v>-31620.85993537191</v>
      </c>
      <c r="CS75" s="31" t="n">
        <v>5255.017655394819</v>
      </c>
      <c r="CT75" s="31" t="n">
        <v>4798.409009620068</v>
      </c>
      <c r="CU75" s="31" t="n">
        <v>74193.38017986508</v>
      </c>
      <c r="CV75" s="31" t="n">
        <v>256040.9195368724</v>
      </c>
      <c r="CW75" s="31" t="n">
        <v>48179.36324246199</v>
      </c>
      <c r="CX75" s="31" t="n">
        <v>15576.45256642735</v>
      </c>
      <c r="CY75" s="31" t="n">
        <v>68484.9541905363</v>
      </c>
      <c r="CZ75" s="31" t="n">
        <v>6207.126702137659</v>
      </c>
      <c r="DA75" s="31" t="n">
        <v>355153.4490390382</v>
      </c>
      <c r="DB75" s="31" t="n">
        <v>35017.3144785092</v>
      </c>
      <c r="DC75" s="31" t="n">
        <v>-115392.6574281156</v>
      </c>
      <c r="DD75" s="31" t="n">
        <v>33156.55536939674</v>
      </c>
      <c r="DE75" s="31" t="n">
        <v>0</v>
      </c>
      <c r="DF75" s="31">
        <f>SUM(C75:DE75)</f>
        <v/>
      </c>
      <c r="DG75" s="31" t="n">
        <v>0</v>
      </c>
      <c r="DH75" s="31" t="n">
        <v>0</v>
      </c>
      <c r="DI75" s="31" t="n">
        <v>0</v>
      </c>
      <c r="DJ75" s="31" t="n">
        <v>0</v>
      </c>
      <c r="DK75" s="31">
        <f>SUM(DG75:DJ75)</f>
        <v/>
      </c>
      <c r="DL75" s="31">
        <f>DF75+DK75</f>
        <v/>
      </c>
    </row>
    <row r="76">
      <c r="A76" s="28" t="inlineStr">
        <is>
          <t>351/2/3/9</t>
        </is>
      </c>
      <c r="B76" s="28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9" t="n">
        <v>-36609.38099043682</v>
      </c>
      <c r="D76" s="29" t="n">
        <v>-6182.173658243817</v>
      </c>
      <c r="E76" s="29" t="n">
        <v>247.5778360799068</v>
      </c>
      <c r="F76" s="29" t="n">
        <v>363.1497769754814</v>
      </c>
      <c r="G76" s="29" t="n">
        <v>1937.816396791101</v>
      </c>
      <c r="H76" s="29" t="n">
        <v>5657.36690824964</v>
      </c>
      <c r="I76" s="29" t="n">
        <v>113.2677796538685</v>
      </c>
      <c r="J76" s="29" t="n">
        <v>32286.54953098168</v>
      </c>
      <c r="K76" s="29" t="n">
        <v>6861.242425333084</v>
      </c>
      <c r="L76" s="29" t="n">
        <v>2728.739637831771</v>
      </c>
      <c r="M76" s="29" t="n">
        <v>2293.35472069587</v>
      </c>
      <c r="N76" s="29" t="n">
        <v>-2933.52109972596</v>
      </c>
      <c r="O76" s="29" t="n">
        <v>-633.0263195531459</v>
      </c>
      <c r="P76" s="29" t="n">
        <v>2310.167810011454</v>
      </c>
      <c r="Q76" s="29" t="n">
        <v>-5295.299616339551</v>
      </c>
      <c r="R76" s="29" t="n">
        <v>2986.968155218829</v>
      </c>
      <c r="S76" s="29" t="n">
        <v>-1110.298583285237</v>
      </c>
      <c r="T76" s="29" t="n">
        <v>-2114.715765273092</v>
      </c>
      <c r="U76" s="29" t="n">
        <v>2724.856064420625</v>
      </c>
      <c r="V76" s="29" t="n">
        <v>821.795455283756</v>
      </c>
      <c r="W76" s="29" t="n">
        <v>1764.762887838635</v>
      </c>
      <c r="X76" s="29" t="n">
        <v>19.5831900321179</v>
      </c>
      <c r="Y76" s="29" t="n">
        <v>-5112.830385888765</v>
      </c>
      <c r="Z76" s="29" t="n">
        <v>-434.275371490387</v>
      </c>
      <c r="AA76" s="29" t="n">
        <v>-1396.591095167966</v>
      </c>
      <c r="AB76" s="29" t="n">
        <v>3080.245472494314</v>
      </c>
      <c r="AC76" s="29" t="n">
        <v>9064.883634345182</v>
      </c>
      <c r="AD76" s="29" t="n">
        <v>1973.495826896509</v>
      </c>
      <c r="AE76" s="29" t="n">
        <v>1569.006910967438</v>
      </c>
      <c r="AF76" s="29" t="n">
        <v>-1287.047919070003</v>
      </c>
      <c r="AG76" s="29" t="n">
        <v>-577.4558428386038</v>
      </c>
      <c r="AH76" s="29" t="n">
        <v>418.6426618974712</v>
      </c>
      <c r="AI76" s="29" t="n">
        <v>2047.486024141494</v>
      </c>
      <c r="AJ76" s="29" t="n">
        <v>4529.953407266484</v>
      </c>
      <c r="AK76" s="29" t="n">
        <v>2284.912269381191</v>
      </c>
      <c r="AL76" s="29" t="n">
        <v>3452.601734281903</v>
      </c>
      <c r="AM76" s="29" t="n">
        <v>-33124.97616645174</v>
      </c>
      <c r="AN76" s="29" t="n">
        <v>-966.645482146256</v>
      </c>
      <c r="AO76" s="29" t="n">
        <v>1821.795530977197</v>
      </c>
      <c r="AP76" s="29" t="n">
        <v>512.8721343688348</v>
      </c>
      <c r="AQ76" s="29" t="n">
        <v>10726.13694650743</v>
      </c>
      <c r="AR76" s="29" t="n">
        <v>1878.366739338064</v>
      </c>
      <c r="AS76" s="29" t="n">
        <v>4772.033843401706</v>
      </c>
      <c r="AT76" s="29" t="n">
        <v>831.5537606245716</v>
      </c>
      <c r="AU76" s="29" t="n">
        <v>4271.954412724728</v>
      </c>
      <c r="AV76" s="29" t="n">
        <v>3895.661221064176</v>
      </c>
      <c r="AW76" s="29" t="n">
        <v>1254.023144350069</v>
      </c>
      <c r="AX76" s="29" t="n">
        <v>2629.143785763276</v>
      </c>
      <c r="AY76" s="29" t="n">
        <v>1816.987477824867</v>
      </c>
      <c r="AZ76" s="29" t="n">
        <v>4628.524983097754</v>
      </c>
      <c r="BA76" s="29" t="n">
        <v>4890.261183556026</v>
      </c>
      <c r="BB76" s="29" t="n">
        <v>24991.44130312445</v>
      </c>
      <c r="BC76" s="29" t="n">
        <v>3061.143687715838</v>
      </c>
      <c r="BD76" s="29" t="n">
        <v>101.0887660923468</v>
      </c>
      <c r="BE76" s="29" t="n">
        <v>4125.069199606567</v>
      </c>
      <c r="BF76" s="29" t="n">
        <v>512.2755024385289</v>
      </c>
      <c r="BG76" s="29" t="n">
        <v>1635.14215621253</v>
      </c>
      <c r="BH76" s="29" t="n">
        <v>3821.86073102725</v>
      </c>
      <c r="BI76" s="29" t="n">
        <v>589.5023967179743</v>
      </c>
      <c r="BJ76" s="29" t="n">
        <v>3589.944770950132</v>
      </c>
      <c r="BK76" s="29" t="n">
        <v>94125.86122511997</v>
      </c>
      <c r="BL76" s="29" t="n">
        <v>141138.5504817954</v>
      </c>
      <c r="BM76" s="29" t="n">
        <v>3001884.128311623</v>
      </c>
      <c r="BN76" s="29" t="n">
        <v>2877.203591016185</v>
      </c>
      <c r="BO76" s="29" t="n">
        <v>2675.663623078326</v>
      </c>
      <c r="BP76" s="29" t="n">
        <v>13132.22143974639</v>
      </c>
      <c r="BQ76" s="29" t="n">
        <v>2400.542884772819</v>
      </c>
      <c r="BR76" s="29" t="n">
        <v>2953.382170944416</v>
      </c>
      <c r="BS76" s="29" t="n">
        <v>140809.5306997404</v>
      </c>
      <c r="BT76" s="29" t="n">
        <v>6735.822197464004</v>
      </c>
      <c r="BU76" s="29" t="n">
        <v>18541.43015639076</v>
      </c>
      <c r="BV76" s="29" t="n">
        <v>28361.02201482699</v>
      </c>
      <c r="BW76" s="29" t="n">
        <v>5971.951334690106</v>
      </c>
      <c r="BX76" s="29" t="n">
        <v>1686.576677555277</v>
      </c>
      <c r="BY76" s="29" t="n">
        <v>11140.70091989692</v>
      </c>
      <c r="BZ76" s="29" t="n">
        <v>13456.18458874339</v>
      </c>
      <c r="CA76" s="29" t="n">
        <v>69339.66902346052</v>
      </c>
      <c r="CB76" s="29" t="n">
        <v>587577.4409417941</v>
      </c>
      <c r="CC76" s="29" t="n">
        <v>94.6429764269065</v>
      </c>
      <c r="CD76" s="29" t="n">
        <v>8006.973125024679</v>
      </c>
      <c r="CE76" s="29" t="n">
        <v>1331872.067755044</v>
      </c>
      <c r="CF76" s="29" t="n">
        <v>792.1430259255168</v>
      </c>
      <c r="CG76" s="29" t="n">
        <v>5908.966878783607</v>
      </c>
      <c r="CH76" s="29" t="n">
        <v>-118619.0969513407</v>
      </c>
      <c r="CI76" s="29" t="n">
        <v>5227.022587071925</v>
      </c>
      <c r="CJ76" s="29" t="n">
        <v>16569.16315961498</v>
      </c>
      <c r="CK76" s="29" t="n">
        <v>1630.603402469806</v>
      </c>
      <c r="CL76" s="29" t="n">
        <v>3292.264152525845</v>
      </c>
      <c r="CM76" s="29" t="n">
        <v>1003.193150867168</v>
      </c>
      <c r="CN76" s="29" t="n">
        <v>17231.68740135783</v>
      </c>
      <c r="CO76" s="29" t="n">
        <v>14191.0941138587</v>
      </c>
      <c r="CP76" s="29" t="n">
        <v>542.9726101453526</v>
      </c>
      <c r="CQ76" s="29" t="n">
        <v>3070.258720198235</v>
      </c>
      <c r="CR76" s="29" t="n">
        <v>3946.184298288467</v>
      </c>
      <c r="CS76" s="29" t="n">
        <v>5466.822166502779</v>
      </c>
      <c r="CT76" s="29" t="n">
        <v>4991.809820240608</v>
      </c>
      <c r="CU76" s="29" t="n">
        <v>13480.57932024877</v>
      </c>
      <c r="CV76" s="29" t="n">
        <v>266219.374184581</v>
      </c>
      <c r="CW76" s="29" t="n">
        <v>5406.80123446418</v>
      </c>
      <c r="CX76" s="29" t="n">
        <v>33155.68840222018</v>
      </c>
      <c r="CY76" s="29" t="n">
        <v>34182.55452937716</v>
      </c>
      <c r="CZ76" s="29" t="n">
        <v>6261.576909504316</v>
      </c>
      <c r="DA76" s="29" t="n">
        <v>3310.923468037549</v>
      </c>
      <c r="DB76" s="29" t="n">
        <v>20369.95743280415</v>
      </c>
      <c r="DC76" s="29" t="n">
        <v>-16791.69958494252</v>
      </c>
      <c r="DD76" s="29" t="n">
        <v>1164.874726184213</v>
      </c>
      <c r="DE76" s="29" t="n">
        <v>0</v>
      </c>
      <c r="DF76" s="29">
        <f>SUM(C76:DE76)</f>
        <v/>
      </c>
      <c r="DG76" s="29" t="n">
        <v>0</v>
      </c>
      <c r="DH76" s="29" t="n">
        <v>0</v>
      </c>
      <c r="DI76" s="29" t="n">
        <v>0</v>
      </c>
      <c r="DJ76" s="29" t="n">
        <v>0</v>
      </c>
      <c r="DK76" s="29">
        <f>SUM(DG76:DJ76)</f>
        <v/>
      </c>
      <c r="DL76" s="29">
        <f>DF76+DK76</f>
        <v/>
      </c>
    </row>
    <row r="77">
      <c r="A77" s="30" t="inlineStr">
        <is>
          <t>361/9</t>
        </is>
      </c>
      <c r="B77" s="30" t="inlineStr">
        <is>
          <t>Fabricación de muebles. Industrias manufactureras, n.c.p.</t>
        </is>
      </c>
      <c r="C77" s="31" t="n">
        <v>-57561.96606466102</v>
      </c>
      <c r="D77" s="31" t="n">
        <v>-16449.27362982471</v>
      </c>
      <c r="E77" s="31" t="n">
        <v>16.68475701345075</v>
      </c>
      <c r="F77" s="31" t="n">
        <v>7752.858014726296</v>
      </c>
      <c r="G77" s="31" t="n">
        <v>130.5932559597334</v>
      </c>
      <c r="H77" s="31" t="n">
        <v>33486.70819232521</v>
      </c>
      <c r="I77" s="31" t="n">
        <v>17.73055061005674</v>
      </c>
      <c r="J77" s="31" t="n">
        <v>5224576.739978194</v>
      </c>
      <c r="K77" s="31" t="n">
        <v>75565.2968407577</v>
      </c>
      <c r="L77" s="31" t="n">
        <v>3815.726362022681</v>
      </c>
      <c r="M77" s="31" t="n">
        <v>6236.104846665011</v>
      </c>
      <c r="N77" s="31" t="n">
        <v>14866.23884848364</v>
      </c>
      <c r="O77" s="31" t="n">
        <v>1867.114568674216</v>
      </c>
      <c r="P77" s="31" t="n">
        <v>5219.94693905651</v>
      </c>
      <c r="Q77" s="31" t="n">
        <v>17871.88869750153</v>
      </c>
      <c r="R77" s="31" t="n">
        <v>37296.85087884832</v>
      </c>
      <c r="S77" s="31" t="n">
        <v>9379.618949568046</v>
      </c>
      <c r="T77" s="31" t="n">
        <v>14883.31319257761</v>
      </c>
      <c r="U77" s="31" t="n">
        <v>15954.66973841303</v>
      </c>
      <c r="V77" s="31" t="n">
        <v>9530.223882060984</v>
      </c>
      <c r="W77" s="31" t="n">
        <v>13358.67152556415</v>
      </c>
      <c r="X77" s="31" t="n">
        <v>2604.667875424478</v>
      </c>
      <c r="Y77" s="31" t="n">
        <v>55187.9454484959</v>
      </c>
      <c r="Z77" s="31" t="n">
        <v>4325.470491507383</v>
      </c>
      <c r="AA77" s="31" t="n">
        <v>14732.38788630088</v>
      </c>
      <c r="AB77" s="31" t="n">
        <v>11332.89565340277</v>
      </c>
      <c r="AC77" s="31" t="n">
        <v>191631.3362655834</v>
      </c>
      <c r="AD77" s="31" t="n">
        <v>6225.663970444735</v>
      </c>
      <c r="AE77" s="31" t="n">
        <v>43575.64799415536</v>
      </c>
      <c r="AF77" s="31" t="n">
        <v>725435.2450169871</v>
      </c>
      <c r="AG77" s="31" t="n">
        <v>11009.78148556592</v>
      </c>
      <c r="AH77" s="31" t="n">
        <v>3439.955144801158</v>
      </c>
      <c r="AI77" s="31" t="n">
        <v>59847.9191692579</v>
      </c>
      <c r="AJ77" s="31" t="n">
        <v>51541.76600244302</v>
      </c>
      <c r="AK77" s="31" t="n">
        <v>262637.6648480819</v>
      </c>
      <c r="AL77" s="31" t="n">
        <v>249110.7729393749</v>
      </c>
      <c r="AM77" s="31" t="n">
        <v>-38095.0529892882</v>
      </c>
      <c r="AN77" s="31" t="n">
        <v>2442.834926445847</v>
      </c>
      <c r="AO77" s="31" t="n">
        <v>2587.438371379187</v>
      </c>
      <c r="AP77" s="31" t="n">
        <v>3840.983088416453</v>
      </c>
      <c r="AQ77" s="31" t="n">
        <v>89300.92607925936</v>
      </c>
      <c r="AR77" s="31" t="n">
        <v>8704.441482620798</v>
      </c>
      <c r="AS77" s="31" t="n">
        <v>24305.73177265182</v>
      </c>
      <c r="AT77" s="31" t="n">
        <v>16534.06855923746</v>
      </c>
      <c r="AU77" s="31" t="n">
        <v>57793.91992292798</v>
      </c>
      <c r="AV77" s="31" t="n">
        <v>574859.4061326073</v>
      </c>
      <c r="AW77" s="31" t="n">
        <v>26949.86516672327</v>
      </c>
      <c r="AX77" s="31" t="n">
        <v>40856.74176265729</v>
      </c>
      <c r="AY77" s="31" t="n">
        <v>12919.65270154342</v>
      </c>
      <c r="AZ77" s="31" t="n">
        <v>52047.12925365649</v>
      </c>
      <c r="BA77" s="31" t="n">
        <v>73478.08806519414</v>
      </c>
      <c r="BB77" s="31" t="n">
        <v>271082.6518206345</v>
      </c>
      <c r="BC77" s="31" t="n">
        <v>21000.38483886478</v>
      </c>
      <c r="BD77" s="31" t="n">
        <v>11578.072335566</v>
      </c>
      <c r="BE77" s="31" t="n">
        <v>11873.32665673568</v>
      </c>
      <c r="BF77" s="31" t="n">
        <v>4513.355357374885</v>
      </c>
      <c r="BG77" s="31" t="n">
        <v>117488.660996871</v>
      </c>
      <c r="BH77" s="31" t="n">
        <v>16210.24840251903</v>
      </c>
      <c r="BI77" s="31" t="n">
        <v>1306.348362034875</v>
      </c>
      <c r="BJ77" s="31" t="n">
        <v>19331.47516845813</v>
      </c>
      <c r="BK77" s="31" t="n">
        <v>5035037.550830649</v>
      </c>
      <c r="BL77" s="31" t="n">
        <v>1145067.272866376</v>
      </c>
      <c r="BM77" s="31" t="n">
        <v>17637.21333681465</v>
      </c>
      <c r="BN77" s="31" t="n">
        <v>742188.7331099059</v>
      </c>
      <c r="BO77" s="31" t="n">
        <v>28361.33527380565</v>
      </c>
      <c r="BP77" s="31" t="n">
        <v>84693.01450599384</v>
      </c>
      <c r="BQ77" s="31" t="n">
        <v>6019.503538511024</v>
      </c>
      <c r="BR77" s="31" t="n">
        <v>7306.766493023856</v>
      </c>
      <c r="BS77" s="31" t="n">
        <v>4747744.494442386</v>
      </c>
      <c r="BT77" s="31" t="n">
        <v>462612.2606040609</v>
      </c>
      <c r="BU77" s="31" t="n">
        <v>690096.8344584681</v>
      </c>
      <c r="BV77" s="31" t="n">
        <v>1496958.226643041</v>
      </c>
      <c r="BW77" s="31" t="n">
        <v>40396.06089840127</v>
      </c>
      <c r="BX77" s="31" t="n">
        <v>1408.227461268087</v>
      </c>
      <c r="BY77" s="31" t="n">
        <v>631896.7825687064</v>
      </c>
      <c r="BZ77" s="31" t="n">
        <v>2318.561425107578</v>
      </c>
      <c r="CA77" s="31" t="n">
        <v>7125.106317764216</v>
      </c>
      <c r="CB77" s="31" t="n">
        <v>4758.224546595052</v>
      </c>
      <c r="CC77" s="31" t="n">
        <v>254.9284002606805</v>
      </c>
      <c r="CD77" s="31" t="n">
        <v>4401.150757845967</v>
      </c>
      <c r="CE77" s="31" t="n">
        <v>11639.33988678025</v>
      </c>
      <c r="CF77" s="31" t="n">
        <v>2477.450571017329</v>
      </c>
      <c r="CG77" s="31" t="n">
        <v>18141.64182930973</v>
      </c>
      <c r="CH77" s="31" t="n">
        <v>-202536.8618304713</v>
      </c>
      <c r="CI77" s="31" t="n">
        <v>1569.004001922941</v>
      </c>
      <c r="CJ77" s="31" t="n">
        <v>284163.0875541627</v>
      </c>
      <c r="CK77" s="31" t="n">
        <v>33272.88355161498</v>
      </c>
      <c r="CL77" s="31" t="n">
        <v>220051.4964307338</v>
      </c>
      <c r="CM77" s="31" t="n">
        <v>60067.3394907411</v>
      </c>
      <c r="CN77" s="31" t="n">
        <v>144578.8677211526</v>
      </c>
      <c r="CO77" s="31" t="n">
        <v>88070.90231505422</v>
      </c>
      <c r="CP77" s="31" t="n">
        <v>539.1470794167185</v>
      </c>
      <c r="CQ77" s="31" t="n">
        <v>59205.81888928915</v>
      </c>
      <c r="CR77" s="31" t="n">
        <v>144500.5654813865</v>
      </c>
      <c r="CS77" s="31" t="n">
        <v>10431.44675472053</v>
      </c>
      <c r="CT77" s="31" t="n">
        <v>9525.058025226057</v>
      </c>
      <c r="CU77" s="31" t="n">
        <v>266610.3842939977</v>
      </c>
      <c r="CV77" s="31" t="n">
        <v>619641.0872500332</v>
      </c>
      <c r="CW77" s="31" t="n">
        <v>1872739.143679909</v>
      </c>
      <c r="CX77" s="31" t="n">
        <v>130663.9892555534</v>
      </c>
      <c r="CY77" s="31" t="n">
        <v>1152556.464323904</v>
      </c>
      <c r="CZ77" s="31" t="n">
        <v>128399.1124693356</v>
      </c>
      <c r="DA77" s="31" t="n">
        <v>530384.5275835642</v>
      </c>
      <c r="DB77" s="31" t="n">
        <v>2638382.411471626</v>
      </c>
      <c r="DC77" s="31" t="n">
        <v>90005.25933091785</v>
      </c>
      <c r="DD77" s="31" t="n">
        <v>23123.36760158671</v>
      </c>
      <c r="DE77" s="31" t="n">
        <v>0</v>
      </c>
      <c r="DF77" s="31">
        <f>SUM(C77:DE77)</f>
        <v/>
      </c>
      <c r="DG77" s="31" t="n">
        <v>0</v>
      </c>
      <c r="DH77" s="31" t="n">
        <v>0</v>
      </c>
      <c r="DI77" s="31" t="n">
        <v>0</v>
      </c>
      <c r="DJ77" s="31" t="n">
        <v>0</v>
      </c>
      <c r="DK77" s="31">
        <f>SUM(DG77:DJ77)</f>
        <v/>
      </c>
      <c r="DL77" s="31">
        <f>DF77+DK77</f>
        <v/>
      </c>
    </row>
    <row r="78">
      <c r="A78" s="28" t="inlineStr">
        <is>
          <t>37/38</t>
        </is>
      </c>
      <c r="B78" s="28" t="inlineStr">
        <is>
          <t>Reciclado. Reparación y mantenimiento</t>
        </is>
      </c>
      <c r="C78" s="29" t="n">
        <v>39646.13353268385</v>
      </c>
      <c r="D78" s="29" t="n">
        <v>-5193.858426572133</v>
      </c>
      <c r="E78" s="29" t="n">
        <v>674.8492259275824</v>
      </c>
      <c r="F78" s="29" t="n">
        <v>1194.352000313412</v>
      </c>
      <c r="G78" s="29" t="n">
        <v>5282.112147317481</v>
      </c>
      <c r="H78" s="29" t="n">
        <v>21443.88404808971</v>
      </c>
      <c r="I78" s="29" t="n">
        <v>324.4076794747244</v>
      </c>
      <c r="J78" s="29" t="n">
        <v>47448.63477512989</v>
      </c>
      <c r="K78" s="29" t="n">
        <v>40728.43549003098</v>
      </c>
      <c r="L78" s="29" t="n">
        <v>10632.30112775181</v>
      </c>
      <c r="M78" s="29" t="n">
        <v>7769.247696340535</v>
      </c>
      <c r="N78" s="29" t="n">
        <v>12161.19079020694</v>
      </c>
      <c r="O78" s="29" t="n">
        <v>2307.622563592287</v>
      </c>
      <c r="P78" s="29" t="n">
        <v>8121.348767452791</v>
      </c>
      <c r="Q78" s="29" t="n">
        <v>16945.9730314823</v>
      </c>
      <c r="R78" s="29" t="n">
        <v>30515.17068739129</v>
      </c>
      <c r="S78" s="29" t="n">
        <v>7545.337392052894</v>
      </c>
      <c r="T78" s="29" t="n">
        <v>58004.6428241629</v>
      </c>
      <c r="U78" s="29" t="n">
        <v>23315.18909017273</v>
      </c>
      <c r="V78" s="29" t="n">
        <v>6166.425101320201</v>
      </c>
      <c r="W78" s="29" t="n">
        <v>12162.36596704672</v>
      </c>
      <c r="X78" s="29" t="n">
        <v>2638.755528880834</v>
      </c>
      <c r="Y78" s="29" t="n">
        <v>15745.11082854036</v>
      </c>
      <c r="Z78" s="29" t="n">
        <v>2402.701994810722</v>
      </c>
      <c r="AA78" s="29" t="n">
        <v>14528.61409321158</v>
      </c>
      <c r="AB78" s="29" t="n">
        <v>10279.4722653735</v>
      </c>
      <c r="AC78" s="29" t="n">
        <v>27871.84174148955</v>
      </c>
      <c r="AD78" s="29" t="n">
        <v>21326.75523983712</v>
      </c>
      <c r="AE78" s="29" t="n">
        <v>17551.43565956519</v>
      </c>
      <c r="AF78" s="29" t="n">
        <v>1511.242960455066</v>
      </c>
      <c r="AG78" s="29" t="n">
        <v>243.6982759469782</v>
      </c>
      <c r="AH78" s="29" t="n">
        <v>10328.26064569409</v>
      </c>
      <c r="AI78" s="29" t="n">
        <v>18370.858025127</v>
      </c>
      <c r="AJ78" s="29" t="n">
        <v>246696.0780613911</v>
      </c>
      <c r="AK78" s="29" t="n">
        <v>53137.27837769446</v>
      </c>
      <c r="AL78" s="29" t="n">
        <v>78858.03070121807</v>
      </c>
      <c r="AM78" s="29" t="n">
        <v>-2590.233794191391</v>
      </c>
      <c r="AN78" s="29" t="n">
        <v>32688.92473464583</v>
      </c>
      <c r="AO78" s="29" t="n">
        <v>8083.922818216182</v>
      </c>
      <c r="AP78" s="29" t="n">
        <v>25993.63912830546</v>
      </c>
      <c r="AQ78" s="29" t="n">
        <v>158931.4831255786</v>
      </c>
      <c r="AR78" s="29" t="n">
        <v>6460.870205130053</v>
      </c>
      <c r="AS78" s="29" t="n">
        <v>407791.1498173584</v>
      </c>
      <c r="AT78" s="29" t="n">
        <v>6627.313124148298</v>
      </c>
      <c r="AU78" s="29" t="n">
        <v>34700.45705196681</v>
      </c>
      <c r="AV78" s="29" t="n">
        <v>104485.152667714</v>
      </c>
      <c r="AW78" s="29" t="n">
        <v>55961.9770253028</v>
      </c>
      <c r="AX78" s="29" t="n">
        <v>98747.70004886691</v>
      </c>
      <c r="AY78" s="29" t="n">
        <v>5129.604812300255</v>
      </c>
      <c r="AZ78" s="29" t="n">
        <v>37866.29783486595</v>
      </c>
      <c r="BA78" s="29" t="n">
        <v>12255.55894093214</v>
      </c>
      <c r="BB78" s="29" t="n">
        <v>92141.00616986668</v>
      </c>
      <c r="BC78" s="29" t="n">
        <v>13465.54673279163</v>
      </c>
      <c r="BD78" s="29" t="n">
        <v>45334.92128511117</v>
      </c>
      <c r="BE78" s="29" t="n">
        <v>9453.527695878343</v>
      </c>
      <c r="BF78" s="29" t="n">
        <v>23662.46509599621</v>
      </c>
      <c r="BG78" s="29" t="n">
        <v>7120.535549836082</v>
      </c>
      <c r="BH78" s="29" t="n">
        <v>7914.853008240249</v>
      </c>
      <c r="BI78" s="29" t="n">
        <v>3732.727058292333</v>
      </c>
      <c r="BJ78" s="29" t="n">
        <v>9299.732757088435</v>
      </c>
      <c r="BK78" s="29" t="n">
        <v>498604.764778224</v>
      </c>
      <c r="BL78" s="29" t="n">
        <v>37594.95522153025</v>
      </c>
      <c r="BM78" s="29" t="n">
        <v>11045.00648508704</v>
      </c>
      <c r="BN78" s="29" t="n">
        <v>23820.46927251503</v>
      </c>
      <c r="BO78" s="29" t="n">
        <v>99172.51345331685</v>
      </c>
      <c r="BP78" s="29" t="n">
        <v>47176.86459583839</v>
      </c>
      <c r="BQ78" s="29" t="n">
        <v>7281.126740092041</v>
      </c>
      <c r="BR78" s="29" t="n">
        <v>17687.5500571341</v>
      </c>
      <c r="BS78" s="29" t="n">
        <v>278620.4045458974</v>
      </c>
      <c r="BT78" s="29" t="n">
        <v>44174.51383996971</v>
      </c>
      <c r="BU78" s="29" t="n">
        <v>104776.1266149774</v>
      </c>
      <c r="BV78" s="29" t="n">
        <v>165611.6525562693</v>
      </c>
      <c r="BW78" s="29" t="n">
        <v>4529.963956875805</v>
      </c>
      <c r="BX78" s="29" t="n">
        <v>11234.95102796615</v>
      </c>
      <c r="BY78" s="29" t="n">
        <v>46437.13493937023</v>
      </c>
      <c r="BZ78" s="29" t="n">
        <v>3072.310663179299</v>
      </c>
      <c r="CA78" s="29" t="n">
        <v>266476.5090948192</v>
      </c>
      <c r="CB78" s="29" t="n">
        <v>8619.664374368875</v>
      </c>
      <c r="CC78" s="29" t="n">
        <v>312.7132446563789</v>
      </c>
      <c r="CD78" s="29" t="n">
        <v>28794.00556784806</v>
      </c>
      <c r="CE78" s="29" t="n">
        <v>22115.02115614907</v>
      </c>
      <c r="CF78" s="29" t="n">
        <v>6443.60405668345</v>
      </c>
      <c r="CG78" s="29" t="n">
        <v>4291.280949765616</v>
      </c>
      <c r="CH78" s="29" t="n">
        <v>-207157.8873792216</v>
      </c>
      <c r="CI78" s="29" t="n">
        <v>12288.1545493698</v>
      </c>
      <c r="CJ78" s="29" t="n">
        <v>63375.60309339676</v>
      </c>
      <c r="CK78" s="29" t="n">
        <v>12841.64273154592</v>
      </c>
      <c r="CL78" s="29" t="n">
        <v>33845.27039575118</v>
      </c>
      <c r="CM78" s="29" t="n">
        <v>12550.38916311254</v>
      </c>
      <c r="CN78" s="29" t="n">
        <v>23415.84400662185</v>
      </c>
      <c r="CO78" s="29" t="n">
        <v>12591.99456992584</v>
      </c>
      <c r="CP78" s="29" t="n">
        <v>1850.660936877528</v>
      </c>
      <c r="CQ78" s="29" t="n">
        <v>41370.85339122164</v>
      </c>
      <c r="CR78" s="29" t="n">
        <v>69877.26926092396</v>
      </c>
      <c r="CS78" s="29" t="n">
        <v>7587.286086872119</v>
      </c>
      <c r="CT78" s="29" t="n">
        <v>6928.026565322134</v>
      </c>
      <c r="CU78" s="29" t="n">
        <v>99250.46378929816</v>
      </c>
      <c r="CV78" s="29" t="n">
        <v>262880.4703182715</v>
      </c>
      <c r="CW78" s="29" t="n">
        <v>62094.52148772817</v>
      </c>
      <c r="CX78" s="29" t="n">
        <v>9982.191137082285</v>
      </c>
      <c r="CY78" s="29" t="n">
        <v>130130.7351803</v>
      </c>
      <c r="CZ78" s="29" t="n">
        <v>21518.61319649645</v>
      </c>
      <c r="DA78" s="29" t="n">
        <v>14907.06397191257</v>
      </c>
      <c r="DB78" s="29" t="n">
        <v>61075.03230216516</v>
      </c>
      <c r="DC78" s="29" t="n">
        <v>-39480.28605301227</v>
      </c>
      <c r="DD78" s="29" t="n">
        <v>3652.583050898255</v>
      </c>
      <c r="DE78" s="29" t="n">
        <v>0</v>
      </c>
      <c r="DF78" s="29">
        <f>SUM(C78:DE78)</f>
        <v/>
      </c>
      <c r="DG78" s="29" t="n">
        <v>0</v>
      </c>
      <c r="DH78" s="29" t="n">
        <v>0</v>
      </c>
      <c r="DI78" s="29" t="n">
        <v>0</v>
      </c>
      <c r="DJ78" s="29" t="n">
        <v>0</v>
      </c>
      <c r="DK78" s="29">
        <f>SUM(DG78:DJ78)</f>
        <v/>
      </c>
      <c r="DL78" s="29">
        <f>DF78+DK78</f>
        <v/>
      </c>
    </row>
    <row r="79">
      <c r="A79" s="30" t="inlineStr">
        <is>
          <t>401</t>
        </is>
      </c>
      <c r="B79" s="30" t="inlineStr">
        <is>
          <t>Generación captación y distribución de energía eléctrica</t>
        </is>
      </c>
      <c r="C79" s="31" t="n">
        <v>13385.6788534379</v>
      </c>
      <c r="D79" s="31" t="n">
        <v>29267.36784978386</v>
      </c>
      <c r="E79" s="31" t="n">
        <v>0</v>
      </c>
      <c r="F79" s="31" t="n">
        <v>19340.61576680583</v>
      </c>
      <c r="G79" s="31" t="n">
        <v>0</v>
      </c>
      <c r="H79" s="31" t="n">
        <v>39832.6137655882</v>
      </c>
      <c r="I79" s="31" t="n">
        <v>1775.068224804327</v>
      </c>
      <c r="J79" s="31" t="n">
        <v>466640.7335126913</v>
      </c>
      <c r="K79" s="31" t="n">
        <v>442111.6786398641</v>
      </c>
      <c r="L79" s="31" t="n">
        <v>95851.31001480116</v>
      </c>
      <c r="M79" s="31" t="n">
        <v>128362.7574136284</v>
      </c>
      <c r="N79" s="31" t="n">
        <v>50447.81174511438</v>
      </c>
      <c r="O79" s="31" t="n">
        <v>8808.748329981318</v>
      </c>
      <c r="P79" s="31" t="n">
        <v>15400.55467213118</v>
      </c>
      <c r="Q79" s="31" t="n">
        <v>146909.5671808782</v>
      </c>
      <c r="R79" s="31" t="n">
        <v>47675.30760282496</v>
      </c>
      <c r="S79" s="31" t="n">
        <v>40074.81879560907</v>
      </c>
      <c r="T79" s="31" t="n">
        <v>38375.34035464394</v>
      </c>
      <c r="U79" s="31" t="n">
        <v>100135.8556830626</v>
      </c>
      <c r="V79" s="31" t="n">
        <v>23773.01596916821</v>
      </c>
      <c r="W79" s="31" t="n">
        <v>8430.230713056448</v>
      </c>
      <c r="X79" s="31" t="n">
        <v>7397.243090879699</v>
      </c>
      <c r="Y79" s="31" t="n">
        <v>31530.38627865651</v>
      </c>
      <c r="Z79" s="31" t="n">
        <v>2471.440585761287</v>
      </c>
      <c r="AA79" s="31" t="n">
        <v>9828.911791753275</v>
      </c>
      <c r="AB79" s="31" t="n">
        <v>22560.036016564</v>
      </c>
      <c r="AC79" s="31" t="n">
        <v>87779.80223461962</v>
      </c>
      <c r="AD79" s="31" t="n">
        <v>9625.776937847539</v>
      </c>
      <c r="AE79" s="31" t="n">
        <v>47283.75569967121</v>
      </c>
      <c r="AF79" s="31" t="n">
        <v>10181.74862417373</v>
      </c>
      <c r="AG79" s="31" t="n">
        <v>3768.954918967819</v>
      </c>
      <c r="AH79" s="31" t="n">
        <v>6862.160549574599</v>
      </c>
      <c r="AI79" s="31" t="n">
        <v>15244.55145140551</v>
      </c>
      <c r="AJ79" s="31" t="n">
        <v>46058.54087033486</v>
      </c>
      <c r="AK79" s="31" t="n">
        <v>5996.536219680485</v>
      </c>
      <c r="AL79" s="31" t="n">
        <v>12558.62703542349</v>
      </c>
      <c r="AM79" s="31" t="n">
        <v>45609.21356139026</v>
      </c>
      <c r="AN79" s="31" t="n">
        <v>184153.4260344545</v>
      </c>
      <c r="AO79" s="31" t="n">
        <v>22756.09212546852</v>
      </c>
      <c r="AP79" s="31" t="n">
        <v>32895.17524374115</v>
      </c>
      <c r="AQ79" s="31" t="n">
        <v>46314.52773762112</v>
      </c>
      <c r="AR79" s="31" t="n">
        <v>16779.43141245893</v>
      </c>
      <c r="AS79" s="31" t="n">
        <v>47466.58597011596</v>
      </c>
      <c r="AT79" s="31" t="n">
        <v>22977.87180828952</v>
      </c>
      <c r="AU79" s="31" t="n">
        <v>139752.9903254165</v>
      </c>
      <c r="AV79" s="31" t="n">
        <v>122052.0889761826</v>
      </c>
      <c r="AW79" s="31" t="n">
        <v>176600.204516043</v>
      </c>
      <c r="AX79" s="31" t="n">
        <v>27620.53209015045</v>
      </c>
      <c r="AY79" s="31" t="n">
        <v>5006.878016366095</v>
      </c>
      <c r="AZ79" s="31" t="n">
        <v>30096.66062901506</v>
      </c>
      <c r="BA79" s="31" t="n">
        <v>6250.724671514346</v>
      </c>
      <c r="BB79" s="31" t="n">
        <v>11462.77253835769</v>
      </c>
      <c r="BC79" s="31" t="n">
        <v>5121.463559321674</v>
      </c>
      <c r="BD79" s="31" t="n">
        <v>115.1268693655418</v>
      </c>
      <c r="BE79" s="31" t="n">
        <v>2651.109589072807</v>
      </c>
      <c r="BF79" s="31" t="n">
        <v>3927.88720527291</v>
      </c>
      <c r="BG79" s="31" t="n">
        <v>4804.971285448685</v>
      </c>
      <c r="BH79" s="31" t="n">
        <v>42882.68578155753</v>
      </c>
      <c r="BI79" s="31" t="n">
        <v>386.7951174889344</v>
      </c>
      <c r="BJ79" s="31" t="n">
        <v>2392.381096844498</v>
      </c>
      <c r="BK79" s="31" t="n">
        <v>24169.75153081977</v>
      </c>
      <c r="BL79" s="31" t="n">
        <v>32986.63525334744</v>
      </c>
      <c r="BM79" s="31" t="n">
        <v>3720.503355792655</v>
      </c>
      <c r="BN79" s="31" t="n">
        <v>12188.84908689909</v>
      </c>
      <c r="BO79" s="31" t="n">
        <v>4594.575725330573</v>
      </c>
      <c r="BP79" s="31" t="n">
        <v>10769580.27039453</v>
      </c>
      <c r="BQ79" s="31" t="n">
        <v>9626.243199615845</v>
      </c>
      <c r="BR79" s="31" t="n">
        <v>117364.0477191558</v>
      </c>
      <c r="BS79" s="31" t="n">
        <v>589968.3345016548</v>
      </c>
      <c r="BT79" s="31" t="n">
        <v>146873.6092904824</v>
      </c>
      <c r="BU79" s="31" t="n">
        <v>222027.0615381112</v>
      </c>
      <c r="BV79" s="31" t="n">
        <v>871799.2329245987</v>
      </c>
      <c r="BW79" s="31" t="n">
        <v>3290.204876554678</v>
      </c>
      <c r="BX79" s="31" t="n">
        <v>32199.9483665881</v>
      </c>
      <c r="BY79" s="31" t="n">
        <v>412593.6994147874</v>
      </c>
      <c r="BZ79" s="31" t="n">
        <v>11682.17877403795</v>
      </c>
      <c r="CA79" s="31" t="n">
        <v>77356.12648584714</v>
      </c>
      <c r="CB79" s="31" t="n">
        <v>455.5766549119549</v>
      </c>
      <c r="CC79" s="31" t="n">
        <v>125.9083221431369</v>
      </c>
      <c r="CD79" s="31" t="n">
        <v>106157.2474538317</v>
      </c>
      <c r="CE79" s="31" t="n">
        <v>194163.0913996624</v>
      </c>
      <c r="CF79" s="31" t="n">
        <v>5096.110214816244</v>
      </c>
      <c r="CG79" s="31" t="n">
        <v>23892.73238466547</v>
      </c>
      <c r="CH79" s="31" t="n">
        <v>498383.2390356365</v>
      </c>
      <c r="CI79" s="31" t="n">
        <v>18721.17452502658</v>
      </c>
      <c r="CJ79" s="31" t="n">
        <v>48687.58404496555</v>
      </c>
      <c r="CK79" s="31" t="n">
        <v>38680.11643126143</v>
      </c>
      <c r="CL79" s="31" t="n">
        <v>57476.51319189761</v>
      </c>
      <c r="CM79" s="31" t="n">
        <v>15092.16185420806</v>
      </c>
      <c r="CN79" s="31" t="n">
        <v>0</v>
      </c>
      <c r="CO79" s="31" t="n">
        <v>0</v>
      </c>
      <c r="CP79" s="31" t="n">
        <v>0.3890152911328387</v>
      </c>
      <c r="CQ79" s="31" t="n">
        <v>4377.647037758752</v>
      </c>
      <c r="CR79" s="31" t="n">
        <v>11443.69870479217</v>
      </c>
      <c r="CS79" s="31" t="n">
        <v>2723.529156410955</v>
      </c>
      <c r="CT79" s="31" t="n">
        <v>6018.908908288635</v>
      </c>
      <c r="CU79" s="31" t="n">
        <v>80916.56230564853</v>
      </c>
      <c r="CV79" s="31" t="n">
        <v>321112.074011798</v>
      </c>
      <c r="CW79" s="31" t="n">
        <v>129942.8059419905</v>
      </c>
      <c r="CX79" s="31" t="n">
        <v>82663.92671632419</v>
      </c>
      <c r="CY79" s="31" t="n">
        <v>168009.7367892029</v>
      </c>
      <c r="CZ79" s="31" t="n">
        <v>27639.58437204925</v>
      </c>
      <c r="DA79" s="31" t="n">
        <v>41271.57066551488</v>
      </c>
      <c r="DB79" s="31" t="n">
        <v>59009.38324665036</v>
      </c>
      <c r="DC79" s="31" t="n">
        <v>61341.89834779822</v>
      </c>
      <c r="DD79" s="31" t="n">
        <v>12672.43519420603</v>
      </c>
      <c r="DE79" s="31" t="n">
        <v>0</v>
      </c>
      <c r="DF79" s="31">
        <f>SUM(C79:DE79)</f>
        <v/>
      </c>
      <c r="DG79" s="31" t="n">
        <v>0</v>
      </c>
      <c r="DH79" s="31" t="n">
        <v>0</v>
      </c>
      <c r="DI79" s="31" t="n">
        <v>0</v>
      </c>
      <c r="DJ79" s="31" t="n">
        <v>0</v>
      </c>
      <c r="DK79" s="31">
        <f>SUM(DG79:DJ79)</f>
        <v/>
      </c>
      <c r="DL79" s="31">
        <f>DF79+DK79</f>
        <v/>
      </c>
    </row>
    <row r="80">
      <c r="A80" s="28" t="inlineStr">
        <is>
          <t>402</t>
        </is>
      </c>
      <c r="B80" s="28" t="inlineStr">
        <is>
          <t>Fabricación de gas ; distribución de combustibles gaseosos por tuberías</t>
        </is>
      </c>
      <c r="C80" s="29" t="n">
        <v>-2452596.490185146</v>
      </c>
      <c r="D80" s="29" t="n">
        <v>-1609082.953618776</v>
      </c>
      <c r="E80" s="29" t="n">
        <v>0</v>
      </c>
      <c r="F80" s="29" t="n">
        <v>3340.902900705235</v>
      </c>
      <c r="G80" s="29" t="n">
        <v>0</v>
      </c>
      <c r="H80" s="29" t="n">
        <v>6880.695861841376</v>
      </c>
      <c r="I80" s="29" t="n">
        <v>306.6257379135083</v>
      </c>
      <c r="J80" s="29" t="n">
        <v>21357.29034574019</v>
      </c>
      <c r="K80" s="29" t="n">
        <v>10325.73952756688</v>
      </c>
      <c r="L80" s="29" t="n">
        <v>15437.61725249457</v>
      </c>
      <c r="M80" s="29" t="n">
        <v>8677.687627186388</v>
      </c>
      <c r="N80" s="29" t="n">
        <v>8714.367868408332</v>
      </c>
      <c r="O80" s="29" t="n">
        <v>1521.625433339412</v>
      </c>
      <c r="P80" s="29" t="n">
        <v>2660.295742232723</v>
      </c>
      <c r="Q80" s="29" t="n">
        <v>14818.84195884969</v>
      </c>
      <c r="R80" s="29" t="n">
        <v>8235.444795695752</v>
      </c>
      <c r="S80" s="29" t="n">
        <v>6922.534420505619</v>
      </c>
      <c r="T80" s="29" t="n">
        <v>6628.96608113293</v>
      </c>
      <c r="U80" s="29" t="n">
        <v>17297.49325201531</v>
      </c>
      <c r="V80" s="29" t="n">
        <v>4106.556842219042</v>
      </c>
      <c r="W80" s="29" t="n">
        <v>1456.240203644567</v>
      </c>
      <c r="X80" s="29" t="n">
        <v>1277.801658309003</v>
      </c>
      <c r="Y80" s="29" t="n">
        <v>5446.566968126959</v>
      </c>
      <c r="Z80" s="29" t="n">
        <v>426.9172771666193</v>
      </c>
      <c r="AA80" s="29" t="n">
        <v>1697.848729935636</v>
      </c>
      <c r="AB80" s="29" t="n">
        <v>3897.026375815387</v>
      </c>
      <c r="AC80" s="29" t="n">
        <v>15163.10542771339</v>
      </c>
      <c r="AD80" s="29" t="n">
        <v>1662.75916345902</v>
      </c>
      <c r="AE80" s="29" t="n">
        <v>8167.808020073118</v>
      </c>
      <c r="AF80" s="29" t="n">
        <v>1758.797854364874</v>
      </c>
      <c r="AG80" s="29" t="n">
        <v>651.0502340374253</v>
      </c>
      <c r="AH80" s="29" t="n">
        <v>779.9326968768137</v>
      </c>
      <c r="AI80" s="29" t="n">
        <v>2633.347706093343</v>
      </c>
      <c r="AJ80" s="29" t="n">
        <v>7956.164097942044</v>
      </c>
      <c r="AK80" s="29" t="n">
        <v>1035.843196104361</v>
      </c>
      <c r="AL80" s="29" t="n">
        <v>2147.590281335167</v>
      </c>
      <c r="AM80" s="29" t="n">
        <v>-470427.4903930281</v>
      </c>
      <c r="AN80" s="29" t="n">
        <v>10872.8806435583</v>
      </c>
      <c r="AO80" s="29" t="n">
        <v>-5895.981466172819</v>
      </c>
      <c r="AP80" s="29" t="n">
        <v>-708331.0264472438</v>
      </c>
      <c r="AQ80" s="29" t="n">
        <v>-2519250.56806328</v>
      </c>
      <c r="AR80" s="29" t="n">
        <v>2898.48326206249</v>
      </c>
      <c r="AS80" s="29" t="n">
        <v>8199.390167623658</v>
      </c>
      <c r="AT80" s="29" t="n">
        <v>3952.60220893176</v>
      </c>
      <c r="AU80" s="29" t="n">
        <v>24140.96719514763</v>
      </c>
      <c r="AV80" s="29" t="n">
        <v>21083.30898117033</v>
      </c>
      <c r="AW80" s="29" t="n">
        <v>5340.305623175165</v>
      </c>
      <c r="AX80" s="29" t="n">
        <v>4771.177758330785</v>
      </c>
      <c r="AY80" s="29" t="n">
        <v>849.8265462334062</v>
      </c>
      <c r="AZ80" s="29" t="n">
        <v>3060.625036950365</v>
      </c>
      <c r="BA80" s="29" t="n">
        <v>-889.5500853260605</v>
      </c>
      <c r="BB80" s="29" t="n">
        <v>1980.082252047564</v>
      </c>
      <c r="BC80" s="29" t="n">
        <v>107.0336300154643</v>
      </c>
      <c r="BD80" s="29" t="n">
        <v>19.88704477923528</v>
      </c>
      <c r="BE80" s="29" t="n">
        <v>457.9533466262324</v>
      </c>
      <c r="BF80" s="29" t="n">
        <v>678.5042377121018</v>
      </c>
      <c r="BG80" s="29" t="n">
        <v>830.0119654366142</v>
      </c>
      <c r="BH80" s="29" t="n">
        <v>7407.566079851746</v>
      </c>
      <c r="BI80" s="29" t="n">
        <v>66.81508725359585</v>
      </c>
      <c r="BJ80" s="29" t="n">
        <v>413.2605208856895</v>
      </c>
      <c r="BK80" s="29" t="n">
        <v>4175.089044332766</v>
      </c>
      <c r="BL80" s="29" t="n">
        <v>3598.42961646834</v>
      </c>
      <c r="BM80" s="29" t="n">
        <v>642.6806986561668</v>
      </c>
      <c r="BN80" s="29" t="n">
        <v>2105.504900240561</v>
      </c>
      <c r="BO80" s="29" t="n">
        <v>743.0958707013205</v>
      </c>
      <c r="BP80" s="29" t="n">
        <v>1434.442019770987</v>
      </c>
      <c r="BQ80" s="29" t="n">
        <v>1662.839705635805</v>
      </c>
      <c r="BR80" s="29" t="n">
        <v>20273.49553866828</v>
      </c>
      <c r="BS80" s="29" t="n">
        <v>10093.67950243541</v>
      </c>
      <c r="BT80" s="29" t="n">
        <v>25370.98473140597</v>
      </c>
      <c r="BU80" s="29" t="n">
        <v>38353.01124180502</v>
      </c>
      <c r="BV80" s="29" t="n">
        <v>-75482.83303653334</v>
      </c>
      <c r="BW80" s="29" t="n">
        <v>568.350829597782</v>
      </c>
      <c r="BX80" s="29" t="n">
        <v>5562.227293979259</v>
      </c>
      <c r="BY80" s="29" t="n">
        <v>-339649.738655609</v>
      </c>
      <c r="BZ80" s="29" t="n">
        <v>2017.982541162199</v>
      </c>
      <c r="CA80" s="29" t="n">
        <v>13362.51702013777</v>
      </c>
      <c r="CB80" s="29" t="n">
        <v>78.69642757192875</v>
      </c>
      <c r="CC80" s="29" t="n">
        <v>21.74943568202672</v>
      </c>
      <c r="CD80" s="29" t="n">
        <v>18337.63000235455</v>
      </c>
      <c r="CE80" s="29" t="n">
        <v>33539.78193291824</v>
      </c>
      <c r="CF80" s="29" t="n">
        <v>880.3033783554147</v>
      </c>
      <c r="CG80" s="29" t="n">
        <v>4127.236686367711</v>
      </c>
      <c r="CH80" s="29" t="n">
        <v>12628.50560234419</v>
      </c>
      <c r="CI80" s="29" t="n">
        <v>3233.90046260145</v>
      </c>
      <c r="CJ80" s="29" t="n">
        <v>8410.305686509137</v>
      </c>
      <c r="CK80" s="29" t="n">
        <v>6681.613178346066</v>
      </c>
      <c r="CL80" s="29" t="n">
        <v>9928.507549113407</v>
      </c>
      <c r="CM80" s="29" t="n">
        <v>2607.023888203942</v>
      </c>
      <c r="CN80" s="29" t="n">
        <v>0</v>
      </c>
      <c r="CO80" s="29" t="n">
        <v>0</v>
      </c>
      <c r="CP80" s="29" t="n">
        <v>0.06719860061513627</v>
      </c>
      <c r="CQ80" s="29" t="n">
        <v>756.195865894466</v>
      </c>
      <c r="CR80" s="29" t="n">
        <v>1976.787433172357</v>
      </c>
      <c r="CS80" s="29" t="n">
        <v>-2870.429561962149</v>
      </c>
      <c r="CT80" s="29" t="n">
        <v>-2010.894555044995</v>
      </c>
      <c r="CU80" s="29" t="n">
        <v>13977.54761179891</v>
      </c>
      <c r="CV80" s="29" t="n">
        <v>-107282.3216015623</v>
      </c>
      <c r="CW80" s="29" t="n">
        <v>22446.35344250319</v>
      </c>
      <c r="CX80" s="29" t="n">
        <v>9539.765884434215</v>
      </c>
      <c r="CY80" s="29" t="n">
        <v>23774.73462739713</v>
      </c>
      <c r="CZ80" s="29" t="n">
        <v>4774.468854365587</v>
      </c>
      <c r="DA80" s="29" t="n">
        <v>7129.261643764709</v>
      </c>
      <c r="DB80" s="29" t="n">
        <v>10193.29591335552</v>
      </c>
      <c r="DC80" s="29" t="n">
        <v>5537.367816966912</v>
      </c>
      <c r="DD80" s="29" t="n">
        <v>2189.039687763478</v>
      </c>
      <c r="DE80" s="29" t="n">
        <v>0</v>
      </c>
      <c r="DF80" s="29">
        <f>SUM(C80:DE80)</f>
        <v/>
      </c>
      <c r="DG80" s="29" t="n">
        <v>0</v>
      </c>
      <c r="DH80" s="29" t="n">
        <v>0</v>
      </c>
      <c r="DI80" s="29" t="n">
        <v>0</v>
      </c>
      <c r="DJ80" s="29" t="n">
        <v>0</v>
      </c>
      <c r="DK80" s="29">
        <f>SUM(DG80:DJ80)</f>
        <v/>
      </c>
      <c r="DL80" s="29">
        <f>DF80+DK80</f>
        <v/>
      </c>
    </row>
    <row r="81">
      <c r="A81" s="30" t="inlineStr">
        <is>
          <t>41</t>
        </is>
      </c>
      <c r="B81" s="30" t="inlineStr">
        <is>
          <t>Captación , depuración y distribución de agua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6.974582007785557</v>
      </c>
      <c r="J81" s="31" t="n">
        <v>231.8460622432904</v>
      </c>
      <c r="K81" s="31" t="n">
        <v>178.9245220773009</v>
      </c>
      <c r="L81" s="31" t="n">
        <v>6.123029955349693</v>
      </c>
      <c r="M81" s="31" t="n">
        <v>204.6927116940642</v>
      </c>
      <c r="N81" s="31" t="n">
        <v>341.1977982959797</v>
      </c>
      <c r="O81" s="31" t="n">
        <v>215.2183880875236</v>
      </c>
      <c r="P81" s="31" t="n">
        <v>70.40474630937388</v>
      </c>
      <c r="Q81" s="31" t="n">
        <v>58.39168431427606</v>
      </c>
      <c r="R81" s="31" t="n">
        <v>87.93185632756285</v>
      </c>
      <c r="S81" s="31" t="n">
        <v>43.59662050632323</v>
      </c>
      <c r="T81" s="31" t="n">
        <v>36.81717978873348</v>
      </c>
      <c r="U81" s="31" t="n">
        <v>542.1199232534127</v>
      </c>
      <c r="V81" s="31" t="n">
        <v>59.76746176530469</v>
      </c>
      <c r="W81" s="31" t="n">
        <v>64.4967487571339</v>
      </c>
      <c r="X81" s="31" t="n">
        <v>222.2338052038394</v>
      </c>
      <c r="Y81" s="31" t="n">
        <v>111.4910637396679</v>
      </c>
      <c r="Z81" s="31" t="n">
        <v>12.67152095062511</v>
      </c>
      <c r="AA81" s="31" t="n">
        <v>130.9945193222084</v>
      </c>
      <c r="AB81" s="31" t="n">
        <v>165.8014321101145</v>
      </c>
      <c r="AC81" s="31" t="n">
        <v>6032.756066756323</v>
      </c>
      <c r="AD81" s="31" t="n">
        <v>34.56527595027728</v>
      </c>
      <c r="AE81" s="31" t="n">
        <v>218.4208393094668</v>
      </c>
      <c r="AF81" s="31" t="n">
        <v>166.3675773535142</v>
      </c>
      <c r="AG81" s="31" t="n">
        <v>37.83537268351756</v>
      </c>
      <c r="AH81" s="31" t="n">
        <v>38.50615486938477</v>
      </c>
      <c r="AI81" s="31" t="n">
        <v>79.91371364892257</v>
      </c>
      <c r="AJ81" s="31" t="n">
        <v>208.8335645182451</v>
      </c>
      <c r="AK81" s="31" t="n">
        <v>101.4878341967669</v>
      </c>
      <c r="AL81" s="31" t="n">
        <v>164.5770506368062</v>
      </c>
      <c r="AM81" s="31" t="n">
        <v>339.2607165731752</v>
      </c>
      <c r="AN81" s="31" t="n">
        <v>454.1122176362114</v>
      </c>
      <c r="AO81" s="31" t="n">
        <v>386.8617388127459</v>
      </c>
      <c r="AP81" s="31" t="n">
        <v>161.0078020223518</v>
      </c>
      <c r="AQ81" s="31" t="n">
        <v>6503.341368893394</v>
      </c>
      <c r="AR81" s="31" t="n">
        <v>259.0941100381679</v>
      </c>
      <c r="AS81" s="31" t="n">
        <v>220.3937895243216</v>
      </c>
      <c r="AT81" s="31" t="n">
        <v>21.66323409196411</v>
      </c>
      <c r="AU81" s="31" t="n">
        <v>360.0863689792604</v>
      </c>
      <c r="AV81" s="31" t="n">
        <v>20.97787402783433</v>
      </c>
      <c r="AW81" s="31" t="n">
        <v>39.6128866975705</v>
      </c>
      <c r="AX81" s="31" t="n">
        <v>107.1037222027226</v>
      </c>
      <c r="AY81" s="31" t="n">
        <v>57.26867825340742</v>
      </c>
      <c r="AZ81" s="31" t="n">
        <v>239.0389964730566</v>
      </c>
      <c r="BA81" s="31" t="n">
        <v>73.57385389844057</v>
      </c>
      <c r="BB81" s="31" t="n">
        <v>117.4058762352615</v>
      </c>
      <c r="BC81" s="31" t="n">
        <v>47.38671223620986</v>
      </c>
      <c r="BD81" s="31" t="n">
        <v>1.956870773043136</v>
      </c>
      <c r="BE81" s="31" t="n">
        <v>40.38080030016863</v>
      </c>
      <c r="BF81" s="31" t="n">
        <v>41.56979420805328</v>
      </c>
      <c r="BG81" s="31" t="n">
        <v>32.43088457147405</v>
      </c>
      <c r="BH81" s="31" t="n">
        <v>76.31877325511596</v>
      </c>
      <c r="BI81" s="31" t="n">
        <v>3.928127645512063</v>
      </c>
      <c r="BJ81" s="31" t="n">
        <v>36.23962371246853</v>
      </c>
      <c r="BK81" s="31" t="n">
        <v>51.10304469183757</v>
      </c>
      <c r="BL81" s="31" t="n">
        <v>78.32844422506241</v>
      </c>
      <c r="BM81" s="31" t="n">
        <v>48.85597323727052</v>
      </c>
      <c r="BN81" s="31" t="n">
        <v>159.9689553027129</v>
      </c>
      <c r="BO81" s="31" t="n">
        <v>40.61205206937484</v>
      </c>
      <c r="BP81" s="31" t="n">
        <v>135.4967122201524</v>
      </c>
      <c r="BQ81" s="31" t="n">
        <v>14.96799457971656</v>
      </c>
      <c r="BR81" s="31" t="n">
        <v>0.9201190387491067</v>
      </c>
      <c r="BS81" s="31" t="n">
        <v>0</v>
      </c>
      <c r="BT81" s="31" t="n">
        <v>423.592949177968</v>
      </c>
      <c r="BU81" s="31" t="n">
        <v>1562.907740302093</v>
      </c>
      <c r="BV81" s="31" t="n">
        <v>2141.49576539523</v>
      </c>
      <c r="BW81" s="31" t="n">
        <v>178.9845199873307</v>
      </c>
      <c r="BX81" s="31" t="n">
        <v>1430.12891144352</v>
      </c>
      <c r="BY81" s="31" t="n">
        <v>0</v>
      </c>
      <c r="BZ81" s="31" t="n">
        <v>397.25955998071</v>
      </c>
      <c r="CA81" s="31" t="n">
        <v>1837.296467289852</v>
      </c>
      <c r="CB81" s="31" t="n">
        <v>996.1181889026193</v>
      </c>
      <c r="CC81" s="31" t="n">
        <v>18.44229676839223</v>
      </c>
      <c r="CD81" s="31" t="n">
        <v>4678.974343867041</v>
      </c>
      <c r="CE81" s="31" t="n">
        <v>1264.729995445174</v>
      </c>
      <c r="CF81" s="31" t="n">
        <v>37.61165520565919</v>
      </c>
      <c r="CG81" s="31" t="n">
        <v>208.3941868415714</v>
      </c>
      <c r="CH81" s="31" t="n">
        <v>119.4714967537329</v>
      </c>
      <c r="CI81" s="31" t="n">
        <v>44.90513120969626</v>
      </c>
      <c r="CJ81" s="31" t="n">
        <v>151.3406536615439</v>
      </c>
      <c r="CK81" s="31" t="n">
        <v>336.5023993453069</v>
      </c>
      <c r="CL81" s="31" t="n">
        <v>407.5522858068143</v>
      </c>
      <c r="CM81" s="31" t="n">
        <v>227.9021052667449</v>
      </c>
      <c r="CN81" s="31" t="n">
        <v>0</v>
      </c>
      <c r="CO81" s="31" t="n">
        <v>0</v>
      </c>
      <c r="CP81" s="31" t="n">
        <v>1.043853711046694</v>
      </c>
      <c r="CQ81" s="31" t="n">
        <v>152.4742445742741</v>
      </c>
      <c r="CR81" s="31" t="n">
        <v>206.1889070843681</v>
      </c>
      <c r="CS81" s="31" t="n">
        <v>130.1581373032714</v>
      </c>
      <c r="CT81" s="31" t="n">
        <v>118.8486927480117</v>
      </c>
      <c r="CU81" s="31" t="n">
        <v>938.9838524089137</v>
      </c>
      <c r="CV81" s="31" t="n">
        <v>6340.642598752165</v>
      </c>
      <c r="CW81" s="31" t="n">
        <v>3267.691131445579</v>
      </c>
      <c r="CX81" s="31" t="n">
        <v>6790.988349963212</v>
      </c>
      <c r="CY81" s="31" t="n">
        <v>2973.495142027852</v>
      </c>
      <c r="CZ81" s="31" t="n">
        <v>2105.322662377323</v>
      </c>
      <c r="DA81" s="31" t="n">
        <v>85.10924045316278</v>
      </c>
      <c r="DB81" s="31" t="n">
        <v>196.9409237709187</v>
      </c>
      <c r="DC81" s="31" t="n">
        <v>495.2369406585203</v>
      </c>
      <c r="DD81" s="31" t="n">
        <v>141.1707757362856</v>
      </c>
      <c r="DE81" s="31" t="n">
        <v>0</v>
      </c>
      <c r="DF81" s="31">
        <f>SUM(C81:DE81)</f>
        <v/>
      </c>
      <c r="DG81" s="31" t="n">
        <v>0</v>
      </c>
      <c r="DH81" s="31" t="n">
        <v>0</v>
      </c>
      <c r="DI81" s="31" t="n">
        <v>0</v>
      </c>
      <c r="DJ81" s="31" t="n">
        <v>0</v>
      </c>
      <c r="DK81" s="31">
        <f>SUM(DG81:DJ81)</f>
        <v/>
      </c>
      <c r="DL81" s="31">
        <f>DF81+DK81</f>
        <v/>
      </c>
    </row>
    <row r="82">
      <c r="A82" s="28" t="inlineStr">
        <is>
          <t>45</t>
        </is>
      </c>
      <c r="B82" s="28" t="inlineStr">
        <is>
          <t>Construcción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813.8439639760676</v>
      </c>
      <c r="J82" s="29" t="n">
        <v>99465.55047853863</v>
      </c>
      <c r="K82" s="29" t="n">
        <v>0</v>
      </c>
      <c r="L82" s="29" t="n">
        <v>0</v>
      </c>
      <c r="M82" s="29" t="n">
        <v>5848.476627174097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6608.71627822179</v>
      </c>
      <c r="AV82" s="29" t="n">
        <v>0</v>
      </c>
      <c r="AW82" s="29" t="n">
        <v>0</v>
      </c>
      <c r="AX82" s="29" t="n">
        <v>0</v>
      </c>
      <c r="AY82" s="29" t="n">
        <v>6798.638687185059</v>
      </c>
      <c r="AZ82" s="29" t="n">
        <v>0</v>
      </c>
      <c r="BA82" s="29" t="n">
        <v>0</v>
      </c>
      <c r="BB82" s="29" t="n">
        <v>0</v>
      </c>
      <c r="BC82" s="29" t="n">
        <v>1091.695632494993</v>
      </c>
      <c r="BD82" s="29" t="n">
        <v>0</v>
      </c>
      <c r="BE82" s="29" t="n">
        <v>0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571.4557264007398</v>
      </c>
      <c r="BP82" s="29" t="n">
        <v>505647.8845747257</v>
      </c>
      <c r="BQ82" s="29" t="n">
        <v>96902.99808722563</v>
      </c>
      <c r="BR82" s="29" t="n">
        <v>163951.4433197994</v>
      </c>
      <c r="BS82" s="29" t="n">
        <v>0</v>
      </c>
      <c r="BT82" s="29" t="n">
        <v>117968.609091966</v>
      </c>
      <c r="BU82" s="29" t="n">
        <v>391880.6528427193</v>
      </c>
      <c r="BV82" s="29" t="n">
        <v>635792.635373474</v>
      </c>
      <c r="BW82" s="29" t="n">
        <v>0</v>
      </c>
      <c r="BX82" s="29" t="n">
        <v>116372.2306520392</v>
      </c>
      <c r="BY82" s="29" t="n">
        <v>0</v>
      </c>
      <c r="BZ82" s="29" t="n">
        <v>39694.31676128843</v>
      </c>
      <c r="CA82" s="29" t="n">
        <v>719897.4632362262</v>
      </c>
      <c r="CB82" s="29" t="n">
        <v>128467.1266185094</v>
      </c>
      <c r="CC82" s="29" t="n">
        <v>2758.897323307684</v>
      </c>
      <c r="CD82" s="29" t="n">
        <v>0</v>
      </c>
      <c r="CE82" s="29" t="n">
        <v>380354.9530639092</v>
      </c>
      <c r="CF82" s="29" t="n">
        <v>18340.9934860886</v>
      </c>
      <c r="CG82" s="29" t="n">
        <v>23661.1944266985</v>
      </c>
      <c r="CH82" s="29" t="n">
        <v>777951.9882830004</v>
      </c>
      <c r="CI82" s="29" t="n">
        <v>12463.29293226201</v>
      </c>
      <c r="CJ82" s="29" t="n">
        <v>0</v>
      </c>
      <c r="CK82" s="29" t="n">
        <v>5085.557339946894</v>
      </c>
      <c r="CL82" s="29" t="n">
        <v>98413.2991324941</v>
      </c>
      <c r="CM82" s="29" t="n">
        <v>8895.961481517614</v>
      </c>
      <c r="CN82" s="29" t="n">
        <v>1915259.537366837</v>
      </c>
      <c r="CO82" s="29" t="n">
        <v>860268.5934029231</v>
      </c>
      <c r="CP82" s="29" t="n">
        <v>14268.62227107273</v>
      </c>
      <c r="CQ82" s="29" t="n">
        <v>21469.9852657181</v>
      </c>
      <c r="CR82" s="29" t="n">
        <v>39580.40756543081</v>
      </c>
      <c r="CS82" s="29" t="n">
        <v>26323.91613966388</v>
      </c>
      <c r="CT82" s="29" t="n">
        <v>24036.63025629857</v>
      </c>
      <c r="CU82" s="29" t="n">
        <v>383321.6751026041</v>
      </c>
      <c r="CV82" s="29" t="n">
        <v>1282367.337911641</v>
      </c>
      <c r="CW82" s="29" t="n">
        <v>429390.3384541892</v>
      </c>
      <c r="CX82" s="29" t="n">
        <v>64554.02971804719</v>
      </c>
      <c r="CY82" s="29" t="n">
        <v>546983.9823116509</v>
      </c>
      <c r="CZ82" s="29" t="n">
        <v>222681.905801737</v>
      </c>
      <c r="DA82" s="29" t="n">
        <v>40486.73068316213</v>
      </c>
      <c r="DB82" s="29" t="n">
        <v>68840.36248956624</v>
      </c>
      <c r="DC82" s="29" t="n">
        <v>0</v>
      </c>
      <c r="DD82" s="29" t="n">
        <v>26404.23415778133</v>
      </c>
      <c r="DE82" s="29" t="n">
        <v>0</v>
      </c>
      <c r="DF82" s="29">
        <f>SUM(C82:DE82)</f>
        <v/>
      </c>
      <c r="DG82" s="29" t="n">
        <v>0</v>
      </c>
      <c r="DH82" s="29" t="n">
        <v>0</v>
      </c>
      <c r="DI82" s="29" t="n">
        <v>0</v>
      </c>
      <c r="DJ82" s="29" t="n">
        <v>0</v>
      </c>
      <c r="DK82" s="29">
        <f>SUM(DG82:DJ82)</f>
        <v/>
      </c>
      <c r="DL82" s="29">
        <f>DF82+DK82</f>
        <v/>
      </c>
    </row>
    <row r="83">
      <c r="A83" s="30" t="inlineStr">
        <is>
          <t>502</t>
        </is>
      </c>
      <c r="B83" s="30" t="inlineStr">
        <is>
          <t>Comercios por mayor y menor, mantenimiento y reparación de automotores</t>
        </is>
      </c>
      <c r="C83" s="31" t="n">
        <v>2458968.846962252</v>
      </c>
      <c r="D83" s="31" t="n">
        <v>219244.3826810821</v>
      </c>
      <c r="E83" s="31" t="n">
        <v>9136.665369092063</v>
      </c>
      <c r="F83" s="31" t="n">
        <v>0</v>
      </c>
      <c r="G83" s="31" t="n">
        <v>71513.5904108379</v>
      </c>
      <c r="H83" s="31" t="n">
        <v>166967.4612954478</v>
      </c>
      <c r="I83" s="31" t="n">
        <v>4144.966946913598</v>
      </c>
      <c r="J83" s="31" t="n">
        <v>299997.540566312</v>
      </c>
      <c r="K83" s="31" t="n">
        <v>216184.7239519708</v>
      </c>
      <c r="L83" s="31" t="n">
        <v>96306.05211831888</v>
      </c>
      <c r="M83" s="31" t="n">
        <v>79047.26961040299</v>
      </c>
      <c r="N83" s="31" t="n">
        <v>57154.15361948412</v>
      </c>
      <c r="O83" s="31" t="n">
        <v>51263.56137892282</v>
      </c>
      <c r="P83" s="31" t="n">
        <v>25312.67962362267</v>
      </c>
      <c r="Q83" s="31" t="n">
        <v>211438.4630988748</v>
      </c>
      <c r="R83" s="31" t="n">
        <v>33686.29670604595</v>
      </c>
      <c r="S83" s="31" t="n">
        <v>53507.1437105776</v>
      </c>
      <c r="T83" s="31" t="n">
        <v>52581.82987767927</v>
      </c>
      <c r="U83" s="31" t="n">
        <v>55358.63970012062</v>
      </c>
      <c r="V83" s="31" t="n">
        <v>36886.07416568466</v>
      </c>
      <c r="W83" s="31" t="n">
        <v>19871.92055798139</v>
      </c>
      <c r="X83" s="31" t="n">
        <v>10362.63107885699</v>
      </c>
      <c r="Y83" s="31" t="n">
        <v>87837.4272562347</v>
      </c>
      <c r="Z83" s="31" t="n">
        <v>5530.875467133003</v>
      </c>
      <c r="AA83" s="31" t="n">
        <v>18722.3239094312</v>
      </c>
      <c r="AB83" s="31" t="n">
        <v>39128.71368143959</v>
      </c>
      <c r="AC83" s="31" t="n">
        <v>82904.27893317373</v>
      </c>
      <c r="AD83" s="31" t="n">
        <v>11120.09212232525</v>
      </c>
      <c r="AE83" s="31" t="n">
        <v>64884.91339290945</v>
      </c>
      <c r="AF83" s="31" t="n">
        <v>13919.58773506791</v>
      </c>
      <c r="AG83" s="31" t="n">
        <v>7710.543911729862</v>
      </c>
      <c r="AH83" s="31" t="n">
        <v>5433.528687776773</v>
      </c>
      <c r="AI83" s="31" t="n">
        <v>42160.7689406718</v>
      </c>
      <c r="AJ83" s="31" t="n">
        <v>107938.8449723946</v>
      </c>
      <c r="AK83" s="31" t="n">
        <v>19923.00598000183</v>
      </c>
      <c r="AL83" s="31" t="n">
        <v>40118.79170267601</v>
      </c>
      <c r="AM83" s="31" t="n">
        <v>50919.36336739508</v>
      </c>
      <c r="AN83" s="31" t="n">
        <v>64569.26668970389</v>
      </c>
      <c r="AO83" s="31" t="n">
        <v>84817.13132583267</v>
      </c>
      <c r="AP83" s="31" t="n">
        <v>46943.25665983495</v>
      </c>
      <c r="AQ83" s="31" t="n">
        <v>114133.6664139275</v>
      </c>
      <c r="AR83" s="31" t="n">
        <v>35758.65949081486</v>
      </c>
      <c r="AS83" s="31" t="n">
        <v>73087.15999141792</v>
      </c>
      <c r="AT83" s="31" t="n">
        <v>23015.05020493974</v>
      </c>
      <c r="AU83" s="31" t="n">
        <v>120979.5341467853</v>
      </c>
      <c r="AV83" s="31" t="n">
        <v>128867.6533304935</v>
      </c>
      <c r="AW83" s="31" t="n">
        <v>19415.75761155003</v>
      </c>
      <c r="AX83" s="31" t="n">
        <v>40133.17010236255</v>
      </c>
      <c r="AY83" s="31" t="n">
        <v>24654.3738149645</v>
      </c>
      <c r="AZ83" s="31" t="n">
        <v>69111.53084372012</v>
      </c>
      <c r="BA83" s="31" t="n">
        <v>19529.95608460161</v>
      </c>
      <c r="BB83" s="31" t="n">
        <v>57182.45519530445</v>
      </c>
      <c r="BC83" s="31" t="n">
        <v>7570.353635760377</v>
      </c>
      <c r="BD83" s="31" t="n">
        <v>133.2649620542242</v>
      </c>
      <c r="BE83" s="31" t="n">
        <v>6931.693183993596</v>
      </c>
      <c r="BF83" s="31" t="n">
        <v>6736.083708595913</v>
      </c>
      <c r="BG83" s="31" t="n">
        <v>6154.282748620743</v>
      </c>
      <c r="BH83" s="31" t="n">
        <v>9825.197712219835</v>
      </c>
      <c r="BI83" s="31" t="n">
        <v>2933.535156192414</v>
      </c>
      <c r="BJ83" s="31" t="n">
        <v>5594.171291125391</v>
      </c>
      <c r="BK83" s="31" t="n">
        <v>40355.63271184668</v>
      </c>
      <c r="BL83" s="31" t="n">
        <v>44552.00500667404</v>
      </c>
      <c r="BM83" s="31" t="n">
        <v>22634.55129928816</v>
      </c>
      <c r="BN83" s="31" t="n">
        <v>23812.72244591</v>
      </c>
      <c r="BO83" s="31" t="n">
        <v>18028.97203844219</v>
      </c>
      <c r="BP83" s="31" t="n">
        <v>315567.8291688524</v>
      </c>
      <c r="BQ83" s="31" t="n">
        <v>76045.08120346603</v>
      </c>
      <c r="BR83" s="31" t="n">
        <v>101607.9417543554</v>
      </c>
      <c r="BS83" s="31" t="n">
        <v>743.7741402253016</v>
      </c>
      <c r="BT83" s="31" t="n">
        <v>97414.23598699883</v>
      </c>
      <c r="BU83" s="31" t="n">
        <v>432899.579668697</v>
      </c>
      <c r="BV83" s="31" t="n">
        <v>615609.3770550974</v>
      </c>
      <c r="BW83" s="31" t="n">
        <v>58588.14475765398</v>
      </c>
      <c r="BX83" s="31" t="n">
        <v>149214.3174773278</v>
      </c>
      <c r="BY83" s="31" t="n">
        <v>154207.9928583597</v>
      </c>
      <c r="BZ83" s="31" t="n">
        <v>34185.25692160015</v>
      </c>
      <c r="CA83" s="31" t="n">
        <v>1846186.143287758</v>
      </c>
      <c r="CB83" s="31" t="n">
        <v>32445.62603087929</v>
      </c>
      <c r="CC83" s="31" t="n">
        <v>1843.887377297003</v>
      </c>
      <c r="CD83" s="31" t="n">
        <v>242322.2472167604</v>
      </c>
      <c r="CE83" s="31" t="n">
        <v>235681.2468204017</v>
      </c>
      <c r="CF83" s="31" t="n">
        <v>26102.9450998043</v>
      </c>
      <c r="CG83" s="31" t="n">
        <v>84020.42817980645</v>
      </c>
      <c r="CH83" s="31" t="n">
        <v>328431.223412839</v>
      </c>
      <c r="CI83" s="31" t="n">
        <v>98782.6729650707</v>
      </c>
      <c r="CJ83" s="31" t="n">
        <v>593584.7923742369</v>
      </c>
      <c r="CK83" s="31" t="n">
        <v>47160.8184868298</v>
      </c>
      <c r="CL83" s="31" t="n">
        <v>102600.0621736037</v>
      </c>
      <c r="CM83" s="31" t="n">
        <v>32447.88524295294</v>
      </c>
      <c r="CN83" s="31" t="n">
        <v>285.8147687383876</v>
      </c>
      <c r="CO83" s="31" t="n">
        <v>128.3781462925881</v>
      </c>
      <c r="CP83" s="31" t="n">
        <v>18869.49558490507</v>
      </c>
      <c r="CQ83" s="31" t="n">
        <v>82782.21000366651</v>
      </c>
      <c r="CR83" s="31" t="n">
        <v>182099.5915911424</v>
      </c>
      <c r="CS83" s="31" t="n">
        <v>20438.60183335296</v>
      </c>
      <c r="CT83" s="31" t="n">
        <v>18662.69109115479</v>
      </c>
      <c r="CU83" s="31" t="n">
        <v>594741.8371209259</v>
      </c>
      <c r="CV83" s="31" t="n">
        <v>995664.7515747462</v>
      </c>
      <c r="CW83" s="31" t="n">
        <v>152526.9264306051</v>
      </c>
      <c r="CX83" s="31" t="n">
        <v>24336.51057292761</v>
      </c>
      <c r="CY83" s="31" t="n">
        <v>797370.8150600927</v>
      </c>
      <c r="CZ83" s="31" t="n">
        <v>62580.05412148277</v>
      </c>
      <c r="DA83" s="31" t="n">
        <v>107842.8626912595</v>
      </c>
      <c r="DB83" s="31" t="n">
        <v>698228.0079889852</v>
      </c>
      <c r="DC83" s="31" t="n">
        <v>59334.97561428267</v>
      </c>
      <c r="DD83" s="31" t="n">
        <v>28336.54952131819</v>
      </c>
      <c r="DE83" s="31" t="n">
        <v>0</v>
      </c>
      <c r="DF83" s="31">
        <f>SUM(C83:DE83)</f>
        <v/>
      </c>
      <c r="DG83" s="31" t="n">
        <v>0</v>
      </c>
      <c r="DH83" s="31" t="n">
        <v>0</v>
      </c>
      <c r="DI83" s="31" t="n">
        <v>0</v>
      </c>
      <c r="DJ83" s="31" t="n">
        <v>0</v>
      </c>
      <c r="DK83" s="31">
        <f>SUM(DG83:DJ83)</f>
        <v/>
      </c>
      <c r="DL83" s="31">
        <f>DF83+DK83</f>
        <v/>
      </c>
    </row>
    <row r="84">
      <c r="A84" s="28" t="inlineStr">
        <is>
          <t>51</t>
        </is>
      </c>
      <c r="B84" s="28" t="inlineStr">
        <is>
          <t>Comercio mayorista</t>
        </is>
      </c>
      <c r="C84" s="29" t="n">
        <v>-198724472.2934105</v>
      </c>
      <c r="D84" s="29" t="n">
        <v>-21380582.55799633</v>
      </c>
      <c r="E84" s="29" t="n">
        <v>229.6214809339392</v>
      </c>
      <c r="F84" s="29" t="n">
        <v>0</v>
      </c>
      <c r="G84" s="29" t="n">
        <v>1797.270215519731</v>
      </c>
      <c r="H84" s="29" t="n">
        <v>31745.62031484809</v>
      </c>
      <c r="I84" s="29" t="n">
        <v>556.7522064629958</v>
      </c>
      <c r="J84" s="29" t="n">
        <v>90511.77314650583</v>
      </c>
      <c r="K84" s="29" t="n">
        <v>-78979.56148367125</v>
      </c>
      <c r="L84" s="29" t="n">
        <v>43679.60580527428</v>
      </c>
      <c r="M84" s="29" t="n">
        <v>17004.90431155766</v>
      </c>
      <c r="N84" s="29" t="n">
        <v>-10730179.17312363</v>
      </c>
      <c r="O84" s="29" t="n">
        <v>-4087968.740113175</v>
      </c>
      <c r="P84" s="29" t="n">
        <v>-1331363.527085138</v>
      </c>
      <c r="Q84" s="29" t="n">
        <v>-29341517.86892571</v>
      </c>
      <c r="R84" s="29" t="n">
        <v>-5223870.760050455</v>
      </c>
      <c r="S84" s="29" t="n">
        <v>-5819480.417455512</v>
      </c>
      <c r="T84" s="29" t="n">
        <v>-10103671.5693601</v>
      </c>
      <c r="U84" s="29" t="n">
        <v>-3341342.690136055</v>
      </c>
      <c r="V84" s="29" t="n">
        <v>-1001622.765817837</v>
      </c>
      <c r="W84" s="29" t="n">
        <v>-2205373.071974115</v>
      </c>
      <c r="X84" s="29" t="n">
        <v>-1142872.730144301</v>
      </c>
      <c r="Y84" s="29" t="n">
        <v>-16697227.11785321</v>
      </c>
      <c r="Z84" s="29" t="n">
        <v>-2512462.252622979</v>
      </c>
      <c r="AA84" s="29" t="n">
        <v>-5495504.056553675</v>
      </c>
      <c r="AB84" s="29" t="n">
        <v>-740009.3361382664</v>
      </c>
      <c r="AC84" s="29" t="n">
        <v>-1309083.606701241</v>
      </c>
      <c r="AD84" s="29" t="n">
        <v>18133.15857368626</v>
      </c>
      <c r="AE84" s="29" t="n">
        <v>-1128006.489980487</v>
      </c>
      <c r="AF84" s="29" t="n">
        <v>-3665721.220839293</v>
      </c>
      <c r="AG84" s="29" t="n">
        <v>-1503429.80172361</v>
      </c>
      <c r="AH84" s="29" t="n">
        <v>-145657.6133785891</v>
      </c>
      <c r="AI84" s="29" t="n">
        <v>-616543.7660249684</v>
      </c>
      <c r="AJ84" s="29" t="n">
        <v>-2326948.238118325</v>
      </c>
      <c r="AK84" s="29" t="n">
        <v>-2647677.06776393</v>
      </c>
      <c r="AL84" s="29" t="n">
        <v>-706116.0975081283</v>
      </c>
      <c r="AM84" s="29" t="n">
        <v>-63656727.83259555</v>
      </c>
      <c r="AN84" s="29" t="n">
        <v>-6620027.703310852</v>
      </c>
      <c r="AO84" s="29" t="n">
        <v>-1878702.656498392</v>
      </c>
      <c r="AP84" s="29" t="n">
        <v>-3672247.265103069</v>
      </c>
      <c r="AQ84" s="29" t="n">
        <v>-12565117.72267563</v>
      </c>
      <c r="AR84" s="29" t="n">
        <v>-697881.4746698561</v>
      </c>
      <c r="AS84" s="29" t="n">
        <v>-1453505.929577063</v>
      </c>
      <c r="AT84" s="29" t="n">
        <v>-53411.87501530317</v>
      </c>
      <c r="AU84" s="29" t="n">
        <v>-2169569.857028439</v>
      </c>
      <c r="AV84" s="29" t="n">
        <v>-4801761.93470092</v>
      </c>
      <c r="AW84" s="29" t="n">
        <v>-1176662.090455873</v>
      </c>
      <c r="AX84" s="29" t="n">
        <v>-307243.39855716</v>
      </c>
      <c r="AY84" s="29" t="n">
        <v>-1142188.170321599</v>
      </c>
      <c r="AZ84" s="29" t="n">
        <v>-1345570.938096156</v>
      </c>
      <c r="BA84" s="29" t="n">
        <v>-1687895.528129762</v>
      </c>
      <c r="BB84" s="29" t="n">
        <v>-7151869.436758123</v>
      </c>
      <c r="BC84" s="29" t="n">
        <v>-729040.540666963</v>
      </c>
      <c r="BD84" s="29" t="n">
        <v>-108184.9645260308</v>
      </c>
      <c r="BE84" s="29" t="n">
        <v>-541637.876910373</v>
      </c>
      <c r="BF84" s="29" t="n">
        <v>-339601.8118231751</v>
      </c>
      <c r="BG84" s="29" t="n">
        <v>-84954.89002572597</v>
      </c>
      <c r="BH84" s="29" t="n">
        <v>-49697.8419704208</v>
      </c>
      <c r="BI84" s="29" t="n">
        <v>-26900.750082738</v>
      </c>
      <c r="BJ84" s="29" t="n">
        <v>-631276.9956917664</v>
      </c>
      <c r="BK84" s="29" t="n">
        <v>-25746575.84085463</v>
      </c>
      <c r="BL84" s="29" t="n">
        <v>-492132.9080562649</v>
      </c>
      <c r="BM84" s="29" t="n">
        <v>-375135.2112242181</v>
      </c>
      <c r="BN84" s="29" t="n">
        <v>-1358259.905131789</v>
      </c>
      <c r="BO84" s="29" t="n">
        <v>-1828299.554384408</v>
      </c>
      <c r="BP84" s="29" t="n">
        <v>80647.97727395152</v>
      </c>
      <c r="BQ84" s="29" t="n">
        <v>29706.81984279739</v>
      </c>
      <c r="BR84" s="29" t="n">
        <v>10322.9140207669</v>
      </c>
      <c r="BS84" s="29" t="n">
        <v>413025.380442863</v>
      </c>
      <c r="BT84" s="29" t="n">
        <v>572875.9816135375</v>
      </c>
      <c r="BU84" s="29" t="n">
        <v>1268229.073085424</v>
      </c>
      <c r="BV84" s="29" t="n">
        <v>2502183.064948044</v>
      </c>
      <c r="BW84" s="29" t="n">
        <v>1472.429603248278</v>
      </c>
      <c r="BX84" s="29" t="n">
        <v>-5031896.687279847</v>
      </c>
      <c r="BY84" s="29" t="n">
        <v>127623.4659064376</v>
      </c>
      <c r="BZ84" s="29" t="n">
        <v>4156.566160506092</v>
      </c>
      <c r="CA84" s="29" t="n">
        <v>141860.1101799918</v>
      </c>
      <c r="CB84" s="29" t="n">
        <v>2661.513252494739</v>
      </c>
      <c r="CC84" s="29" t="n">
        <v>2841.650485793779</v>
      </c>
      <c r="CD84" s="29" t="n">
        <v>325566.1013131703</v>
      </c>
      <c r="CE84" s="29" t="n">
        <v>103231.1154529082</v>
      </c>
      <c r="CF84" s="29" t="n">
        <v>-1261529.043596141</v>
      </c>
      <c r="CG84" s="29" t="n">
        <v>-6954325.931095427</v>
      </c>
      <c r="CH84" s="29" t="n">
        <v>-254152406.7513937</v>
      </c>
      <c r="CI84" s="29" t="n">
        <v>-523404.2144581935</v>
      </c>
      <c r="CJ84" s="29" t="n">
        <v>64737.6265702059</v>
      </c>
      <c r="CK84" s="29" t="n">
        <v>150762.6441055933</v>
      </c>
      <c r="CL84" s="29" t="n">
        <v>917509.1275707545</v>
      </c>
      <c r="CM84" s="29" t="n">
        <v>-11863.90340234618</v>
      </c>
      <c r="CN84" s="29" t="n">
        <v>2052.427823395918</v>
      </c>
      <c r="CO84" s="29" t="n">
        <v>921.8798613170144</v>
      </c>
      <c r="CP84" s="29" t="n">
        <v>9735.082817022638</v>
      </c>
      <c r="CQ84" s="29" t="n">
        <v>-684874.1873031585</v>
      </c>
      <c r="CR84" s="29" t="n">
        <v>-20044774.53389834</v>
      </c>
      <c r="CS84" s="29" t="n">
        <v>3293.557508200134</v>
      </c>
      <c r="CT84" s="29" t="n">
        <v>3007.380194969491</v>
      </c>
      <c r="CU84" s="29" t="n">
        <v>-18928575.9044735</v>
      </c>
      <c r="CV84" s="29" t="n">
        <v>170873.5541524944</v>
      </c>
      <c r="CW84" s="29" t="n">
        <v>-680391.4897172342</v>
      </c>
      <c r="CX84" s="29" t="n">
        <v>28653.32521545155</v>
      </c>
      <c r="CY84" s="29" t="n">
        <v>-2305973.255508984</v>
      </c>
      <c r="CZ84" s="29" t="n">
        <v>226644.3406358756</v>
      </c>
      <c r="DA84" s="29" t="n">
        <v>-182083.5856909538</v>
      </c>
      <c r="DB84" s="29" t="n">
        <v>355543.8881065411</v>
      </c>
      <c r="DC84" s="29" t="n">
        <v>-51458502.38368592</v>
      </c>
      <c r="DD84" s="29" t="n">
        <v>6878.722812044502</v>
      </c>
      <c r="DE84" s="29" t="n">
        <v>0</v>
      </c>
      <c r="DF84" s="29">
        <f>SUM(C84:DE84)</f>
        <v/>
      </c>
      <c r="DG84" s="29" t="n">
        <v>0</v>
      </c>
      <c r="DH84" s="29" t="n">
        <v>0</v>
      </c>
      <c r="DI84" s="29" t="n">
        <v>0</v>
      </c>
      <c r="DJ84" s="29" t="n">
        <v>0</v>
      </c>
      <c r="DK84" s="29">
        <f>SUM(DG84:DJ84)</f>
        <v/>
      </c>
      <c r="DL84" s="29">
        <f>DF84+DK84</f>
        <v/>
      </c>
    </row>
    <row r="85">
      <c r="A85" s="30" t="inlineStr">
        <is>
          <t>521/5</t>
        </is>
      </c>
      <c r="B85" s="30" t="inlineStr">
        <is>
          <t>521/5 - Comercio minorista excepto reparaciones</t>
        </is>
      </c>
      <c r="C85" s="31" t="n">
        <v>90437.64726371257</v>
      </c>
      <c r="D85" s="31" t="n">
        <v>27242.67993801481</v>
      </c>
      <c r="E85" s="31" t="n">
        <v>287.4051845428162</v>
      </c>
      <c r="F85" s="31" t="n">
        <v>6129.715733927078</v>
      </c>
      <c r="G85" s="31" t="n">
        <v>2249.549022433847</v>
      </c>
      <c r="H85" s="31" t="n">
        <v>7125.463674320225</v>
      </c>
      <c r="I85" s="31" t="n">
        <v>139.2461005802048</v>
      </c>
      <c r="J85" s="31" t="n">
        <v>35104.54968523511</v>
      </c>
      <c r="K85" s="31" t="n">
        <v>55618.29570727319</v>
      </c>
      <c r="L85" s="31" t="n">
        <v>4975.014328986551</v>
      </c>
      <c r="M85" s="31" t="n">
        <v>2913.836835426886</v>
      </c>
      <c r="N85" s="31" t="n">
        <v>11801.90678977331</v>
      </c>
      <c r="O85" s="31" t="n">
        <v>5539.433151140409</v>
      </c>
      <c r="P85" s="31" t="n">
        <v>223428.8509928784</v>
      </c>
      <c r="Q85" s="31" t="n">
        <v>28524.64259030084</v>
      </c>
      <c r="R85" s="31" t="n">
        <v>75115.53887656877</v>
      </c>
      <c r="S85" s="31" t="n">
        <v>11173.9234965791</v>
      </c>
      <c r="T85" s="31" t="n">
        <v>50001.91821713208</v>
      </c>
      <c r="U85" s="31" t="n">
        <v>140714.6873220153</v>
      </c>
      <c r="V85" s="31" t="n">
        <v>3750.282052704003</v>
      </c>
      <c r="W85" s="31" t="n">
        <v>96727.32650273968</v>
      </c>
      <c r="X85" s="31" t="n">
        <v>5221.645220340613</v>
      </c>
      <c r="Y85" s="31" t="n">
        <v>32294.65470938882</v>
      </c>
      <c r="Z85" s="31" t="n">
        <v>16081.58038666644</v>
      </c>
      <c r="AA85" s="31" t="n">
        <v>210476.1130772398</v>
      </c>
      <c r="AB85" s="31" t="n">
        <v>43679.95632003924</v>
      </c>
      <c r="AC85" s="31" t="n">
        <v>79633.01835422742</v>
      </c>
      <c r="AD85" s="31" t="n">
        <v>119533.41196373</v>
      </c>
      <c r="AE85" s="31" t="n">
        <v>6441.019900363916</v>
      </c>
      <c r="AF85" s="31" t="n">
        <v>13305.31558571071</v>
      </c>
      <c r="AG85" s="31" t="n">
        <v>2212.855924762154</v>
      </c>
      <c r="AH85" s="31" t="n">
        <v>7764.634301199918</v>
      </c>
      <c r="AI85" s="31" t="n">
        <v>3730.969334878803</v>
      </c>
      <c r="AJ85" s="31" t="n">
        <v>31443.06740104169</v>
      </c>
      <c r="AK85" s="31" t="n">
        <v>90564.67944504195</v>
      </c>
      <c r="AL85" s="31" t="n">
        <v>11986.09264873524</v>
      </c>
      <c r="AM85" s="31" t="n">
        <v>20461.48384560836</v>
      </c>
      <c r="AN85" s="31" t="n">
        <v>22435.99472035336</v>
      </c>
      <c r="AO85" s="31" t="n">
        <v>9241.188246427546</v>
      </c>
      <c r="AP85" s="31" t="n">
        <v>36158.05769769169</v>
      </c>
      <c r="AQ85" s="31" t="n">
        <v>272613.6524785285</v>
      </c>
      <c r="AR85" s="31" t="n">
        <v>30427.25784507285</v>
      </c>
      <c r="AS85" s="31" t="n">
        <v>30532.27424703462</v>
      </c>
      <c r="AT85" s="31" t="n">
        <v>5623.483454261966</v>
      </c>
      <c r="AU85" s="31" t="n">
        <v>13722.91800382057</v>
      </c>
      <c r="AV85" s="31" t="n">
        <v>22350.75829820642</v>
      </c>
      <c r="AW85" s="31" t="n">
        <v>1967.672291419463</v>
      </c>
      <c r="AX85" s="31" t="n">
        <v>5776.538064937085</v>
      </c>
      <c r="AY85" s="31" t="n">
        <v>6882.837755266874</v>
      </c>
      <c r="AZ85" s="31" t="n">
        <v>18604.76660942471</v>
      </c>
      <c r="BA85" s="31" t="n">
        <v>8453.895175140007</v>
      </c>
      <c r="BB85" s="31" t="n">
        <v>13618.06716592775</v>
      </c>
      <c r="BC85" s="31" t="n">
        <v>9365.849081155458</v>
      </c>
      <c r="BD85" s="31" t="n">
        <v>4236.378919224187</v>
      </c>
      <c r="BE85" s="31" t="n">
        <v>6102.24319946238</v>
      </c>
      <c r="BF85" s="31" t="n">
        <v>5689.826994632845</v>
      </c>
      <c r="BG85" s="31" t="n">
        <v>3315.296559443749</v>
      </c>
      <c r="BH85" s="31" t="n">
        <v>12355.76626898641</v>
      </c>
      <c r="BI85" s="31" t="n">
        <v>1732.167148436164</v>
      </c>
      <c r="BJ85" s="31" t="n">
        <v>6134.795261351611</v>
      </c>
      <c r="BK85" s="31" t="n">
        <v>137972.0321319044</v>
      </c>
      <c r="BL85" s="31" t="n">
        <v>14680.79604481517</v>
      </c>
      <c r="BM85" s="31" t="n">
        <v>7149.826685462813</v>
      </c>
      <c r="BN85" s="31" t="n">
        <v>8901.884327134481</v>
      </c>
      <c r="BO85" s="31" t="n">
        <v>6463.407439904002</v>
      </c>
      <c r="BP85" s="31" t="n">
        <v>17841.11171286748</v>
      </c>
      <c r="BQ85" s="31" t="n">
        <v>6703.260675810309</v>
      </c>
      <c r="BR85" s="31" t="n">
        <v>5896.841618243001</v>
      </c>
      <c r="BS85" s="31" t="n">
        <v>5649.237415528234</v>
      </c>
      <c r="BT85" s="31" t="n">
        <v>606669.6925985798</v>
      </c>
      <c r="BU85" s="31" t="n">
        <v>1494738.783817171</v>
      </c>
      <c r="BV85" s="31" t="n">
        <v>3416918.467964604</v>
      </c>
      <c r="BW85" s="31" t="n">
        <v>1842.963036936535</v>
      </c>
      <c r="BX85" s="31" t="n">
        <v>52010.10788799488</v>
      </c>
      <c r="BY85" s="31" t="n">
        <v>1362371.862637747</v>
      </c>
      <c r="BZ85" s="31" t="n">
        <v>2954.644236603709</v>
      </c>
      <c r="CA85" s="31" t="n">
        <v>88537.6146679621</v>
      </c>
      <c r="CB85" s="31" t="n">
        <v>7778.701930257426</v>
      </c>
      <c r="CC85" s="31" t="n">
        <v>259.6385948019661</v>
      </c>
      <c r="CD85" s="31" t="n">
        <v>26601.41809177405</v>
      </c>
      <c r="CE85" s="31" t="n">
        <v>43648.04516874411</v>
      </c>
      <c r="CF85" s="31" t="n">
        <v>7263.829755917685</v>
      </c>
      <c r="CG85" s="31" t="n">
        <v>504731.8070911787</v>
      </c>
      <c r="CH85" s="31" t="n">
        <v>488045.2163429999</v>
      </c>
      <c r="CI85" s="31" t="n">
        <v>180285.7174881536</v>
      </c>
      <c r="CJ85" s="31" t="n">
        <v>133079.5013699122</v>
      </c>
      <c r="CK85" s="31" t="n">
        <v>120786.0373651478</v>
      </c>
      <c r="CL85" s="31" t="n">
        <v>1141332.223822121</v>
      </c>
      <c r="CM85" s="31" t="n">
        <v>96318.82118227716</v>
      </c>
      <c r="CN85" s="31" t="n">
        <v>5025.261291316683</v>
      </c>
      <c r="CO85" s="31" t="n">
        <v>2257.174225330666</v>
      </c>
      <c r="CP85" s="31" t="n">
        <v>7303.907256850394</v>
      </c>
      <c r="CQ85" s="31" t="n">
        <v>16407.76137564646</v>
      </c>
      <c r="CR85" s="31" t="n">
        <v>1726953.87400636</v>
      </c>
      <c r="CS85" s="31" t="n">
        <v>8276.630561494025</v>
      </c>
      <c r="CT85" s="31" t="n">
        <v>7557.473877332962</v>
      </c>
      <c r="CU85" s="31" t="n">
        <v>4299602.80592827</v>
      </c>
      <c r="CV85" s="31" t="n">
        <v>415777.3841633121</v>
      </c>
      <c r="CW85" s="31" t="n">
        <v>104968.8200457808</v>
      </c>
      <c r="CX85" s="31" t="n">
        <v>48012.79297950012</v>
      </c>
      <c r="CY85" s="31" t="n">
        <v>1666238.585703101</v>
      </c>
      <c r="CZ85" s="31" t="n">
        <v>270411.7001283344</v>
      </c>
      <c r="DA85" s="31" t="n">
        <v>18043.69189160748</v>
      </c>
      <c r="DB85" s="31" t="n">
        <v>449418.4134373331</v>
      </c>
      <c r="DC85" s="31" t="n">
        <v>615882.6049580883</v>
      </c>
      <c r="DD85" s="31" t="n">
        <v>19454.25594910586</v>
      </c>
      <c r="DE85" s="31" t="n">
        <v>0</v>
      </c>
      <c r="DF85" s="31">
        <f>SUM(C85:DE85)</f>
        <v/>
      </c>
      <c r="DG85" s="31" t="n">
        <v>0</v>
      </c>
      <c r="DH85" s="31" t="n">
        <v>0</v>
      </c>
      <c r="DI85" s="31" t="n">
        <v>0</v>
      </c>
      <c r="DJ85" s="31" t="n">
        <v>0</v>
      </c>
      <c r="DK85" s="31">
        <f>SUM(DG85:DJ85)</f>
        <v/>
      </c>
      <c r="DL85" s="31">
        <f>DF85+DK85</f>
        <v/>
      </c>
    </row>
    <row r="86">
      <c r="A86" s="28" t="inlineStr">
        <is>
          <t>526</t>
        </is>
      </c>
      <c r="B86" s="28" t="inlineStr">
        <is>
          <t>Reparación de efectos personales y enseres domésticos</t>
        </is>
      </c>
      <c r="C86" s="29" t="n">
        <v>504404.2473311509</v>
      </c>
      <c r="D86" s="29" t="n">
        <v>44973.24069983702</v>
      </c>
      <c r="E86" s="29" t="n">
        <v>1874.189184749855</v>
      </c>
      <c r="F86" s="29" t="n">
        <v>0</v>
      </c>
      <c r="G86" s="29" t="n">
        <v>14669.4655321433</v>
      </c>
      <c r="H86" s="29" t="n">
        <v>34243.94715328185</v>
      </c>
      <c r="I86" s="29" t="n">
        <v>850.1719892481943</v>
      </c>
      <c r="J86" s="29" t="n">
        <v>61515.16962423514</v>
      </c>
      <c r="K86" s="29" t="n">
        <v>44326.70814408415</v>
      </c>
      <c r="L86" s="29" t="n">
        <v>19752.77741798271</v>
      </c>
      <c r="M86" s="29" t="n">
        <v>16210.81618866708</v>
      </c>
      <c r="N86" s="29" t="n">
        <v>11717.20272976841</v>
      </c>
      <c r="O86" s="29" t="n">
        <v>10511.7073334062</v>
      </c>
      <c r="P86" s="29" t="n">
        <v>5190.397748786302</v>
      </c>
      <c r="Q86" s="29" t="n">
        <v>43365.3834840209</v>
      </c>
      <c r="R86" s="29" t="n">
        <v>6895.78471575889</v>
      </c>
      <c r="S86" s="29" t="n">
        <v>10973.13054025499</v>
      </c>
      <c r="T86" s="29" t="n">
        <v>10781.59549953763</v>
      </c>
      <c r="U86" s="29" t="n">
        <v>11337.50209737269</v>
      </c>
      <c r="V86" s="29" t="n">
        <v>7565.275345710055</v>
      </c>
      <c r="W86" s="29" t="n">
        <v>4073.572955868264</v>
      </c>
      <c r="X86" s="29" t="n">
        <v>2122.770638688984</v>
      </c>
      <c r="Y86" s="29" t="n">
        <v>18011.46795096235</v>
      </c>
      <c r="Z86" s="29" t="n">
        <v>1134.496690073848</v>
      </c>
      <c r="AA86" s="29" t="n">
        <v>3836.239686139325</v>
      </c>
      <c r="AB86" s="29" t="n">
        <v>8023.647884172396</v>
      </c>
      <c r="AC86" s="29" t="n">
        <v>16996.26823478807</v>
      </c>
      <c r="AD86" s="29" t="n">
        <v>2280.571282086531</v>
      </c>
      <c r="AE86" s="29" t="n">
        <v>13304.48941903112</v>
      </c>
      <c r="AF86" s="29" t="n">
        <v>2837.835137894868</v>
      </c>
      <c r="AG86" s="29" t="n">
        <v>1580.531380595421</v>
      </c>
      <c r="AH86" s="29" t="n">
        <v>1107.061649889893</v>
      </c>
      <c r="AI86" s="29" t="n">
        <v>8643.01221086379</v>
      </c>
      <c r="AJ86" s="29" t="n">
        <v>22130.16607500333</v>
      </c>
      <c r="AK86" s="29" t="n">
        <v>4078.277537856028</v>
      </c>
      <c r="AL86" s="29" t="n">
        <v>8219.629471737349</v>
      </c>
      <c r="AM86" s="29" t="n">
        <v>10437.69233255035</v>
      </c>
      <c r="AN86" s="29" t="n">
        <v>13242.54952820283</v>
      </c>
      <c r="AO86" s="29" t="n">
        <v>17397.48916100921</v>
      </c>
      <c r="AP86" s="29" t="n">
        <v>9628.010838017497</v>
      </c>
      <c r="AQ86" s="29" t="n">
        <v>23388.5475248611</v>
      </c>
      <c r="AR86" s="29" t="n">
        <v>7332.679057972265</v>
      </c>
      <c r="AS86" s="29" t="n">
        <v>14981.10810511922</v>
      </c>
      <c r="AT86" s="29" t="n">
        <v>4720.056058050704</v>
      </c>
      <c r="AU86" s="29" t="n">
        <v>24807.81673741745</v>
      </c>
      <c r="AV86" s="29" t="n">
        <v>26431.58276744679</v>
      </c>
      <c r="AW86" s="29" t="n">
        <v>3981.698803555621</v>
      </c>
      <c r="AX86" s="29" t="n">
        <v>8229.732771614252</v>
      </c>
      <c r="AY86" s="29" t="n">
        <v>5051.541181288632</v>
      </c>
      <c r="AZ86" s="29" t="n">
        <v>14165.83574445262</v>
      </c>
      <c r="BA86" s="29" t="n">
        <v>4001.544989941954</v>
      </c>
      <c r="BB86" s="29" t="n">
        <v>11724.61281230932</v>
      </c>
      <c r="BC86" s="29" t="n">
        <v>1551.314206264265</v>
      </c>
      <c r="BD86" s="29" t="n">
        <v>26.6528548748356</v>
      </c>
      <c r="BE86" s="29" t="n">
        <v>1419.346307561619</v>
      </c>
      <c r="BF86" s="29" t="n">
        <v>1380.907885486724</v>
      </c>
      <c r="BG86" s="29" t="n">
        <v>1260.155790530516</v>
      </c>
      <c r="BH86" s="29" t="n">
        <v>2007.393142238402</v>
      </c>
      <c r="BI86" s="29" t="n">
        <v>601.3917071100485</v>
      </c>
      <c r="BJ86" s="29" t="n">
        <v>1144.996493591695</v>
      </c>
      <c r="BK86" s="29" t="n">
        <v>8275.1603929763</v>
      </c>
      <c r="BL86" s="29" t="n">
        <v>9133.069720677731</v>
      </c>
      <c r="BM86" s="29" t="n">
        <v>4636.930367300108</v>
      </c>
      <c r="BN86" s="29" t="n">
        <v>4873.186902592744</v>
      </c>
      <c r="BO86" s="29" t="n">
        <v>3694.743843842564</v>
      </c>
      <c r="BP86" s="29" t="n">
        <v>64694.15399978422</v>
      </c>
      <c r="BQ86" s="29" t="n">
        <v>15583.6735726402</v>
      </c>
      <c r="BR86" s="29" t="n">
        <v>20831.46710579748</v>
      </c>
      <c r="BS86" s="29" t="n">
        <v>152.5691697347788</v>
      </c>
      <c r="BT86" s="29" t="n">
        <v>19883.03737090636</v>
      </c>
      <c r="BU86" s="29" t="n">
        <v>88583.92096136685</v>
      </c>
      <c r="BV86" s="29" t="n">
        <v>124222.6586462036</v>
      </c>
      <c r="BW86" s="29" t="n">
        <v>12018.09006060443</v>
      </c>
      <c r="BX86" s="29" t="n">
        <v>30585.591655687</v>
      </c>
      <c r="BY86" s="29" t="n">
        <v>31187.52644850341</v>
      </c>
      <c r="BZ86" s="29" t="n">
        <v>7004.578617890904</v>
      </c>
      <c r="CA86" s="29" t="n">
        <v>378559.6339511788</v>
      </c>
      <c r="CB86" s="29" t="n">
        <v>6634.968571577074</v>
      </c>
      <c r="CC86" s="29" t="n">
        <v>377.6005281031547</v>
      </c>
      <c r="CD86" s="29" t="n">
        <v>49685.3183251528</v>
      </c>
      <c r="CE86" s="29" t="n">
        <v>48141.12980259347</v>
      </c>
      <c r="CF86" s="29" t="n">
        <v>5337.155260127327</v>
      </c>
      <c r="CG86" s="29" t="n">
        <v>17203.53389365371</v>
      </c>
      <c r="CH86" s="29" t="n">
        <v>67297.57913755329</v>
      </c>
      <c r="CI86" s="29" t="n">
        <v>20227.11780332911</v>
      </c>
      <c r="CJ86" s="29" t="n">
        <v>121594.84481659</v>
      </c>
      <c r="CK86" s="29" t="n">
        <v>9634.708818812564</v>
      </c>
      <c r="CL86" s="29" t="n">
        <v>20966.85892316846</v>
      </c>
      <c r="CM86" s="29" t="n">
        <v>6618.589064207503</v>
      </c>
      <c r="CN86" s="29" t="n">
        <v>0</v>
      </c>
      <c r="CO86" s="29" t="n">
        <v>0</v>
      </c>
      <c r="CP86" s="29" t="n">
        <v>3863.656486991145</v>
      </c>
      <c r="CQ86" s="29" t="n">
        <v>16965.98926471048</v>
      </c>
      <c r="CR86" s="29" t="n">
        <v>37311.09066486911</v>
      </c>
      <c r="CS86" s="29" t="n">
        <v>4186.461536776438</v>
      </c>
      <c r="CT86" s="29" t="n">
        <v>3822.69976502803</v>
      </c>
      <c r="CU86" s="29" t="n">
        <v>121873.2437067985</v>
      </c>
      <c r="CV86" s="29" t="n">
        <v>203943.1180262848</v>
      </c>
      <c r="CW86" s="29" t="n">
        <v>31157.66482028853</v>
      </c>
      <c r="CX86" s="29" t="n">
        <v>4951.885583223479</v>
      </c>
      <c r="CY86" s="29" t="n">
        <v>163428.2853868041</v>
      </c>
      <c r="CZ86" s="29" t="n">
        <v>12821.9296419858</v>
      </c>
      <c r="DA86" s="29" t="n">
        <v>22092.12149351328</v>
      </c>
      <c r="DB86" s="29" t="n">
        <v>143200.2458862321</v>
      </c>
      <c r="DC86" s="29" t="n">
        <v>12110.67614443331</v>
      </c>
      <c r="DD86" s="29" t="n">
        <v>5798.885662995731</v>
      </c>
      <c r="DE86" s="29" t="n">
        <v>0</v>
      </c>
      <c r="DF86" s="29">
        <f>SUM(C86:DE86)</f>
        <v/>
      </c>
      <c r="DG86" s="29" t="n">
        <v>0</v>
      </c>
      <c r="DH86" s="29" t="n">
        <v>0</v>
      </c>
      <c r="DI86" s="29" t="n">
        <v>0</v>
      </c>
      <c r="DJ86" s="29" t="n">
        <v>0</v>
      </c>
      <c r="DK86" s="29">
        <f>SUM(DG86:DJ86)</f>
        <v/>
      </c>
      <c r="DL86" s="29">
        <f>DF86+DK86</f>
        <v/>
      </c>
    </row>
    <row r="87">
      <c r="A87" s="30" t="inlineStr">
        <is>
          <t>551</t>
        </is>
      </c>
      <c r="B87" s="30" t="inlineStr">
        <is>
          <t>Hoteles ; campamentos y otros tipos de hospedaje temporal</t>
        </is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0</v>
      </c>
      <c r="H87" s="31" t="n">
        <v>288482.6640327147</v>
      </c>
      <c r="I87" s="31" t="n">
        <v>2285.704799623664</v>
      </c>
      <c r="J87" s="31" t="n">
        <v>1536556.451303391</v>
      </c>
      <c r="K87" s="31" t="n">
        <v>3966707.553476558</v>
      </c>
      <c r="L87" s="31" t="n">
        <v>37904.8103219364</v>
      </c>
      <c r="M87" s="31" t="n">
        <v>21890.83320202711</v>
      </c>
      <c r="N87" s="31" t="n">
        <v>61784.85465586442</v>
      </c>
      <c r="O87" s="31" t="n">
        <v>53330.7816852511</v>
      </c>
      <c r="P87" s="31" t="n">
        <v>22237.56715596483</v>
      </c>
      <c r="Q87" s="31" t="n">
        <v>27387.16240895979</v>
      </c>
      <c r="R87" s="31" t="n">
        <v>38262.42333213998</v>
      </c>
      <c r="S87" s="31" t="n">
        <v>35223.21110485766</v>
      </c>
      <c r="T87" s="31" t="n">
        <v>31581.1408812383</v>
      </c>
      <c r="U87" s="31" t="n">
        <v>44333.54318523558</v>
      </c>
      <c r="V87" s="31" t="n">
        <v>4204.755964757027</v>
      </c>
      <c r="W87" s="31" t="n">
        <v>32963.321649576</v>
      </c>
      <c r="X87" s="31" t="n">
        <v>7273.174451154518</v>
      </c>
      <c r="Y87" s="31" t="n">
        <v>66226.89523298109</v>
      </c>
      <c r="Z87" s="31" t="n">
        <v>18048.64680254029</v>
      </c>
      <c r="AA87" s="31" t="n">
        <v>55745.19771703515</v>
      </c>
      <c r="AB87" s="31" t="n">
        <v>19808.36876631481</v>
      </c>
      <c r="AC87" s="31" t="n">
        <v>30953.1162282513</v>
      </c>
      <c r="AD87" s="31" t="n">
        <v>18753.20043003315</v>
      </c>
      <c r="AE87" s="31" t="n">
        <v>37293.14900844061</v>
      </c>
      <c r="AF87" s="31" t="n">
        <v>35436.91411756092</v>
      </c>
      <c r="AG87" s="31" t="n">
        <v>10994.95271756879</v>
      </c>
      <c r="AH87" s="31" t="n">
        <v>9169.010215740234</v>
      </c>
      <c r="AI87" s="31" t="n">
        <v>23550.95957162191</v>
      </c>
      <c r="AJ87" s="31" t="n">
        <v>55629.30229595197</v>
      </c>
      <c r="AK87" s="31" t="n">
        <v>169895.2891781973</v>
      </c>
      <c r="AL87" s="31" t="n">
        <v>51850.62138665352</v>
      </c>
      <c r="AM87" s="31" t="n">
        <v>34997.28004958459</v>
      </c>
      <c r="AN87" s="31" t="n">
        <v>66352.19472556582</v>
      </c>
      <c r="AO87" s="31" t="n">
        <v>19918.96361234042</v>
      </c>
      <c r="AP87" s="31" t="n">
        <v>23592.81179299805</v>
      </c>
      <c r="AQ87" s="31" t="n">
        <v>534516.3544625199</v>
      </c>
      <c r="AR87" s="31" t="n">
        <v>31196.40927249432</v>
      </c>
      <c r="AS87" s="31" t="n">
        <v>122205.5593722593</v>
      </c>
      <c r="AT87" s="31" t="n">
        <v>11553.23969059235</v>
      </c>
      <c r="AU87" s="31" t="n">
        <v>90396.2703383636</v>
      </c>
      <c r="AV87" s="31" t="n">
        <v>89770.18330140166</v>
      </c>
      <c r="AW87" s="31" t="n">
        <v>12122.79426792468</v>
      </c>
      <c r="AX87" s="31" t="n">
        <v>18895.9458575761</v>
      </c>
      <c r="AY87" s="31" t="n">
        <v>38327.24220121437</v>
      </c>
      <c r="AZ87" s="31" t="n">
        <v>80909.09912664285</v>
      </c>
      <c r="BA87" s="31" t="n">
        <v>52842.38467565834</v>
      </c>
      <c r="BB87" s="31" t="n">
        <v>105917.1672191631</v>
      </c>
      <c r="BC87" s="31" t="n">
        <v>30100.45159809318</v>
      </c>
      <c r="BD87" s="31" t="n">
        <v>4799.432402304642</v>
      </c>
      <c r="BE87" s="31" t="n">
        <v>39296.71516554186</v>
      </c>
      <c r="BF87" s="31" t="n">
        <v>12406.25098443063</v>
      </c>
      <c r="BG87" s="31" t="n">
        <v>15350.17573663178</v>
      </c>
      <c r="BH87" s="31" t="n">
        <v>266541.6055600065</v>
      </c>
      <c r="BI87" s="31" t="n">
        <v>3297.813151876701</v>
      </c>
      <c r="BJ87" s="31" t="n">
        <v>30075.15155438892</v>
      </c>
      <c r="BK87" s="31" t="n">
        <v>73475.26703706087</v>
      </c>
      <c r="BL87" s="31" t="n">
        <v>60611.70397961901</v>
      </c>
      <c r="BM87" s="31" t="n">
        <v>21536.16833873814</v>
      </c>
      <c r="BN87" s="31" t="n">
        <v>49452.41197491525</v>
      </c>
      <c r="BO87" s="31" t="n">
        <v>31543.86368560345</v>
      </c>
      <c r="BP87" s="31" t="n">
        <v>102476.8473451572</v>
      </c>
      <c r="BQ87" s="31" t="n">
        <v>60674.4401089234</v>
      </c>
      <c r="BR87" s="31" t="n">
        <v>3467.722271905602</v>
      </c>
      <c r="BS87" s="31" t="n">
        <v>0</v>
      </c>
      <c r="BT87" s="31" t="n">
        <v>113255.1514093727</v>
      </c>
      <c r="BU87" s="31" t="n">
        <v>1219156.991434249</v>
      </c>
      <c r="BV87" s="31" t="n">
        <v>1013814.201384047</v>
      </c>
      <c r="BW87" s="31" t="n">
        <v>0</v>
      </c>
      <c r="BX87" s="31" t="n">
        <v>144604.7215177453</v>
      </c>
      <c r="BY87" s="31" t="n">
        <v>1804.53547767488</v>
      </c>
      <c r="BZ87" s="31" t="n">
        <v>1335.309346954596</v>
      </c>
      <c r="CA87" s="31" t="n">
        <v>0</v>
      </c>
      <c r="CB87" s="31" t="n">
        <v>0</v>
      </c>
      <c r="CC87" s="31" t="n">
        <v>6173.385294286127</v>
      </c>
      <c r="CD87" s="31" t="n">
        <v>1194025.554227877</v>
      </c>
      <c r="CE87" s="31" t="n">
        <v>26125.52371642839</v>
      </c>
      <c r="CF87" s="31" t="n">
        <v>47846.93950722082</v>
      </c>
      <c r="CG87" s="31" t="n">
        <v>223321.8680688636</v>
      </c>
      <c r="CH87" s="31" t="n">
        <v>360853.2060649355</v>
      </c>
      <c r="CI87" s="31" t="n">
        <v>149092.3600774222</v>
      </c>
      <c r="CJ87" s="31" t="n">
        <v>3164275.856165333</v>
      </c>
      <c r="CK87" s="31" t="n">
        <v>142286.7308035633</v>
      </c>
      <c r="CL87" s="31" t="n">
        <v>581864.3780910298</v>
      </c>
      <c r="CM87" s="31" t="n">
        <v>99074.28592655034</v>
      </c>
      <c r="CN87" s="31" t="n">
        <v>0</v>
      </c>
      <c r="CO87" s="31" t="n">
        <v>0</v>
      </c>
      <c r="CP87" s="31" t="n">
        <v>7183.425748696626</v>
      </c>
      <c r="CQ87" s="31" t="n">
        <v>11408.12873236507</v>
      </c>
      <c r="CR87" s="31" t="n">
        <v>691264.6082387812</v>
      </c>
      <c r="CS87" s="31" t="n">
        <v>188745.761375537</v>
      </c>
      <c r="CT87" s="31" t="n">
        <v>172345.6363618876</v>
      </c>
      <c r="CU87" s="31" t="n">
        <v>1930715.812849753</v>
      </c>
      <c r="CV87" s="31" t="n">
        <v>9194733.727044292</v>
      </c>
      <c r="CW87" s="31" t="n">
        <v>228361.3741494966</v>
      </c>
      <c r="CX87" s="31" t="n">
        <v>571678.2305301129</v>
      </c>
      <c r="CY87" s="31" t="n">
        <v>622415.2227891809</v>
      </c>
      <c r="CZ87" s="31" t="n">
        <v>4000388.18203431</v>
      </c>
      <c r="DA87" s="31" t="n">
        <v>52373.26791271308</v>
      </c>
      <c r="DB87" s="31" t="n">
        <v>416436.9211590316</v>
      </c>
      <c r="DC87" s="31" t="n">
        <v>365600.1684670351</v>
      </c>
      <c r="DD87" s="31" t="n">
        <v>0</v>
      </c>
      <c r="DE87" s="31" t="n">
        <v>0</v>
      </c>
      <c r="DF87" s="31">
        <f>SUM(C87:DE87)</f>
        <v/>
      </c>
      <c r="DG87" s="31" t="n">
        <v>0</v>
      </c>
      <c r="DH87" s="31" t="n">
        <v>0</v>
      </c>
      <c r="DI87" s="31" t="n">
        <v>0</v>
      </c>
      <c r="DJ87" s="31" t="n">
        <v>0</v>
      </c>
      <c r="DK87" s="31">
        <f>SUM(DG87:DJ87)</f>
        <v/>
      </c>
      <c r="DL87" s="31">
        <f>DF87+DK87</f>
        <v/>
      </c>
    </row>
    <row r="88">
      <c r="A88" s="28" t="inlineStr">
        <is>
          <t>552</t>
        </is>
      </c>
      <c r="B88" s="28" t="inlineStr">
        <is>
          <t>Restaurantes, bares y cantinas</t>
        </is>
      </c>
      <c r="C88" s="29" t="n">
        <v>-858550.7804135353</v>
      </c>
      <c r="D88" s="29" t="n">
        <v>-10830.21774340245</v>
      </c>
      <c r="E88" s="29" t="n">
        <v>0</v>
      </c>
      <c r="F88" s="29" t="n">
        <v>243.012796727686</v>
      </c>
      <c r="G88" s="29" t="n">
        <v>0</v>
      </c>
      <c r="H88" s="29" t="n">
        <v>221701.4749153318</v>
      </c>
      <c r="I88" s="29" t="n">
        <v>528.5033928882497</v>
      </c>
      <c r="J88" s="29" t="n">
        <v>1332096.82085943</v>
      </c>
      <c r="K88" s="29" t="n">
        <v>1260483.65719327</v>
      </c>
      <c r="L88" s="29" t="n">
        <v>8486.995440214539</v>
      </c>
      <c r="M88" s="29" t="n">
        <v>5794.523408459852</v>
      </c>
      <c r="N88" s="29" t="n">
        <v>347335.5408921161</v>
      </c>
      <c r="O88" s="29" t="n">
        <v>219600.5269017694</v>
      </c>
      <c r="P88" s="29" t="n">
        <v>153028.6773608601</v>
      </c>
      <c r="Q88" s="29" t="n">
        <v>408552.7749251086</v>
      </c>
      <c r="R88" s="29" t="n">
        <v>139138.7040259594</v>
      </c>
      <c r="S88" s="29" t="n">
        <v>279031.2751163111</v>
      </c>
      <c r="T88" s="29" t="n">
        <v>244526.143229184</v>
      </c>
      <c r="U88" s="29" t="n">
        <v>459684.0874149557</v>
      </c>
      <c r="V88" s="29" t="n">
        <v>170973.9778254171</v>
      </c>
      <c r="W88" s="29" t="n">
        <v>142145.0973902166</v>
      </c>
      <c r="X88" s="29" t="n">
        <v>11664.24499770048</v>
      </c>
      <c r="Y88" s="29" t="n">
        <v>708153.8533598657</v>
      </c>
      <c r="Z88" s="29" t="n">
        <v>29783.86080975297</v>
      </c>
      <c r="AA88" s="29" t="n">
        <v>173602.130473159</v>
      </c>
      <c r="AB88" s="29" t="n">
        <v>377361.6630750926</v>
      </c>
      <c r="AC88" s="29" t="n">
        <v>277605.6769102193</v>
      </c>
      <c r="AD88" s="29" t="n">
        <v>92341.47326125964</v>
      </c>
      <c r="AE88" s="29" t="n">
        <v>180555.939427882</v>
      </c>
      <c r="AF88" s="29" t="n">
        <v>155959.3611434397</v>
      </c>
      <c r="AG88" s="29" t="n">
        <v>44932.72627609599</v>
      </c>
      <c r="AH88" s="29" t="n">
        <v>62374.0248851469</v>
      </c>
      <c r="AI88" s="29" t="n">
        <v>144284.8557111639</v>
      </c>
      <c r="AJ88" s="29" t="n">
        <v>289758.5089383878</v>
      </c>
      <c r="AK88" s="29" t="n">
        <v>516628.4700420344</v>
      </c>
      <c r="AL88" s="29" t="n">
        <v>256265.084287021</v>
      </c>
      <c r="AM88" s="29" t="n">
        <v>-324808.1120317245</v>
      </c>
      <c r="AN88" s="29" t="n">
        <v>321178.9236856022</v>
      </c>
      <c r="AO88" s="29" t="n">
        <v>110011.3794682215</v>
      </c>
      <c r="AP88" s="29" t="n">
        <v>288120.5503597551</v>
      </c>
      <c r="AQ88" s="29" t="n">
        <v>1560088.346329322</v>
      </c>
      <c r="AR88" s="29" t="n">
        <v>134232.1866709346</v>
      </c>
      <c r="AS88" s="29" t="n">
        <v>349307.7715854066</v>
      </c>
      <c r="AT88" s="29" t="n">
        <v>56486.67861798167</v>
      </c>
      <c r="AU88" s="29" t="n">
        <v>462852.8343208241</v>
      </c>
      <c r="AV88" s="29" t="n">
        <v>152930.5383741609</v>
      </c>
      <c r="AW88" s="29" t="n">
        <v>58246.70854801897</v>
      </c>
      <c r="AX88" s="29" t="n">
        <v>273593.373630651</v>
      </c>
      <c r="AY88" s="29" t="n">
        <v>212599.3961026635</v>
      </c>
      <c r="AZ88" s="29" t="n">
        <v>432970.6466203937</v>
      </c>
      <c r="BA88" s="29" t="n">
        <v>217104.1225712522</v>
      </c>
      <c r="BB88" s="29" t="n">
        <v>381956.4117007162</v>
      </c>
      <c r="BC88" s="29" t="n">
        <v>106420.1480199705</v>
      </c>
      <c r="BD88" s="29" t="n">
        <v>7767.020403946834</v>
      </c>
      <c r="BE88" s="29" t="n">
        <v>66960.54085262546</v>
      </c>
      <c r="BF88" s="29" t="n">
        <v>45296.62102622244</v>
      </c>
      <c r="BG88" s="29" t="n">
        <v>190533.9811951669</v>
      </c>
      <c r="BH88" s="29" t="n">
        <v>414049.8577695849</v>
      </c>
      <c r="BI88" s="29" t="n">
        <v>12665.83060216805</v>
      </c>
      <c r="BJ88" s="29" t="n">
        <v>64213.56690780999</v>
      </c>
      <c r="BK88" s="29" t="n">
        <v>688969.0050882614</v>
      </c>
      <c r="BL88" s="29" t="n">
        <v>308370.1867363803</v>
      </c>
      <c r="BM88" s="29" t="n">
        <v>168059.392771275</v>
      </c>
      <c r="BN88" s="29" t="n">
        <v>122821.4975151117</v>
      </c>
      <c r="BO88" s="29" t="n">
        <v>119465.9394657549</v>
      </c>
      <c r="BP88" s="29" t="n">
        <v>25951.00732921267</v>
      </c>
      <c r="BQ88" s="29" t="n">
        <v>14695.43213450149</v>
      </c>
      <c r="BR88" s="29" t="n">
        <v>1340.440889209706</v>
      </c>
      <c r="BS88" s="29" t="n">
        <v>12022.15473132972</v>
      </c>
      <c r="BT88" s="29" t="n">
        <v>304147.4236248361</v>
      </c>
      <c r="BU88" s="29" t="n">
        <v>492893.5113556579</v>
      </c>
      <c r="BV88" s="29" t="n">
        <v>701428.6387152444</v>
      </c>
      <c r="BW88" s="29" t="n">
        <v>39.35814349771562</v>
      </c>
      <c r="BX88" s="29" t="n">
        <v>2496.618162980552</v>
      </c>
      <c r="BY88" s="29" t="n">
        <v>3243252.101149198</v>
      </c>
      <c r="BZ88" s="29" t="n">
        <v>15247.78917606972</v>
      </c>
      <c r="CA88" s="29" t="n">
        <v>513069.9873854449</v>
      </c>
      <c r="CB88" s="29" t="n">
        <v>4317.028932922456</v>
      </c>
      <c r="CC88" s="29" t="n">
        <v>15758.18404307158</v>
      </c>
      <c r="CD88" s="29" t="n">
        <v>278163.4480012876</v>
      </c>
      <c r="CE88" s="29" t="n">
        <v>15285.48694015954</v>
      </c>
      <c r="CF88" s="29" t="n">
        <v>8828.725122554297</v>
      </c>
      <c r="CG88" s="29" t="n">
        <v>174777.7065497971</v>
      </c>
      <c r="CH88" s="29" t="n">
        <v>-1832328.167309144</v>
      </c>
      <c r="CI88" s="29" t="n">
        <v>64870.7712898149</v>
      </c>
      <c r="CJ88" s="29" t="n">
        <v>655141.5338353598</v>
      </c>
      <c r="CK88" s="29" t="n">
        <v>72880.08284048544</v>
      </c>
      <c r="CL88" s="29" t="n">
        <v>254408.6144886504</v>
      </c>
      <c r="CM88" s="29" t="n">
        <v>53610.24913242878</v>
      </c>
      <c r="CN88" s="29" t="n">
        <v>45.86739082988737</v>
      </c>
      <c r="CO88" s="29" t="n">
        <v>28.6630881630126</v>
      </c>
      <c r="CP88" s="29" t="n">
        <v>2916.958792791963</v>
      </c>
      <c r="CQ88" s="29" t="n">
        <v>1188.116623208855</v>
      </c>
      <c r="CR88" s="29" t="n">
        <v>130072.218507371</v>
      </c>
      <c r="CS88" s="29" t="n">
        <v>75456.67621893395</v>
      </c>
      <c r="CT88" s="29" t="n">
        <v>68902.01364866877</v>
      </c>
      <c r="CU88" s="29" t="n">
        <v>852714.3078978281</v>
      </c>
      <c r="CV88" s="29" t="n">
        <v>3676987.551782501</v>
      </c>
      <c r="CW88" s="29" t="n">
        <v>1097813.927861925</v>
      </c>
      <c r="CX88" s="29" t="n">
        <v>615339.6284858569</v>
      </c>
      <c r="CY88" s="29" t="n">
        <v>1126196.527763284</v>
      </c>
      <c r="CZ88" s="29" t="n">
        <v>1028052.299348575</v>
      </c>
      <c r="DA88" s="29" t="n">
        <v>21168.47932582392</v>
      </c>
      <c r="DB88" s="29" t="n">
        <v>725393.0235038833</v>
      </c>
      <c r="DC88" s="29" t="n">
        <v>465589.715895268</v>
      </c>
      <c r="DD88" s="29" t="n">
        <v>67098.47393857509</v>
      </c>
      <c r="DE88" s="29" t="n">
        <v>0</v>
      </c>
      <c r="DF88" s="29">
        <f>SUM(C88:DE88)</f>
        <v/>
      </c>
      <c r="DG88" s="29" t="n">
        <v>0</v>
      </c>
      <c r="DH88" s="29" t="n">
        <v>0</v>
      </c>
      <c r="DI88" s="29" t="n">
        <v>0</v>
      </c>
      <c r="DJ88" s="29" t="n">
        <v>0</v>
      </c>
      <c r="DK88" s="29">
        <f>SUM(DG88:DJ88)</f>
        <v/>
      </c>
      <c r="DL88" s="29">
        <f>DF88+DK88</f>
        <v/>
      </c>
    </row>
    <row r="89">
      <c r="A89" s="30" t="inlineStr">
        <is>
          <t>601</t>
        </is>
      </c>
      <c r="B89" s="30" t="inlineStr">
        <is>
          <t>Servicio de transporte ferroviario</t>
        </is>
      </c>
      <c r="C89" s="31" t="n">
        <v>-207501.5962935155</v>
      </c>
      <c r="D89" s="31" t="n">
        <v>0</v>
      </c>
      <c r="E89" s="31" t="n">
        <v>0</v>
      </c>
      <c r="F89" s="31" t="n">
        <v>0</v>
      </c>
      <c r="G89" s="31" t="n">
        <v>0</v>
      </c>
      <c r="H89" s="31" t="n">
        <v>-20896.01848627016</v>
      </c>
      <c r="I89" s="31" t="n">
        <v>0</v>
      </c>
      <c r="J89" s="31" t="n">
        <v>0</v>
      </c>
      <c r="K89" s="31" t="n">
        <v>0</v>
      </c>
      <c r="L89" s="31" t="n">
        <v>0</v>
      </c>
      <c r="M89" s="31" t="n">
        <v>0</v>
      </c>
      <c r="N89" s="31" t="n">
        <v>0</v>
      </c>
      <c r="O89" s="31" t="n">
        <v>0</v>
      </c>
      <c r="P89" s="31" t="n">
        <v>0</v>
      </c>
      <c r="Q89" s="31" t="n">
        <v>0</v>
      </c>
      <c r="R89" s="31" t="n">
        <v>0</v>
      </c>
      <c r="S89" s="31" t="n">
        <v>0</v>
      </c>
      <c r="T89" s="31" t="n">
        <v>0</v>
      </c>
      <c r="U89" s="31" t="n">
        <v>0</v>
      </c>
      <c r="V89" s="31" t="n">
        <v>0</v>
      </c>
      <c r="W89" s="31" t="n">
        <v>0</v>
      </c>
      <c r="X89" s="31" t="n">
        <v>0</v>
      </c>
      <c r="Y89" s="31" t="n">
        <v>0</v>
      </c>
      <c r="Z89" s="31" t="n">
        <v>0</v>
      </c>
      <c r="AA89" s="31" t="n">
        <v>0</v>
      </c>
      <c r="AB89" s="31" t="n">
        <v>0</v>
      </c>
      <c r="AC89" s="31" t="n">
        <v>0</v>
      </c>
      <c r="AD89" s="31" t="n">
        <v>0</v>
      </c>
      <c r="AE89" s="31" t="n">
        <v>0</v>
      </c>
      <c r="AF89" s="31" t="n">
        <v>0</v>
      </c>
      <c r="AG89" s="31" t="n">
        <v>0</v>
      </c>
      <c r="AH89" s="31" t="n">
        <v>0</v>
      </c>
      <c r="AI89" s="31" t="n">
        <v>0</v>
      </c>
      <c r="AJ89" s="31" t="n">
        <v>0</v>
      </c>
      <c r="AK89" s="31" t="n">
        <v>0</v>
      </c>
      <c r="AL89" s="31" t="n">
        <v>0</v>
      </c>
      <c r="AM89" s="31" t="n">
        <v>0</v>
      </c>
      <c r="AN89" s="31" t="n">
        <v>0</v>
      </c>
      <c r="AO89" s="31" t="n">
        <v>0</v>
      </c>
      <c r="AP89" s="31" t="n">
        <v>0</v>
      </c>
      <c r="AQ89" s="31" t="n">
        <v>0</v>
      </c>
      <c r="AR89" s="31" t="n">
        <v>0</v>
      </c>
      <c r="AS89" s="31" t="n">
        <v>0</v>
      </c>
      <c r="AT89" s="31" t="n">
        <v>0</v>
      </c>
      <c r="AU89" s="31" t="n">
        <v>0</v>
      </c>
      <c r="AV89" s="31" t="n">
        <v>0</v>
      </c>
      <c r="AW89" s="31" t="n">
        <v>0</v>
      </c>
      <c r="AX89" s="31" t="n">
        <v>0</v>
      </c>
      <c r="AY89" s="31" t="n">
        <v>0</v>
      </c>
      <c r="AZ89" s="31" t="n">
        <v>0</v>
      </c>
      <c r="BA89" s="31" t="n">
        <v>0</v>
      </c>
      <c r="BB89" s="31" t="n">
        <v>0</v>
      </c>
      <c r="BC89" s="31" t="n">
        <v>0</v>
      </c>
      <c r="BD89" s="31" t="n">
        <v>0</v>
      </c>
      <c r="BE89" s="31" t="n">
        <v>0</v>
      </c>
      <c r="BF89" s="31" t="n">
        <v>0</v>
      </c>
      <c r="BG89" s="31" t="n">
        <v>0</v>
      </c>
      <c r="BH89" s="31" t="n">
        <v>0</v>
      </c>
      <c r="BI89" s="31" t="n">
        <v>0</v>
      </c>
      <c r="BJ89" s="31" t="n">
        <v>0</v>
      </c>
      <c r="BK89" s="31" t="n">
        <v>0</v>
      </c>
      <c r="BL89" s="31" t="n">
        <v>0</v>
      </c>
      <c r="BM89" s="31" t="n">
        <v>0</v>
      </c>
      <c r="BN89" s="31" t="n">
        <v>0</v>
      </c>
      <c r="BO89" s="31" t="n">
        <v>0</v>
      </c>
      <c r="BP89" s="31" t="n">
        <v>0</v>
      </c>
      <c r="BQ89" s="31" t="n">
        <v>0</v>
      </c>
      <c r="BR89" s="31" t="n">
        <v>0</v>
      </c>
      <c r="BS89" s="31" t="n">
        <v>0</v>
      </c>
      <c r="BT89" s="31" t="n">
        <v>0</v>
      </c>
      <c r="BU89" s="31" t="n">
        <v>0</v>
      </c>
      <c r="BV89" s="31" t="n">
        <v>0</v>
      </c>
      <c r="BW89" s="31" t="n">
        <v>0</v>
      </c>
      <c r="BX89" s="31" t="n">
        <v>-1416.237739239008</v>
      </c>
      <c r="BY89" s="31" t="n">
        <v>0</v>
      </c>
      <c r="BZ89" s="31" t="n">
        <v>0</v>
      </c>
      <c r="CA89" s="31" t="n">
        <v>0</v>
      </c>
      <c r="CB89" s="31" t="n">
        <v>0</v>
      </c>
      <c r="CC89" s="31" t="n">
        <v>0</v>
      </c>
      <c r="CD89" s="31" t="n">
        <v>0</v>
      </c>
      <c r="CE89" s="31" t="n">
        <v>0</v>
      </c>
      <c r="CF89" s="31" t="n">
        <v>-82384.43705231696</v>
      </c>
      <c r="CG89" s="31" t="n">
        <v>-2982.144549692035</v>
      </c>
      <c r="CH89" s="31" t="n">
        <v>-1501.616774805956</v>
      </c>
      <c r="CI89" s="31" t="n">
        <v>0</v>
      </c>
      <c r="CJ89" s="31" t="n">
        <v>0</v>
      </c>
      <c r="CK89" s="31" t="n">
        <v>0</v>
      </c>
      <c r="CL89" s="31" t="n">
        <v>5652.7116747775</v>
      </c>
      <c r="CM89" s="31" t="n">
        <v>0</v>
      </c>
      <c r="CN89" s="31" t="n">
        <v>0</v>
      </c>
      <c r="CO89" s="31" t="n">
        <v>0</v>
      </c>
      <c r="CP89" s="31" t="n">
        <v>0</v>
      </c>
      <c r="CQ89" s="31" t="n">
        <v>-1164.875835700164</v>
      </c>
      <c r="CR89" s="31" t="n">
        <v>-93.98800842178161</v>
      </c>
      <c r="CS89" s="31" t="n">
        <v>0</v>
      </c>
      <c r="CT89" s="31" t="n">
        <v>0</v>
      </c>
      <c r="CU89" s="31" t="n">
        <v>-4119.929743646979</v>
      </c>
      <c r="CV89" s="31" t="n">
        <v>0</v>
      </c>
      <c r="CW89" s="31" t="n">
        <v>0</v>
      </c>
      <c r="CX89" s="31" t="n">
        <v>0</v>
      </c>
      <c r="CY89" s="31" t="n">
        <v>0</v>
      </c>
      <c r="CZ89" s="31" t="n">
        <v>0</v>
      </c>
      <c r="DA89" s="31" t="n">
        <v>0</v>
      </c>
      <c r="DB89" s="31" t="n">
        <v>0</v>
      </c>
      <c r="DC89" s="31" t="n">
        <v>-4941.001714355662</v>
      </c>
      <c r="DD89" s="31" t="n">
        <v>0</v>
      </c>
      <c r="DE89" s="31" t="n">
        <v>0</v>
      </c>
      <c r="DF89" s="31">
        <f>SUM(C89:DE89)</f>
        <v/>
      </c>
      <c r="DG89" s="31" t="n">
        <v>0</v>
      </c>
      <c r="DH89" s="31" t="n">
        <v>0</v>
      </c>
      <c r="DI89" s="31" t="n">
        <v>0</v>
      </c>
      <c r="DJ89" s="31" t="n">
        <v>0</v>
      </c>
      <c r="DK89" s="31">
        <f>SUM(DG89:DJ89)</f>
        <v/>
      </c>
      <c r="DL89" s="31">
        <f>DF89+DK89</f>
        <v/>
      </c>
    </row>
    <row r="90">
      <c r="A90" s="28" t="inlineStr">
        <is>
          <t>602</t>
        </is>
      </c>
      <c r="B90" s="28" t="inlineStr">
        <is>
          <t>Servicio de transporte automotor</t>
        </is>
      </c>
      <c r="C90" s="29" t="n">
        <v>-38516150.86628962</v>
      </c>
      <c r="D90" s="29" t="n">
        <v>-1970921.469856713</v>
      </c>
      <c r="E90" s="29" t="n">
        <v>0</v>
      </c>
      <c r="F90" s="29" t="n">
        <v>0</v>
      </c>
      <c r="G90" s="29" t="n">
        <v>0</v>
      </c>
      <c r="H90" s="29" t="n">
        <v>0</v>
      </c>
      <c r="I90" s="29" t="n">
        <v>-101488.6894187486</v>
      </c>
      <c r="J90" s="29" t="n">
        <v>0</v>
      </c>
      <c r="K90" s="29" t="n">
        <v>0</v>
      </c>
      <c r="L90" s="29" t="n">
        <v>-304760.2533392877</v>
      </c>
      <c r="M90" s="29" t="n">
        <v>-789323.2463043284</v>
      </c>
      <c r="N90" s="29" t="n">
        <v>-1388823.757803248</v>
      </c>
      <c r="O90" s="29" t="n">
        <v>-299920.353794488</v>
      </c>
      <c r="P90" s="29" t="n">
        <v>-540613.3543643901</v>
      </c>
      <c r="Q90" s="29" t="n">
        <v>-1187049.596206139</v>
      </c>
      <c r="R90" s="29" t="n">
        <v>-3014872.13384406</v>
      </c>
      <c r="S90" s="29" t="n">
        <v>-1523502.540058934</v>
      </c>
      <c r="T90" s="29" t="n">
        <v>-504970.9916040517</v>
      </c>
      <c r="U90" s="29" t="n">
        <v>-1538216.726079787</v>
      </c>
      <c r="V90" s="29" t="n">
        <v>-648381.4344467344</v>
      </c>
      <c r="W90" s="29" t="n">
        <v>-359715.4007305016</v>
      </c>
      <c r="X90" s="29" t="n">
        <v>-99180.76575354935</v>
      </c>
      <c r="Y90" s="29" t="n">
        <v>-1245703.72361654</v>
      </c>
      <c r="Z90" s="29" t="n">
        <v>-133228.4993975618</v>
      </c>
      <c r="AA90" s="29" t="n">
        <v>-707627.6729123336</v>
      </c>
      <c r="AB90" s="29" t="n">
        <v>-1207366.477970216</v>
      </c>
      <c r="AC90" s="29" t="n">
        <v>-1859929.468833247</v>
      </c>
      <c r="AD90" s="29" t="n">
        <v>-190086.3599819712</v>
      </c>
      <c r="AE90" s="29" t="n">
        <v>-457051.0377695075</v>
      </c>
      <c r="AF90" s="29" t="n">
        <v>-74952.99749104756</v>
      </c>
      <c r="AG90" s="29" t="n">
        <v>-101270.3505204043</v>
      </c>
      <c r="AH90" s="29" t="n">
        <v>-73345.32100358035</v>
      </c>
      <c r="AI90" s="29" t="n">
        <v>-706875.0976112771</v>
      </c>
      <c r="AJ90" s="29" t="n">
        <v>-1256837.908977317</v>
      </c>
      <c r="AK90" s="29" t="n">
        <v>-295923.2599915204</v>
      </c>
      <c r="AL90" s="29" t="n">
        <v>-169854.5434739959</v>
      </c>
      <c r="AM90" s="29" t="n">
        <v>-5940659.425454994</v>
      </c>
      <c r="AN90" s="29" t="n">
        <v>-1427157.271860631</v>
      </c>
      <c r="AO90" s="29" t="n">
        <v>-143693.2010539707</v>
      </c>
      <c r="AP90" s="29" t="n">
        <v>-638160.9943811692</v>
      </c>
      <c r="AQ90" s="29" t="n">
        <v>-1603937.448872597</v>
      </c>
      <c r="AR90" s="29" t="n">
        <v>-170517.4535155325</v>
      </c>
      <c r="AS90" s="29" t="n">
        <v>-666758.8241508239</v>
      </c>
      <c r="AT90" s="29" t="n">
        <v>-160199.0260176634</v>
      </c>
      <c r="AU90" s="29" t="n">
        <v>-1969970.16178917</v>
      </c>
      <c r="AV90" s="29" t="n">
        <v>-2448516.895270306</v>
      </c>
      <c r="AW90" s="29" t="n">
        <v>-81255.56175405771</v>
      </c>
      <c r="AX90" s="29" t="n">
        <v>-117547.6157393364</v>
      </c>
      <c r="AY90" s="29" t="n">
        <v>-190504.2585214105</v>
      </c>
      <c r="AZ90" s="29" t="n">
        <v>-325123.3561193714</v>
      </c>
      <c r="BA90" s="29" t="n">
        <v>-152433.0841198602</v>
      </c>
      <c r="BB90" s="29" t="n">
        <v>-281332.0875577831</v>
      </c>
      <c r="BC90" s="29" t="n">
        <v>-177521.2864310289</v>
      </c>
      <c r="BD90" s="29" t="n">
        <v>-9687.088545846334</v>
      </c>
      <c r="BE90" s="29" t="n">
        <v>-74411.48229105042</v>
      </c>
      <c r="BF90" s="29" t="n">
        <v>-61695.89285758168</v>
      </c>
      <c r="BG90" s="29" t="n">
        <v>-48530.95302998141</v>
      </c>
      <c r="BH90" s="29" t="n">
        <v>-423430.7574986905</v>
      </c>
      <c r="BI90" s="29" t="n">
        <v>-70012.28777189578</v>
      </c>
      <c r="BJ90" s="29" t="n">
        <v>-62509.36664452216</v>
      </c>
      <c r="BK90" s="29" t="n">
        <v>-534022.3001327686</v>
      </c>
      <c r="BL90" s="29" t="n">
        <v>-297357.5849521602</v>
      </c>
      <c r="BM90" s="29" t="n">
        <v>-47283.8168833754</v>
      </c>
      <c r="BN90" s="29" t="n">
        <v>-233658.8073745245</v>
      </c>
      <c r="BO90" s="29" t="n">
        <v>-212664.5424159655</v>
      </c>
      <c r="BP90" s="29" t="n">
        <v>-825034.7914848685</v>
      </c>
      <c r="BQ90" s="29" t="n">
        <v>-561756.1723662884</v>
      </c>
      <c r="BR90" s="29" t="n">
        <v>-1372.037497711726</v>
      </c>
      <c r="BS90" s="29" t="n">
        <v>0</v>
      </c>
      <c r="BT90" s="29" t="n">
        <v>59346.58962176833</v>
      </c>
      <c r="BU90" s="29" t="n">
        <v>657970.9443400707</v>
      </c>
      <c r="BV90" s="29" t="n">
        <v>399063.1988230748</v>
      </c>
      <c r="BW90" s="29" t="n">
        <v>0</v>
      </c>
      <c r="BX90" s="29" t="n">
        <v>-45565.31694998505</v>
      </c>
      <c r="BY90" s="29" t="n">
        <v>6042.470463711288</v>
      </c>
      <c r="BZ90" s="29" t="n">
        <v>104.2027707100322</v>
      </c>
      <c r="CA90" s="29" t="n">
        <v>0</v>
      </c>
      <c r="CB90" s="29" t="n">
        <v>0</v>
      </c>
      <c r="CC90" s="29" t="n">
        <v>0</v>
      </c>
      <c r="CD90" s="29" t="n">
        <v>24023.66180777329</v>
      </c>
      <c r="CE90" s="29" t="n">
        <v>149.6367476115424</v>
      </c>
      <c r="CF90" s="29" t="n">
        <v>-811167.794585922</v>
      </c>
      <c r="CG90" s="29" t="n">
        <v>-40281.82301480821</v>
      </c>
      <c r="CH90" s="29" t="n">
        <v>6271.983648218709</v>
      </c>
      <c r="CI90" s="29" t="n">
        <v>3856.191984748664</v>
      </c>
      <c r="CJ90" s="29" t="n">
        <v>0</v>
      </c>
      <c r="CK90" s="29" t="n">
        <v>0</v>
      </c>
      <c r="CL90" s="29" t="n">
        <v>-17335.07235577385</v>
      </c>
      <c r="CM90" s="29" t="n">
        <v>2300.232142995508</v>
      </c>
      <c r="CN90" s="29" t="n">
        <v>0</v>
      </c>
      <c r="CO90" s="29" t="n">
        <v>0</v>
      </c>
      <c r="CP90" s="29" t="n">
        <v>-603864.6527953222</v>
      </c>
      <c r="CQ90" s="29" t="n">
        <v>-123475.0453837808</v>
      </c>
      <c r="CR90" s="29" t="n">
        <v>-257649.4634294875</v>
      </c>
      <c r="CS90" s="29" t="n">
        <v>-151.368580055162</v>
      </c>
      <c r="CT90" s="29" t="n">
        <v>-138.2161594765406</v>
      </c>
      <c r="CU90" s="29" t="n">
        <v>-1100140.845548105</v>
      </c>
      <c r="CV90" s="29" t="n">
        <v>-7373.907515087594</v>
      </c>
      <c r="CW90" s="29" t="n">
        <v>191023.9560210184</v>
      </c>
      <c r="CX90" s="29" t="n">
        <v>-426788.9600769363</v>
      </c>
      <c r="CY90" s="29" t="n">
        <v>63194.56831552391</v>
      </c>
      <c r="CZ90" s="29" t="n">
        <v>-86379.84571384166</v>
      </c>
      <c r="DA90" s="29" t="n">
        <v>-179275.6309954418</v>
      </c>
      <c r="DB90" s="29" t="n">
        <v>51735.39352285978</v>
      </c>
      <c r="DC90" s="29" t="n">
        <v>-50767.57361619458</v>
      </c>
      <c r="DD90" s="29" t="n">
        <v>0</v>
      </c>
      <c r="DE90" s="29" t="n">
        <v>0</v>
      </c>
      <c r="DF90" s="29">
        <f>SUM(C90:DE90)</f>
        <v/>
      </c>
      <c r="DG90" s="29" t="n">
        <v>0</v>
      </c>
      <c r="DH90" s="29" t="n">
        <v>0</v>
      </c>
      <c r="DI90" s="29" t="n">
        <v>0</v>
      </c>
      <c r="DJ90" s="29" t="n">
        <v>0</v>
      </c>
      <c r="DK90" s="29">
        <f>SUM(DG90:DJ90)</f>
        <v/>
      </c>
      <c r="DL90" s="29">
        <f>DF90+DK90</f>
        <v/>
      </c>
    </row>
    <row r="91">
      <c r="A91" s="30" t="inlineStr">
        <is>
          <t>603</t>
        </is>
      </c>
      <c r="B91" s="30" t="inlineStr">
        <is>
          <t>Transporte por tuberías</t>
        </is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  <c r="H91" s="31" t="n">
        <v>0</v>
      </c>
      <c r="I91" s="31" t="n">
        <v>0</v>
      </c>
      <c r="J91" s="31" t="n">
        <v>-290843.6734164006</v>
      </c>
      <c r="K91" s="31" t="n">
        <v>0</v>
      </c>
      <c r="L91" s="31" t="n">
        <v>0</v>
      </c>
      <c r="M91" s="31" t="n">
        <v>0</v>
      </c>
      <c r="N91" s="31" t="n">
        <v>0</v>
      </c>
      <c r="O91" s="31" t="n">
        <v>0</v>
      </c>
      <c r="P91" s="31" t="n">
        <v>0</v>
      </c>
      <c r="Q91" s="31" t="n">
        <v>0</v>
      </c>
      <c r="R91" s="31" t="n">
        <v>0</v>
      </c>
      <c r="S91" s="31" t="n">
        <v>0</v>
      </c>
      <c r="T91" s="31" t="n">
        <v>0</v>
      </c>
      <c r="U91" s="31" t="n">
        <v>0</v>
      </c>
      <c r="V91" s="31" t="n">
        <v>0</v>
      </c>
      <c r="W91" s="31" t="n">
        <v>0</v>
      </c>
      <c r="X91" s="31" t="n">
        <v>0</v>
      </c>
      <c r="Y91" s="31" t="n">
        <v>0</v>
      </c>
      <c r="Z91" s="31" t="n">
        <v>0</v>
      </c>
      <c r="AA91" s="31" t="n">
        <v>0</v>
      </c>
      <c r="AB91" s="31" t="n">
        <v>0</v>
      </c>
      <c r="AC91" s="31" t="n">
        <v>0</v>
      </c>
      <c r="AD91" s="31" t="n">
        <v>0</v>
      </c>
      <c r="AE91" s="31" t="n">
        <v>0</v>
      </c>
      <c r="AF91" s="31" t="n">
        <v>0</v>
      </c>
      <c r="AG91" s="31" t="n">
        <v>0</v>
      </c>
      <c r="AH91" s="31" t="n">
        <v>0</v>
      </c>
      <c r="AI91" s="31" t="n">
        <v>0</v>
      </c>
      <c r="AJ91" s="31" t="n">
        <v>0</v>
      </c>
      <c r="AK91" s="31" t="n">
        <v>0</v>
      </c>
      <c r="AL91" s="31" t="n">
        <v>0</v>
      </c>
      <c r="AM91" s="31" t="n">
        <v>0</v>
      </c>
      <c r="AN91" s="31" t="n">
        <v>0</v>
      </c>
      <c r="AO91" s="31" t="n">
        <v>0</v>
      </c>
      <c r="AP91" s="31" t="n">
        <v>0</v>
      </c>
      <c r="AQ91" s="31" t="n">
        <v>0</v>
      </c>
      <c r="AR91" s="31" t="n">
        <v>0</v>
      </c>
      <c r="AS91" s="31" t="n">
        <v>0</v>
      </c>
      <c r="AT91" s="31" t="n">
        <v>0</v>
      </c>
      <c r="AU91" s="31" t="n">
        <v>0</v>
      </c>
      <c r="AV91" s="31" t="n">
        <v>0</v>
      </c>
      <c r="AW91" s="31" t="n">
        <v>0</v>
      </c>
      <c r="AX91" s="31" t="n">
        <v>0</v>
      </c>
      <c r="AY91" s="31" t="n">
        <v>0</v>
      </c>
      <c r="AZ91" s="31" t="n">
        <v>0</v>
      </c>
      <c r="BA91" s="31" t="n">
        <v>0</v>
      </c>
      <c r="BB91" s="31" t="n">
        <v>0</v>
      </c>
      <c r="BC91" s="31" t="n">
        <v>0</v>
      </c>
      <c r="BD91" s="31" t="n">
        <v>0</v>
      </c>
      <c r="BE91" s="31" t="n">
        <v>0</v>
      </c>
      <c r="BF91" s="31" t="n">
        <v>0</v>
      </c>
      <c r="BG91" s="31" t="n">
        <v>0</v>
      </c>
      <c r="BH91" s="31" t="n">
        <v>0</v>
      </c>
      <c r="BI91" s="31" t="n">
        <v>0</v>
      </c>
      <c r="BJ91" s="31" t="n">
        <v>0</v>
      </c>
      <c r="BK91" s="31" t="n">
        <v>0</v>
      </c>
      <c r="BL91" s="31" t="n">
        <v>0</v>
      </c>
      <c r="BM91" s="31" t="n">
        <v>0</v>
      </c>
      <c r="BN91" s="31" t="n">
        <v>0</v>
      </c>
      <c r="BO91" s="31" t="n">
        <v>0</v>
      </c>
      <c r="BP91" s="31" t="n">
        <v>0</v>
      </c>
      <c r="BQ91" s="31" t="n">
        <v>-3794898.072772376</v>
      </c>
      <c r="BR91" s="31" t="n">
        <v>0</v>
      </c>
      <c r="BS91" s="31" t="n">
        <v>0</v>
      </c>
      <c r="BT91" s="31" t="n">
        <v>0</v>
      </c>
      <c r="BU91" s="31" t="n">
        <v>0</v>
      </c>
      <c r="BV91" s="31" t="n">
        <v>0</v>
      </c>
      <c r="BW91" s="31" t="n">
        <v>0</v>
      </c>
      <c r="BX91" s="31" t="n">
        <v>0</v>
      </c>
      <c r="BY91" s="31" t="n">
        <v>0</v>
      </c>
      <c r="BZ91" s="31" t="n">
        <v>0</v>
      </c>
      <c r="CA91" s="31" t="n">
        <v>0</v>
      </c>
      <c r="CB91" s="31" t="n">
        <v>0</v>
      </c>
      <c r="CC91" s="31" t="n">
        <v>0</v>
      </c>
      <c r="CD91" s="31" t="n">
        <v>0</v>
      </c>
      <c r="CE91" s="31" t="n">
        <v>0</v>
      </c>
      <c r="CF91" s="31" t="n">
        <v>0</v>
      </c>
      <c r="CG91" s="31" t="n">
        <v>0</v>
      </c>
      <c r="CH91" s="31" t="n">
        <v>0</v>
      </c>
      <c r="CI91" s="31" t="n">
        <v>0</v>
      </c>
      <c r="CJ91" s="31" t="n">
        <v>0</v>
      </c>
      <c r="CK91" s="31" t="n">
        <v>0</v>
      </c>
      <c r="CL91" s="31" t="n">
        <v>0</v>
      </c>
      <c r="CM91" s="31" t="n">
        <v>0</v>
      </c>
      <c r="CN91" s="31" t="n">
        <v>0</v>
      </c>
      <c r="CO91" s="31" t="n">
        <v>0</v>
      </c>
      <c r="CP91" s="31" t="n">
        <v>0</v>
      </c>
      <c r="CQ91" s="31" t="n">
        <v>0</v>
      </c>
      <c r="CR91" s="31" t="n">
        <v>0</v>
      </c>
      <c r="CS91" s="31" t="n">
        <v>0</v>
      </c>
      <c r="CT91" s="31" t="n">
        <v>0</v>
      </c>
      <c r="CU91" s="31" t="n">
        <v>0</v>
      </c>
      <c r="CV91" s="31" t="n">
        <v>0</v>
      </c>
      <c r="CW91" s="31" t="n">
        <v>0</v>
      </c>
      <c r="CX91" s="31" t="n">
        <v>0</v>
      </c>
      <c r="CY91" s="31" t="n">
        <v>0</v>
      </c>
      <c r="CZ91" s="31" t="n">
        <v>0</v>
      </c>
      <c r="DA91" s="31" t="n">
        <v>0</v>
      </c>
      <c r="DB91" s="31" t="n">
        <v>0</v>
      </c>
      <c r="DC91" s="31" t="n">
        <v>0</v>
      </c>
      <c r="DD91" s="31" t="n">
        <v>0</v>
      </c>
      <c r="DE91" s="31" t="n">
        <v>0</v>
      </c>
      <c r="DF91" s="31">
        <f>SUM(C91:DE91)</f>
        <v/>
      </c>
      <c r="DG91" s="31" t="n">
        <v>0</v>
      </c>
      <c r="DH91" s="31" t="n">
        <v>0</v>
      </c>
      <c r="DI91" s="31" t="n">
        <v>0</v>
      </c>
      <c r="DJ91" s="31" t="n">
        <v>0</v>
      </c>
      <c r="DK91" s="31">
        <f>SUM(DG91:DJ91)</f>
        <v/>
      </c>
      <c r="DL91" s="31">
        <f>DF91+DK91</f>
        <v/>
      </c>
    </row>
    <row r="92">
      <c r="A92" s="28" t="inlineStr">
        <is>
          <t>61</t>
        </is>
      </c>
      <c r="B92" s="28" t="inlineStr">
        <is>
          <t>TRANSPORTE POR VÍA ACUÁTICA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272.0260925659313</v>
      </c>
      <c r="I92" s="29" t="n">
        <v>0.05121648807373269</v>
      </c>
      <c r="J92" s="29" t="n">
        <v>0</v>
      </c>
      <c r="K92" s="29" t="n">
        <v>0</v>
      </c>
      <c r="L92" s="29" t="n">
        <v>0</v>
      </c>
      <c r="M92" s="29" t="n">
        <v>0.4905146096734896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0</v>
      </c>
      <c r="BG92" s="29" t="n">
        <v>0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1184.131615591701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0</v>
      </c>
      <c r="CA92" s="29" t="n">
        <v>0</v>
      </c>
      <c r="CB92" s="29" t="n">
        <v>0</v>
      </c>
      <c r="CC92" s="29" t="n">
        <v>0</v>
      </c>
      <c r="CD92" s="29" t="n">
        <v>0</v>
      </c>
      <c r="CE92" s="29" t="n">
        <v>2886.679595690977</v>
      </c>
      <c r="CF92" s="29" t="n">
        <v>846.258586281765</v>
      </c>
      <c r="CG92" s="29" t="n">
        <v>1.521569314381964</v>
      </c>
      <c r="CH92" s="29" t="n">
        <v>6.345174594229434</v>
      </c>
      <c r="CI92" s="29" t="n">
        <v>3.901191837298143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82.03082478569195</v>
      </c>
      <c r="CS92" s="29" t="n">
        <v>0</v>
      </c>
      <c r="CT92" s="29" t="n">
        <v>0</v>
      </c>
      <c r="CU92" s="29" t="n">
        <v>0.2050275834448598</v>
      </c>
      <c r="CV92" s="29" t="n">
        <v>0</v>
      </c>
      <c r="CW92" s="29" t="n">
        <v>0</v>
      </c>
      <c r="CX92" s="29" t="n">
        <v>0</v>
      </c>
      <c r="CY92" s="29" t="n">
        <v>0</v>
      </c>
      <c r="CZ92" s="29" t="n">
        <v>0</v>
      </c>
      <c r="DA92" s="29" t="n">
        <v>0</v>
      </c>
      <c r="DB92" s="29" t="n">
        <v>0</v>
      </c>
      <c r="DC92" s="29" t="n">
        <v>0</v>
      </c>
      <c r="DD92" s="29" t="n">
        <v>0</v>
      </c>
      <c r="DE92" s="29" t="n">
        <v>0</v>
      </c>
      <c r="DF92" s="29">
        <f>SUM(C92:DE92)</f>
        <v/>
      </c>
      <c r="DG92" s="29" t="n">
        <v>0</v>
      </c>
      <c r="DH92" s="29" t="n">
        <v>0</v>
      </c>
      <c r="DI92" s="29" t="n">
        <v>0</v>
      </c>
      <c r="DJ92" s="29" t="n">
        <v>0</v>
      </c>
      <c r="DK92" s="29">
        <f>SUM(DG92:DJ92)</f>
        <v/>
      </c>
      <c r="DL92" s="29">
        <f>DF92+DK92</f>
        <v/>
      </c>
    </row>
    <row r="93">
      <c r="A93" s="30" t="inlineStr">
        <is>
          <t>62</t>
        </is>
      </c>
      <c r="B93" s="30" t="inlineStr">
        <is>
          <t>TRANSPORTE POR VÍA AÉREA</t>
        </is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0</v>
      </c>
      <c r="H93" s="31" t="n">
        <v>25039.70879932932</v>
      </c>
      <c r="I93" s="31" t="n">
        <v>2186.445763259654</v>
      </c>
      <c r="J93" s="31" t="n">
        <v>348124.1130831842</v>
      </c>
      <c r="K93" s="31" t="n">
        <v>387345.5242616111</v>
      </c>
      <c r="L93" s="31" t="n">
        <v>52262.07783326814</v>
      </c>
      <c r="M93" s="31" t="n">
        <v>20940.20169038307</v>
      </c>
      <c r="N93" s="31" t="n">
        <v>100599.811513095</v>
      </c>
      <c r="O93" s="31" t="n">
        <v>86834.6934016966</v>
      </c>
      <c r="P93" s="31" t="n">
        <v>36207.91722964129</v>
      </c>
      <c r="Q93" s="31" t="n">
        <v>44592.77208309061</v>
      </c>
      <c r="R93" s="31" t="n">
        <v>62299.7439700227</v>
      </c>
      <c r="S93" s="31" t="n">
        <v>57351.56477071525</v>
      </c>
      <c r="T93" s="31" t="n">
        <v>51421.55138480024</v>
      </c>
      <c r="U93" s="31" t="n">
        <v>72184.47411211315</v>
      </c>
      <c r="V93" s="31" t="n">
        <v>6846.303082214262</v>
      </c>
      <c r="W93" s="31" t="n">
        <v>53671.77649459953</v>
      </c>
      <c r="X93" s="31" t="n">
        <v>11842.40065309712</v>
      </c>
      <c r="Y93" s="31" t="n">
        <v>107831.9136185851</v>
      </c>
      <c r="Z93" s="31" t="n">
        <v>29387.31932833316</v>
      </c>
      <c r="AA93" s="31" t="n">
        <v>90765.65255921369</v>
      </c>
      <c r="AB93" s="31" t="n">
        <v>32252.54860808423</v>
      </c>
      <c r="AC93" s="31" t="n">
        <v>50398.34969153248</v>
      </c>
      <c r="AD93" s="31" t="n">
        <v>30534.47948341409</v>
      </c>
      <c r="AE93" s="31" t="n">
        <v>60721.6681255074</v>
      </c>
      <c r="AF93" s="31" t="n">
        <v>57699.741301906</v>
      </c>
      <c r="AG93" s="31" t="n">
        <v>17902.24445749628</v>
      </c>
      <c r="AH93" s="31" t="n">
        <v>14928.89979434369</v>
      </c>
      <c r="AI93" s="31" t="n">
        <v>38346.37687858637</v>
      </c>
      <c r="AJ93" s="31" t="n">
        <v>90576.95980425215</v>
      </c>
      <c r="AK93" s="31" t="n">
        <v>186473.3236193665</v>
      </c>
      <c r="AL93" s="31" t="n">
        <v>84424.8798870045</v>
      </c>
      <c r="AM93" s="31" t="n">
        <v>56983.61423073091</v>
      </c>
      <c r="AN93" s="31" t="n">
        <v>108036.7186249952</v>
      </c>
      <c r="AO93" s="31" t="n">
        <v>32432.59649421563</v>
      </c>
      <c r="AP93" s="31" t="n">
        <v>38414.4061464432</v>
      </c>
      <c r="AQ93" s="31" t="n">
        <v>870314.8835550946</v>
      </c>
      <c r="AR93" s="31" t="n">
        <v>50794.84186388097</v>
      </c>
      <c r="AS93" s="31" t="n">
        <v>198978.4145149782</v>
      </c>
      <c r="AT93" s="31" t="n">
        <v>18811.27934722972</v>
      </c>
      <c r="AU93" s="31" t="n">
        <v>147185.8105894362</v>
      </c>
      <c r="AV93" s="31" t="n">
        <v>146166.440443563</v>
      </c>
      <c r="AW93" s="31" t="n">
        <v>19738.75600127386</v>
      </c>
      <c r="AX93" s="31" t="n">
        <v>30766.94419083283</v>
      </c>
      <c r="AY93" s="31" t="n">
        <v>62405.22019626531</v>
      </c>
      <c r="AZ93" s="31" t="n">
        <v>131737.7084608266</v>
      </c>
      <c r="BA93" s="31" t="n">
        <v>86039.17583801437</v>
      </c>
      <c r="BB93" s="31" t="n">
        <v>172457.5594299907</v>
      </c>
      <c r="BC93" s="31" t="n">
        <v>49010.57288634554</v>
      </c>
      <c r="BD93" s="31" t="n">
        <v>7814.511724442272</v>
      </c>
      <c r="BE93" s="31" t="n">
        <v>63984.14178274967</v>
      </c>
      <c r="BF93" s="31" t="n">
        <v>20200.31581939429</v>
      </c>
      <c r="BG93" s="31" t="n">
        <v>24993.43128951948</v>
      </c>
      <c r="BH93" s="31" t="n">
        <v>433989.9351993591</v>
      </c>
      <c r="BI93" s="31" t="n">
        <v>5369.568564348739</v>
      </c>
      <c r="BJ93" s="31" t="n">
        <v>48968.98605824298</v>
      </c>
      <c r="BK93" s="31" t="n">
        <v>119634.3419679536</v>
      </c>
      <c r="BL93" s="31" t="n">
        <v>98689.7008039897</v>
      </c>
      <c r="BM93" s="31" t="n">
        <v>35065.4329375239</v>
      </c>
      <c r="BN93" s="31" t="n">
        <v>80520.05782252453</v>
      </c>
      <c r="BO93" s="31" t="n">
        <v>51360.56918203815</v>
      </c>
      <c r="BP93" s="31" t="n">
        <v>120354.5044136266</v>
      </c>
      <c r="BQ93" s="31" t="n">
        <v>124638.5506729201</v>
      </c>
      <c r="BR93" s="31" t="n">
        <v>7123.458862259116</v>
      </c>
      <c r="BS93" s="31" t="n">
        <v>0</v>
      </c>
      <c r="BT93" s="31" t="n">
        <v>107619.1790554022</v>
      </c>
      <c r="BU93" s="31" t="n">
        <v>261917.5718592191</v>
      </c>
      <c r="BV93" s="31" t="n">
        <v>339503.7956551104</v>
      </c>
      <c r="BW93" s="31" t="n">
        <v>0</v>
      </c>
      <c r="BX93" s="31" t="n">
        <v>26700.67485192398</v>
      </c>
      <c r="BY93" s="31" t="n">
        <v>0</v>
      </c>
      <c r="BZ93" s="31" t="n">
        <v>0</v>
      </c>
      <c r="CA93" s="31" t="n">
        <v>0</v>
      </c>
      <c r="CB93" s="31" t="n">
        <v>0</v>
      </c>
      <c r="CC93" s="31" t="n">
        <v>0</v>
      </c>
      <c r="CD93" s="31" t="n">
        <v>2483176.314595611</v>
      </c>
      <c r="CE93" s="31" t="n">
        <v>-557917.7075744455</v>
      </c>
      <c r="CF93" s="31" t="n">
        <v>-585039.4490922454</v>
      </c>
      <c r="CG93" s="31" t="n">
        <v>346340.9907662193</v>
      </c>
      <c r="CH93" s="31" t="n">
        <v>322784.2689856316</v>
      </c>
      <c r="CI93" s="31" t="n">
        <v>198456.8488501821</v>
      </c>
      <c r="CJ93" s="31" t="n">
        <v>265410.2204025934</v>
      </c>
      <c r="CK93" s="31" t="n">
        <v>24638.45406744334</v>
      </c>
      <c r="CL93" s="31" t="n">
        <v>278570.4177807603</v>
      </c>
      <c r="CM93" s="31" t="n">
        <v>12053.63641680192</v>
      </c>
      <c r="CN93" s="31" t="n">
        <v>0</v>
      </c>
      <c r="CO93" s="31" t="n">
        <v>0</v>
      </c>
      <c r="CP93" s="31" t="n">
        <v>106463.1467836142</v>
      </c>
      <c r="CQ93" s="31" t="n">
        <v>77667.99041179304</v>
      </c>
      <c r="CR93" s="31" t="n">
        <v>523827.9313014154</v>
      </c>
      <c r="CS93" s="31" t="n">
        <v>113382.0346858496</v>
      </c>
      <c r="CT93" s="31" t="n">
        <v>103530.2662032181</v>
      </c>
      <c r="CU93" s="31" t="n">
        <v>2106563.908163676</v>
      </c>
      <c r="CV93" s="31" t="n">
        <v>5523396.185266647</v>
      </c>
      <c r="CW93" s="31" t="n">
        <v>675372.5333707222</v>
      </c>
      <c r="CX93" s="31" t="n">
        <v>117982.5207652132</v>
      </c>
      <c r="CY93" s="31" t="n">
        <v>23470.36272894034</v>
      </c>
      <c r="CZ93" s="31" t="n">
        <v>18464.32802378359</v>
      </c>
      <c r="DA93" s="31" t="n">
        <v>28621.57540333794</v>
      </c>
      <c r="DB93" s="31" t="n">
        <v>317419.495685517</v>
      </c>
      <c r="DC93" s="31" t="n">
        <v>-997243.8057956154</v>
      </c>
      <c r="DD93" s="31" t="n">
        <v>0</v>
      </c>
      <c r="DE93" s="31" t="n">
        <v>0</v>
      </c>
      <c r="DF93" s="31">
        <f>SUM(C93:DE93)</f>
        <v/>
      </c>
      <c r="DG93" s="31" t="n">
        <v>0</v>
      </c>
      <c r="DH93" s="31" t="n">
        <v>0</v>
      </c>
      <c r="DI93" s="31" t="n">
        <v>0</v>
      </c>
      <c r="DJ93" s="31" t="n">
        <v>0</v>
      </c>
      <c r="DK93" s="31">
        <f>SUM(DG93:DJ93)</f>
        <v/>
      </c>
      <c r="DL93" s="31">
        <f>DF93+DK93</f>
        <v/>
      </c>
    </row>
    <row r="94">
      <c r="A94" s="28" t="inlineStr">
        <is>
          <t>63</t>
        </is>
      </c>
      <c r="B94" s="28" t="inlineStr">
        <is>
          <t>ACTIVIDADES DE TRANSPORTE COMPLEMENTARIAS Y AUXILIARES; ACTIVIDADES DE AGENCIAS DE VIAJES</t>
        </is>
      </c>
      <c r="C94" s="29" t="n">
        <v>193608.9197614319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0</v>
      </c>
      <c r="I94" s="29" t="n">
        <v>1078.714058493317</v>
      </c>
      <c r="J94" s="29" t="n">
        <v>67127.11022620497</v>
      </c>
      <c r="K94" s="29" t="n">
        <v>161834.1637921484</v>
      </c>
      <c r="L94" s="29" t="n">
        <v>25160.12087977555</v>
      </c>
      <c r="M94" s="29" t="n">
        <v>25552.64145177498</v>
      </c>
      <c r="N94" s="29" t="n">
        <v>0</v>
      </c>
      <c r="O94" s="29" t="n">
        <v>0</v>
      </c>
      <c r="P94" s="29" t="n">
        <v>0</v>
      </c>
      <c r="Q94" s="29" t="n">
        <v>122670.6268494772</v>
      </c>
      <c r="R94" s="29" t="n">
        <v>0</v>
      </c>
      <c r="S94" s="29" t="n">
        <v>0</v>
      </c>
      <c r="T94" s="29" t="n">
        <v>0</v>
      </c>
      <c r="U94" s="29" t="n">
        <v>0</v>
      </c>
      <c r="V94" s="29" t="n">
        <v>0</v>
      </c>
      <c r="W94" s="29" t="n">
        <v>0</v>
      </c>
      <c r="X94" s="29" t="n">
        <v>0</v>
      </c>
      <c r="Y94" s="29" t="n">
        <v>0</v>
      </c>
      <c r="Z94" s="29" t="n">
        <v>0</v>
      </c>
      <c r="AA94" s="29" t="n">
        <v>0</v>
      </c>
      <c r="AB94" s="29" t="n">
        <v>0</v>
      </c>
      <c r="AC94" s="29" t="n">
        <v>0</v>
      </c>
      <c r="AD94" s="29" t="n">
        <v>0</v>
      </c>
      <c r="AE94" s="29" t="n">
        <v>0</v>
      </c>
      <c r="AF94" s="29" t="n">
        <v>0</v>
      </c>
      <c r="AG94" s="29" t="n">
        <v>0</v>
      </c>
      <c r="AH94" s="29" t="n">
        <v>6456.348781551438</v>
      </c>
      <c r="AI94" s="29" t="n">
        <v>0</v>
      </c>
      <c r="AJ94" s="29" t="n">
        <v>0</v>
      </c>
      <c r="AK94" s="29" t="n">
        <v>0</v>
      </c>
      <c r="AL94" s="29" t="n">
        <v>0</v>
      </c>
      <c r="AM94" s="29" t="n">
        <v>0</v>
      </c>
      <c r="AN94" s="29" t="n">
        <v>0</v>
      </c>
      <c r="AO94" s="29" t="n">
        <v>0</v>
      </c>
      <c r="AP94" s="29" t="n">
        <v>0</v>
      </c>
      <c r="AQ94" s="29" t="n">
        <v>0</v>
      </c>
      <c r="AR94" s="29" t="n">
        <v>0</v>
      </c>
      <c r="AS94" s="29" t="n">
        <v>0</v>
      </c>
      <c r="AT94" s="29" t="n">
        <v>0</v>
      </c>
      <c r="AU94" s="29" t="n">
        <v>935.3509374644509</v>
      </c>
      <c r="AV94" s="29" t="n">
        <v>18945.27940847533</v>
      </c>
      <c r="AW94" s="29" t="n">
        <v>0</v>
      </c>
      <c r="AX94" s="29" t="n">
        <v>0</v>
      </c>
      <c r="AY94" s="29" t="n">
        <v>23679.52730195527</v>
      </c>
      <c r="AZ94" s="29" t="n">
        <v>23679.52730195527</v>
      </c>
      <c r="BA94" s="29" t="n">
        <v>0</v>
      </c>
      <c r="BB94" s="29" t="n">
        <v>0</v>
      </c>
      <c r="BC94" s="29" t="n">
        <v>0</v>
      </c>
      <c r="BD94" s="29" t="n">
        <v>0</v>
      </c>
      <c r="BE94" s="29" t="n">
        <v>0</v>
      </c>
      <c r="BF94" s="29" t="n">
        <v>0</v>
      </c>
      <c r="BG94" s="29" t="n">
        <v>0</v>
      </c>
      <c r="BH94" s="29" t="n">
        <v>0</v>
      </c>
      <c r="BI94" s="29" t="n">
        <v>0</v>
      </c>
      <c r="BJ94" s="29" t="n">
        <v>0</v>
      </c>
      <c r="BK94" s="29" t="n">
        <v>0</v>
      </c>
      <c r="BL94" s="29" t="n">
        <v>0</v>
      </c>
      <c r="BM94" s="29" t="n">
        <v>0</v>
      </c>
      <c r="BN94" s="29" t="n">
        <v>0</v>
      </c>
      <c r="BO94" s="29" t="n">
        <v>0</v>
      </c>
      <c r="BP94" s="29" t="n">
        <v>40190.11568460707</v>
      </c>
      <c r="BQ94" s="29" t="n">
        <v>21671.86041217526</v>
      </c>
      <c r="BR94" s="29" t="n">
        <v>3357.111154553777</v>
      </c>
      <c r="BS94" s="29" t="n">
        <v>0</v>
      </c>
      <c r="BT94" s="29" t="n">
        <v>6082.921608730915</v>
      </c>
      <c r="BU94" s="29" t="n">
        <v>712055.9139681121</v>
      </c>
      <c r="BV94" s="29" t="n">
        <v>372547.6205867234</v>
      </c>
      <c r="BW94" s="29" t="n">
        <v>0</v>
      </c>
      <c r="BX94" s="29" t="n">
        <v>1410.692913446778</v>
      </c>
      <c r="BY94" s="29" t="n">
        <v>77178.12767226441</v>
      </c>
      <c r="BZ94" s="29" t="n">
        <v>5293.253666484656</v>
      </c>
      <c r="CA94" s="29" t="n">
        <v>6228501.043503161</v>
      </c>
      <c r="CB94" s="29" t="n">
        <v>29999.81019099316</v>
      </c>
      <c r="CC94" s="29" t="n">
        <v>27024.21717381053</v>
      </c>
      <c r="CD94" s="29" t="n">
        <v>1754326.33639712</v>
      </c>
      <c r="CE94" s="29" t="n">
        <v>848804.1847878883</v>
      </c>
      <c r="CF94" s="29" t="n">
        <v>105637.3756852075</v>
      </c>
      <c r="CG94" s="29" t="n">
        <v>15990.90461626569</v>
      </c>
      <c r="CH94" s="29" t="n">
        <v>59011.40443995828</v>
      </c>
      <c r="CI94" s="29" t="n">
        <v>13401.18112822145</v>
      </c>
      <c r="CJ94" s="29" t="n">
        <v>34800.83443716605</v>
      </c>
      <c r="CK94" s="29" t="n">
        <v>50636.82067626878</v>
      </c>
      <c r="CL94" s="29" t="n">
        <v>251028.4517025682</v>
      </c>
      <c r="CM94" s="29" t="n">
        <v>97.6568572779147</v>
      </c>
      <c r="CN94" s="29" t="n">
        <v>0</v>
      </c>
      <c r="CO94" s="29" t="n">
        <v>0</v>
      </c>
      <c r="CP94" s="29" t="n">
        <v>12621.32474620733</v>
      </c>
      <c r="CQ94" s="29" t="n">
        <v>2592.803090072041</v>
      </c>
      <c r="CR94" s="29" t="n">
        <v>48821.55737243645</v>
      </c>
      <c r="CS94" s="29" t="n">
        <v>353.544680430351</v>
      </c>
      <c r="CT94" s="29" t="n">
        <v>322.8251722691475</v>
      </c>
      <c r="CU94" s="29" t="n">
        <v>54229.87231359526</v>
      </c>
      <c r="CV94" s="29" t="n">
        <v>17222.89906527867</v>
      </c>
      <c r="CW94" s="29" t="n">
        <v>49561.57106388814</v>
      </c>
      <c r="CX94" s="29" t="n">
        <v>25378.43758851633</v>
      </c>
      <c r="CY94" s="29" t="n">
        <v>3361.599249205341</v>
      </c>
      <c r="CZ94" s="29" t="n">
        <v>7.166957762022761</v>
      </c>
      <c r="DA94" s="29" t="n">
        <v>0</v>
      </c>
      <c r="DB94" s="29" t="n">
        <v>47468.34156708716</v>
      </c>
      <c r="DC94" s="29" t="n">
        <v>12704.4221265169</v>
      </c>
      <c r="DD94" s="29" t="n">
        <v>862.2423887909354</v>
      </c>
      <c r="DE94" s="29" t="n">
        <v>0</v>
      </c>
      <c r="DF94" s="29">
        <f>SUM(C94:DE94)</f>
        <v/>
      </c>
      <c r="DG94" s="29" t="n">
        <v>0</v>
      </c>
      <c r="DH94" s="29" t="n">
        <v>0</v>
      </c>
      <c r="DI94" s="29" t="n">
        <v>0</v>
      </c>
      <c r="DJ94" s="29" t="n">
        <v>0</v>
      </c>
      <c r="DK94" s="29">
        <f>SUM(DG94:DJ94)</f>
        <v/>
      </c>
      <c r="DL94" s="29">
        <f>DF94+DK94</f>
        <v/>
      </c>
    </row>
    <row r="95">
      <c r="A95" s="30" t="inlineStr">
        <is>
          <t>641</t>
        </is>
      </c>
      <c r="B95" s="30" t="inlineStr">
        <is>
          <t>Servicios de correos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1304.507337673684</v>
      </c>
      <c r="I95" s="31" t="n">
        <v>20481.35259710543</v>
      </c>
      <c r="J95" s="31" t="n">
        <v>13943.50237664426</v>
      </c>
      <c r="K95" s="31" t="n">
        <v>88811.89864621684</v>
      </c>
      <c r="L95" s="31" t="n">
        <v>26.22175066841288</v>
      </c>
      <c r="M95" s="31" t="n">
        <v>1542.06620208751</v>
      </c>
      <c r="N95" s="31" t="n">
        <v>1811.680935036522</v>
      </c>
      <c r="O95" s="31" t="n">
        <v>1205.722381298128</v>
      </c>
      <c r="P95" s="31" t="n">
        <v>973.8415654095006</v>
      </c>
      <c r="Q95" s="31" t="n">
        <v>1595.190316901004</v>
      </c>
      <c r="R95" s="31" t="n">
        <v>1711.101047044242</v>
      </c>
      <c r="S95" s="31" t="n">
        <v>1536.811569921181</v>
      </c>
      <c r="T95" s="31" t="n">
        <v>1097.850413488733</v>
      </c>
      <c r="U95" s="31" t="n">
        <v>6885.954422143768</v>
      </c>
      <c r="V95" s="31" t="n">
        <v>45.79417988201271</v>
      </c>
      <c r="W95" s="31" t="n">
        <v>3259.950617753704</v>
      </c>
      <c r="X95" s="31" t="n">
        <v>370.7759813891889</v>
      </c>
      <c r="Y95" s="31" t="n">
        <v>4209.655730468716</v>
      </c>
      <c r="Z95" s="31" t="n">
        <v>875.7830067288578</v>
      </c>
      <c r="AA95" s="31" t="n">
        <v>2402.414707032425</v>
      </c>
      <c r="AB95" s="31" t="n">
        <v>766.4697031714168</v>
      </c>
      <c r="AC95" s="31" t="n">
        <v>1526.249732457556</v>
      </c>
      <c r="AD95" s="31" t="n">
        <v>363.6547190688716</v>
      </c>
      <c r="AE95" s="31" t="n">
        <v>1242.720341884877</v>
      </c>
      <c r="AF95" s="31" t="n">
        <v>1182.970545754179</v>
      </c>
      <c r="AG95" s="31" t="n">
        <v>485.8110948373906</v>
      </c>
      <c r="AH95" s="31" t="n">
        <v>264.1412710061177</v>
      </c>
      <c r="AI95" s="31" t="n">
        <v>808.6234874119909</v>
      </c>
      <c r="AJ95" s="31" t="n">
        <v>1934.235415220952</v>
      </c>
      <c r="AK95" s="31" t="n">
        <v>8793.359965755459</v>
      </c>
      <c r="AL95" s="31" t="n">
        <v>3533.392169730942</v>
      </c>
      <c r="AM95" s="31" t="n">
        <v>1438.507639545456</v>
      </c>
      <c r="AN95" s="31" t="n">
        <v>3187.662392625163</v>
      </c>
      <c r="AO95" s="31" t="n">
        <v>456.2772218524697</v>
      </c>
      <c r="AP95" s="31" t="n">
        <v>655.8767180066097</v>
      </c>
      <c r="AQ95" s="31" t="n">
        <v>12199.00710116612</v>
      </c>
      <c r="AR95" s="31" t="n">
        <v>1786.447409568551</v>
      </c>
      <c r="AS95" s="31" t="n">
        <v>4207.55011063446</v>
      </c>
      <c r="AT95" s="31" t="n">
        <v>254.5988086448633</v>
      </c>
      <c r="AU95" s="31" t="n">
        <v>2089.982200328945</v>
      </c>
      <c r="AV95" s="31" t="n">
        <v>2230.774257586891</v>
      </c>
      <c r="AW95" s="31" t="n">
        <v>606.1331567594934</v>
      </c>
      <c r="AX95" s="31" t="n">
        <v>953.9396827491873</v>
      </c>
      <c r="AY95" s="31" t="n">
        <v>810.3325579500488</v>
      </c>
      <c r="AZ95" s="31" t="n">
        <v>3203.279829297368</v>
      </c>
      <c r="BA95" s="31" t="n">
        <v>2390.211958662243</v>
      </c>
      <c r="BB95" s="31" t="n">
        <v>2129.961950663783</v>
      </c>
      <c r="BC95" s="31" t="n">
        <v>1057.081619475735</v>
      </c>
      <c r="BD95" s="31" t="n">
        <v>44.64402317206589</v>
      </c>
      <c r="BE95" s="31" t="n">
        <v>824.1445309584997</v>
      </c>
      <c r="BF95" s="31" t="n">
        <v>303.9295685863835</v>
      </c>
      <c r="BG95" s="31" t="n">
        <v>411.3815819867423</v>
      </c>
      <c r="BH95" s="31" t="n">
        <v>3390.999295727255</v>
      </c>
      <c r="BI95" s="31" t="n">
        <v>70.92690536607142</v>
      </c>
      <c r="BJ95" s="31" t="n">
        <v>781.6931767261631</v>
      </c>
      <c r="BK95" s="31" t="n">
        <v>4330.150361966211</v>
      </c>
      <c r="BL95" s="31" t="n">
        <v>11435.10411709716</v>
      </c>
      <c r="BM95" s="31" t="n">
        <v>571.4533025819583</v>
      </c>
      <c r="BN95" s="31" t="n">
        <v>1716.984217949095</v>
      </c>
      <c r="BO95" s="31" t="n">
        <v>965.6335917214892</v>
      </c>
      <c r="BP95" s="31" t="n">
        <v>11970.37241086358</v>
      </c>
      <c r="BQ95" s="31" t="n">
        <v>8036.042282951938</v>
      </c>
      <c r="BR95" s="31" t="n">
        <v>4766.477745591197</v>
      </c>
      <c r="BS95" s="31" t="n">
        <v>14652.15213547985</v>
      </c>
      <c r="BT95" s="31" t="n">
        <v>33321.03834401211</v>
      </c>
      <c r="BU95" s="31" t="n">
        <v>89487.27466065134</v>
      </c>
      <c r="BV95" s="31" t="n">
        <v>123465.8005573587</v>
      </c>
      <c r="BW95" s="31" t="n">
        <v>0</v>
      </c>
      <c r="BX95" s="31" t="n">
        <v>5546.163063233427</v>
      </c>
      <c r="BY95" s="31" t="n">
        <v>5170.004018348292</v>
      </c>
      <c r="BZ95" s="31" t="n">
        <v>387.0836156456216</v>
      </c>
      <c r="CA95" s="31" t="n">
        <v>51929.00800841756</v>
      </c>
      <c r="CB95" s="31" t="n">
        <v>0</v>
      </c>
      <c r="CC95" s="31" t="n">
        <v>35.76340394429747</v>
      </c>
      <c r="CD95" s="31" t="n">
        <v>16306.56492980104</v>
      </c>
      <c r="CE95" s="31" t="n">
        <v>85684.05507573206</v>
      </c>
      <c r="CF95" s="31" t="n">
        <v>11928.28717575219</v>
      </c>
      <c r="CG95" s="31" t="n">
        <v>21708.87229078478</v>
      </c>
      <c r="CH95" s="31" t="n">
        <v>64990.61591181345</v>
      </c>
      <c r="CI95" s="31" t="n">
        <v>19040.91278652998</v>
      </c>
      <c r="CJ95" s="31" t="n">
        <v>170464.5485795811</v>
      </c>
      <c r="CK95" s="31" t="n">
        <v>92040.21636101324</v>
      </c>
      <c r="CL95" s="31" t="n">
        <v>257783.4744410235</v>
      </c>
      <c r="CM95" s="31" t="n">
        <v>24537.08322577534</v>
      </c>
      <c r="CN95" s="31" t="n">
        <v>0</v>
      </c>
      <c r="CO95" s="31" t="n">
        <v>0</v>
      </c>
      <c r="CP95" s="31" t="n">
        <v>2324.954435116553</v>
      </c>
      <c r="CQ95" s="31" t="n">
        <v>1682.968326622329</v>
      </c>
      <c r="CR95" s="31" t="n">
        <v>22338.59635673638</v>
      </c>
      <c r="CS95" s="31" t="n">
        <v>3899.147475408521</v>
      </c>
      <c r="CT95" s="31" t="n">
        <v>3560.35043129306</v>
      </c>
      <c r="CU95" s="31" t="n">
        <v>176354.3251362024</v>
      </c>
      <c r="CV95" s="31" t="n">
        <v>189946.6379407928</v>
      </c>
      <c r="CW95" s="31" t="n">
        <v>84101.9594458302</v>
      </c>
      <c r="CX95" s="31" t="n">
        <v>855.3090111905803</v>
      </c>
      <c r="CY95" s="31" t="n">
        <v>25221.92487337504</v>
      </c>
      <c r="CZ95" s="31" t="n">
        <v>4993.406591609426</v>
      </c>
      <c r="DA95" s="31" t="n">
        <v>7053.921317575994</v>
      </c>
      <c r="DB95" s="31" t="n">
        <v>139247.0692209965</v>
      </c>
      <c r="DC95" s="31" t="n">
        <v>11760.65171480633</v>
      </c>
      <c r="DD95" s="31" t="n">
        <v>1427.791879661701</v>
      </c>
      <c r="DE95" s="31" t="n">
        <v>0</v>
      </c>
      <c r="DF95" s="31">
        <f>SUM(C95:DE95)</f>
        <v/>
      </c>
      <c r="DG95" s="31" t="n">
        <v>0</v>
      </c>
      <c r="DH95" s="31" t="n">
        <v>0</v>
      </c>
      <c r="DI95" s="31" t="n">
        <v>0</v>
      </c>
      <c r="DJ95" s="31" t="n">
        <v>0</v>
      </c>
      <c r="DK95" s="31">
        <f>SUM(DG95:DJ95)</f>
        <v/>
      </c>
      <c r="DL95" s="31">
        <f>DF95+DK95</f>
        <v/>
      </c>
    </row>
    <row r="96">
      <c r="A96" s="28" t="inlineStr">
        <is>
          <t>642</t>
        </is>
      </c>
      <c r="B96" s="28" t="inlineStr">
        <is>
          <t>Servicios de transmisión de radio y televisión</t>
        </is>
      </c>
      <c r="C96" s="29" t="n">
        <v>0</v>
      </c>
      <c r="D96" s="29" t="n">
        <v>0</v>
      </c>
      <c r="E96" s="29" t="n">
        <v>0</v>
      </c>
      <c r="F96" s="29" t="n">
        <v>0</v>
      </c>
      <c r="G96" s="29" t="n">
        <v>0</v>
      </c>
      <c r="H96" s="29" t="n">
        <v>6967.024985784148</v>
      </c>
      <c r="I96" s="29" t="n">
        <v>122.7710184942554</v>
      </c>
      <c r="J96" s="29" t="n">
        <v>21022.99954104998</v>
      </c>
      <c r="K96" s="29" t="n">
        <v>8674.158679736647</v>
      </c>
      <c r="L96" s="29" t="n">
        <v>5469.062038451832</v>
      </c>
      <c r="M96" s="29" t="n">
        <v>2733.577408914444</v>
      </c>
      <c r="N96" s="29" t="n">
        <v>15577.72252831593</v>
      </c>
      <c r="O96" s="29" t="n">
        <v>5714.097410926953</v>
      </c>
      <c r="P96" s="29" t="n">
        <v>4429.804823154945</v>
      </c>
      <c r="Q96" s="29" t="n">
        <v>26280.17094686747</v>
      </c>
      <c r="R96" s="29" t="n">
        <v>43713.35092626217</v>
      </c>
      <c r="S96" s="29" t="n">
        <v>6368.134683054066</v>
      </c>
      <c r="T96" s="29" t="n">
        <v>14307.34003253633</v>
      </c>
      <c r="U96" s="29" t="n">
        <v>87694.58848608714</v>
      </c>
      <c r="V96" s="29" t="n">
        <v>369.0058608090551</v>
      </c>
      <c r="W96" s="29" t="n">
        <v>22283.9849704277</v>
      </c>
      <c r="X96" s="29" t="n">
        <v>6065.24403780494</v>
      </c>
      <c r="Y96" s="29" t="n">
        <v>21683.99983183303</v>
      </c>
      <c r="Z96" s="29" t="n">
        <v>13933.5289491012</v>
      </c>
      <c r="AA96" s="29" t="n">
        <v>25786.38471519758</v>
      </c>
      <c r="AB96" s="29" t="n">
        <v>48082.16885662726</v>
      </c>
      <c r="AC96" s="29" t="n">
        <v>70935.5118949608</v>
      </c>
      <c r="AD96" s="29" t="n">
        <v>40627.69513690855</v>
      </c>
      <c r="AE96" s="29" t="n">
        <v>3788.915429298102</v>
      </c>
      <c r="AF96" s="29" t="n">
        <v>10789.89349363772</v>
      </c>
      <c r="AG96" s="29" t="n">
        <v>631.3767416800538</v>
      </c>
      <c r="AH96" s="29" t="n">
        <v>5456.950651803255</v>
      </c>
      <c r="AI96" s="29" t="n">
        <v>4652.284138221482</v>
      </c>
      <c r="AJ96" s="29" t="n">
        <v>10366.18109077761</v>
      </c>
      <c r="AK96" s="29" t="n">
        <v>26937.01944108892</v>
      </c>
      <c r="AL96" s="29" t="n">
        <v>10917.83193865955</v>
      </c>
      <c r="AM96" s="29" t="n">
        <v>4358.977732324242</v>
      </c>
      <c r="AN96" s="29" t="n">
        <v>12119.86256286428</v>
      </c>
      <c r="AO96" s="29" t="n">
        <v>4603.453397816345</v>
      </c>
      <c r="AP96" s="29" t="n">
        <v>2166.967391223324</v>
      </c>
      <c r="AQ96" s="29" t="n">
        <v>222324.9560560508</v>
      </c>
      <c r="AR96" s="29" t="n">
        <v>7779.293683664196</v>
      </c>
      <c r="AS96" s="29" t="n">
        <v>15991.79798196994</v>
      </c>
      <c r="AT96" s="29" t="n">
        <v>1406.403884326306</v>
      </c>
      <c r="AU96" s="29" t="n">
        <v>16757.66182526931</v>
      </c>
      <c r="AV96" s="29" t="n">
        <v>27087.35650894292</v>
      </c>
      <c r="AW96" s="29" t="n">
        <v>1273.504321449521</v>
      </c>
      <c r="AX96" s="29" t="n">
        <v>2479.319871797908</v>
      </c>
      <c r="AY96" s="29" t="n">
        <v>5665.6538978862</v>
      </c>
      <c r="AZ96" s="29" t="n">
        <v>14565.1936230019</v>
      </c>
      <c r="BA96" s="29" t="n">
        <v>6288.529017184293</v>
      </c>
      <c r="BB96" s="29" t="n">
        <v>13072.61570502863</v>
      </c>
      <c r="BC96" s="29" t="n">
        <v>6834.207345593935</v>
      </c>
      <c r="BD96" s="29" t="n">
        <v>860.3510988417379</v>
      </c>
      <c r="BE96" s="29" t="n">
        <v>3701.841194213239</v>
      </c>
      <c r="BF96" s="29" t="n">
        <v>1485.243707779554</v>
      </c>
      <c r="BG96" s="29" t="n">
        <v>3710.732055760108</v>
      </c>
      <c r="BH96" s="29" t="n">
        <v>17231.31810365033</v>
      </c>
      <c r="BI96" s="29" t="n">
        <v>2290.832638519118</v>
      </c>
      <c r="BJ96" s="29" t="n">
        <v>3316.819344629158</v>
      </c>
      <c r="BK96" s="29" t="n">
        <v>41021.7047992896</v>
      </c>
      <c r="BL96" s="29" t="n">
        <v>3122.005871956953</v>
      </c>
      <c r="BM96" s="29" t="n">
        <v>4135.752307350877</v>
      </c>
      <c r="BN96" s="29" t="n">
        <v>10033.52029398378</v>
      </c>
      <c r="BO96" s="29" t="n">
        <v>3418.150135505941</v>
      </c>
      <c r="BP96" s="29" t="n">
        <v>7175.637570752599</v>
      </c>
      <c r="BQ96" s="29" t="n">
        <v>10020.54020890288</v>
      </c>
      <c r="BR96" s="29" t="n">
        <v>3616.614085881361</v>
      </c>
      <c r="BS96" s="29" t="n">
        <v>893.0780014408649</v>
      </c>
      <c r="BT96" s="29" t="n">
        <v>119007.3342368364</v>
      </c>
      <c r="BU96" s="29" t="n">
        <v>504494.3771828709</v>
      </c>
      <c r="BV96" s="29" t="n">
        <v>857308.5593521851</v>
      </c>
      <c r="BW96" s="29" t="n">
        <v>343.7622063631179</v>
      </c>
      <c r="BX96" s="29" t="n">
        <v>106305.7609523136</v>
      </c>
      <c r="BY96" s="29" t="n">
        <v>92614.30912735641</v>
      </c>
      <c r="BZ96" s="29" t="n">
        <v>2878.165164839971</v>
      </c>
      <c r="CA96" s="29" t="n">
        <v>216578.278566485</v>
      </c>
      <c r="CB96" s="29" t="n">
        <v>3923.56273834874</v>
      </c>
      <c r="CC96" s="29" t="n">
        <v>707.4936931813567</v>
      </c>
      <c r="CD96" s="29" t="n">
        <v>55989.43721100363</v>
      </c>
      <c r="CE96" s="29" t="n">
        <v>74586.89309748718</v>
      </c>
      <c r="CF96" s="29" t="n">
        <v>18487.29626305908</v>
      </c>
      <c r="CG96" s="29" t="n">
        <v>321607.2556653833</v>
      </c>
      <c r="CH96" s="29" t="n">
        <v>1775354.799699625</v>
      </c>
      <c r="CI96" s="29" t="n">
        <v>295001.8404851395</v>
      </c>
      <c r="CJ96" s="29" t="n">
        <v>217548.6214596231</v>
      </c>
      <c r="CK96" s="29" t="n">
        <v>49431.15000506111</v>
      </c>
      <c r="CL96" s="29" t="n">
        <v>136313.9319868949</v>
      </c>
      <c r="CM96" s="29" t="n">
        <v>71867.7686934115</v>
      </c>
      <c r="CN96" s="29" t="n">
        <v>0</v>
      </c>
      <c r="CO96" s="29" t="n">
        <v>0</v>
      </c>
      <c r="CP96" s="29" t="n">
        <v>3061.687787754043</v>
      </c>
      <c r="CQ96" s="29" t="n">
        <v>23034.59938839382</v>
      </c>
      <c r="CR96" s="29" t="n">
        <v>464261.4767140027</v>
      </c>
      <c r="CS96" s="29" t="n">
        <v>5516.874447807385</v>
      </c>
      <c r="CT96" s="29" t="n">
        <v>6467.044356415957</v>
      </c>
      <c r="CU96" s="29" t="n">
        <v>933769.3323282868</v>
      </c>
      <c r="CV96" s="29" t="n">
        <v>376331.7003684769</v>
      </c>
      <c r="CW96" s="29" t="n">
        <v>171775.4399029289</v>
      </c>
      <c r="CX96" s="29" t="n">
        <v>35910.83474000507</v>
      </c>
      <c r="CY96" s="29" t="n">
        <v>140852.9550745051</v>
      </c>
      <c r="CZ96" s="29" t="n">
        <v>14881.71150302138</v>
      </c>
      <c r="DA96" s="29" t="n">
        <v>22942.02787654653</v>
      </c>
      <c r="DB96" s="29" t="n">
        <v>26750.72569268803</v>
      </c>
      <c r="DC96" s="29" t="n">
        <v>158066.8116021253</v>
      </c>
      <c r="DD96" s="29" t="n">
        <v>26971.7118444341</v>
      </c>
      <c r="DE96" s="29" t="n">
        <v>0</v>
      </c>
      <c r="DF96" s="29">
        <f>SUM(C96:DE96)</f>
        <v/>
      </c>
      <c r="DG96" s="29" t="n">
        <v>0</v>
      </c>
      <c r="DH96" s="29" t="n">
        <v>0</v>
      </c>
      <c r="DI96" s="29" t="n">
        <v>0</v>
      </c>
      <c r="DJ96" s="29" t="n">
        <v>0</v>
      </c>
      <c r="DK96" s="29">
        <f>SUM(DG96:DJ96)</f>
        <v/>
      </c>
      <c r="DL96" s="29">
        <f>DF96+DK96</f>
        <v/>
      </c>
    </row>
    <row r="97">
      <c r="A97" s="30" t="inlineStr">
        <is>
          <t>643</t>
        </is>
      </c>
      <c r="B97" s="30" t="inlineStr">
        <is>
          <t>Servicios de Telecomunicaciones</t>
        </is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0</v>
      </c>
      <c r="H97" s="31" t="n">
        <v>45643.43748824493</v>
      </c>
      <c r="I97" s="31" t="n">
        <v>819.4716202328952</v>
      </c>
      <c r="J97" s="31" t="n">
        <v>96994.93144689388</v>
      </c>
      <c r="K97" s="31" t="n">
        <v>55182.45927626043</v>
      </c>
      <c r="L97" s="31" t="n">
        <v>19068.70709434589</v>
      </c>
      <c r="M97" s="31" t="n">
        <v>18246.07416138667</v>
      </c>
      <c r="N97" s="31" t="n">
        <v>47586.07530326231</v>
      </c>
      <c r="O97" s="31" t="n">
        <v>17801.76818767257</v>
      </c>
      <c r="P97" s="31" t="n">
        <v>8766.928071592918</v>
      </c>
      <c r="Q97" s="31" t="n">
        <v>134718.0570071765</v>
      </c>
      <c r="R97" s="31" t="n">
        <v>127875.3706151054</v>
      </c>
      <c r="S97" s="31" t="n">
        <v>19960.97016936625</v>
      </c>
      <c r="T97" s="31" t="n">
        <v>39793.21064818295</v>
      </c>
      <c r="U97" s="31" t="n">
        <v>99367.15026851268</v>
      </c>
      <c r="V97" s="31" t="n">
        <v>1947.639587626865</v>
      </c>
      <c r="W97" s="31" t="n">
        <v>9560.921677668597</v>
      </c>
      <c r="X97" s="31" t="n">
        <v>7299.657364857274</v>
      </c>
      <c r="Y97" s="31" t="n">
        <v>31575.65107807228</v>
      </c>
      <c r="Z97" s="31" t="n">
        <v>3047.601606321035</v>
      </c>
      <c r="AA97" s="31" t="n">
        <v>22191.99472772495</v>
      </c>
      <c r="AB97" s="31" t="n">
        <v>5459.206605488307</v>
      </c>
      <c r="AC97" s="31" t="n">
        <v>29371.81551941858</v>
      </c>
      <c r="AD97" s="31" t="n">
        <v>7935.018232716785</v>
      </c>
      <c r="AE97" s="31" t="n">
        <v>18070.88496336263</v>
      </c>
      <c r="AF97" s="31" t="n">
        <v>31543.93955016766</v>
      </c>
      <c r="AG97" s="31" t="n">
        <v>3205.926876078629</v>
      </c>
      <c r="AH97" s="31" t="n">
        <v>7686.806860303619</v>
      </c>
      <c r="AI97" s="31" t="n">
        <v>22507.79292013825</v>
      </c>
      <c r="AJ97" s="31" t="n">
        <v>22976.70926629203</v>
      </c>
      <c r="AK97" s="31" t="n">
        <v>64834.42866844211</v>
      </c>
      <c r="AL97" s="31" t="n">
        <v>41537.2097126412</v>
      </c>
      <c r="AM97" s="31" t="n">
        <v>24637.93491876972</v>
      </c>
      <c r="AN97" s="31" t="n">
        <v>71265.34332001647</v>
      </c>
      <c r="AO97" s="31" t="n">
        <v>9256.597177593105</v>
      </c>
      <c r="AP97" s="31" t="n">
        <v>8475.160512984521</v>
      </c>
      <c r="AQ97" s="31" t="n">
        <v>103249.9362610712</v>
      </c>
      <c r="AR97" s="31" t="n">
        <v>13069.54128540986</v>
      </c>
      <c r="AS97" s="31" t="n">
        <v>58243.15396850169</v>
      </c>
      <c r="AT97" s="31" t="n">
        <v>6478.983358082603</v>
      </c>
      <c r="AU97" s="31" t="n">
        <v>56540.80533922796</v>
      </c>
      <c r="AV97" s="31" t="n">
        <v>169743.439938871</v>
      </c>
      <c r="AW97" s="31" t="n">
        <v>5637.066509942909</v>
      </c>
      <c r="AX97" s="31" t="n">
        <v>11759.62586161926</v>
      </c>
      <c r="AY97" s="31" t="n">
        <v>20212.85100414096</v>
      </c>
      <c r="AZ97" s="31" t="n">
        <v>51602.92259181397</v>
      </c>
      <c r="BA97" s="31" t="n">
        <v>15309.88711852836</v>
      </c>
      <c r="BB97" s="31" t="n">
        <v>13919.73644343059</v>
      </c>
      <c r="BC97" s="31" t="n">
        <v>8528.695189326356</v>
      </c>
      <c r="BD97" s="31" t="n">
        <v>3366.870241186137</v>
      </c>
      <c r="BE97" s="31" t="n">
        <v>11987.11965402281</v>
      </c>
      <c r="BF97" s="31" t="n">
        <v>3856.970278339796</v>
      </c>
      <c r="BG97" s="31" t="n">
        <v>9545.469561942022</v>
      </c>
      <c r="BH97" s="31" t="n">
        <v>62350.29357933486</v>
      </c>
      <c r="BI97" s="31" t="n">
        <v>525.683259121916</v>
      </c>
      <c r="BJ97" s="31" t="n">
        <v>10546.91223188281</v>
      </c>
      <c r="BK97" s="31" t="n">
        <v>91195.95030913372</v>
      </c>
      <c r="BL97" s="31" t="n">
        <v>2808.813952083588</v>
      </c>
      <c r="BM97" s="31" t="n">
        <v>9681.645440065564</v>
      </c>
      <c r="BN97" s="31" t="n">
        <v>37270.621576572</v>
      </c>
      <c r="BO97" s="31" t="n">
        <v>16937.07753163419</v>
      </c>
      <c r="BP97" s="31" t="n">
        <v>17891.8073447652</v>
      </c>
      <c r="BQ97" s="31" t="n">
        <v>38899.02710641598</v>
      </c>
      <c r="BR97" s="31" t="n">
        <v>11118.42653647047</v>
      </c>
      <c r="BS97" s="31" t="n">
        <v>5961.114323323348</v>
      </c>
      <c r="BT97" s="31" t="n">
        <v>415237.9906135034</v>
      </c>
      <c r="BU97" s="31" t="n">
        <v>1312943.989246616</v>
      </c>
      <c r="BV97" s="31" t="n">
        <v>2083560.990923453</v>
      </c>
      <c r="BW97" s="31" t="n">
        <v>2294.54292778715</v>
      </c>
      <c r="BX97" s="31" t="n">
        <v>603750.1648403658</v>
      </c>
      <c r="BY97" s="31" t="n">
        <v>110070.3787843217</v>
      </c>
      <c r="BZ97" s="31" t="n">
        <v>16957.59116367113</v>
      </c>
      <c r="CA97" s="31" t="n">
        <v>1320096.264664049</v>
      </c>
      <c r="CB97" s="31" t="n">
        <v>26188.98461309501</v>
      </c>
      <c r="CC97" s="31" t="n">
        <v>4353.405604516624</v>
      </c>
      <c r="CD97" s="31" t="n">
        <v>241333.8106101342</v>
      </c>
      <c r="CE97" s="31" t="n">
        <v>345981.5287485641</v>
      </c>
      <c r="CF97" s="31" t="n">
        <v>76537.38486062629</v>
      </c>
      <c r="CG97" s="31" t="n">
        <v>1656048.645134261</v>
      </c>
      <c r="CH97" s="31" t="n">
        <v>10643240.92440597</v>
      </c>
      <c r="CI97" s="31" t="n">
        <v>1837169.579708588</v>
      </c>
      <c r="CJ97" s="31" t="n">
        <v>734037.7104517993</v>
      </c>
      <c r="CK97" s="31" t="n">
        <v>81564.64884465655</v>
      </c>
      <c r="CL97" s="31" t="n">
        <v>339391.4085929692</v>
      </c>
      <c r="CM97" s="31" t="n">
        <v>411153.9431008216</v>
      </c>
      <c r="CN97" s="31" t="n">
        <v>0</v>
      </c>
      <c r="CO97" s="31" t="n">
        <v>0</v>
      </c>
      <c r="CP97" s="31" t="n">
        <v>14551.25909152225</v>
      </c>
      <c r="CQ97" s="31" t="n">
        <v>123612.6433395206</v>
      </c>
      <c r="CR97" s="31" t="n">
        <v>2916968.284766992</v>
      </c>
      <c r="CS97" s="31" t="n">
        <v>25108.47643969025</v>
      </c>
      <c r="CT97" s="31" t="n">
        <v>32468.63130975233</v>
      </c>
      <c r="CU97" s="31" t="n">
        <v>4691765.538503655</v>
      </c>
      <c r="CV97" s="31" t="n">
        <v>1941216.136081217</v>
      </c>
      <c r="CW97" s="31" t="n">
        <v>742527.2353862742</v>
      </c>
      <c r="CX97" s="31" t="n">
        <v>221624.6550973143</v>
      </c>
      <c r="CY97" s="31" t="n">
        <v>652217.9005302159</v>
      </c>
      <c r="CZ97" s="31" t="n">
        <v>90950.53391585257</v>
      </c>
      <c r="DA97" s="31" t="n">
        <v>50757.61619441771</v>
      </c>
      <c r="DB97" s="31" t="n">
        <v>3731.43080475467</v>
      </c>
      <c r="DC97" s="31" t="n">
        <v>332027.2878040554</v>
      </c>
      <c r="DD97" s="31" t="n">
        <v>47215.11325069505</v>
      </c>
      <c r="DE97" s="31" t="n">
        <v>0</v>
      </c>
      <c r="DF97" s="31">
        <f>SUM(C97:DE97)</f>
        <v/>
      </c>
      <c r="DG97" s="31" t="n">
        <v>0</v>
      </c>
      <c r="DH97" s="31" t="n">
        <v>0</v>
      </c>
      <c r="DI97" s="31" t="n">
        <v>0</v>
      </c>
      <c r="DJ97" s="31" t="n">
        <v>0</v>
      </c>
      <c r="DK97" s="31">
        <f>SUM(DG97:DJ97)</f>
        <v/>
      </c>
      <c r="DL97" s="31">
        <f>DF97+DK97</f>
        <v/>
      </c>
    </row>
    <row r="98">
      <c r="A98" s="28" t="inlineStr">
        <is>
          <t>644</t>
        </is>
      </c>
      <c r="B98" s="28" t="inlineStr">
        <is>
          <t>Servicios de Internet</t>
        </is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5706.336951316962</v>
      </c>
      <c r="I98" s="29" t="n">
        <v>102.4502413582426</v>
      </c>
      <c r="J98" s="29" t="n">
        <v>12126.29442180843</v>
      </c>
      <c r="K98" s="29" t="n">
        <v>6898.904284186865</v>
      </c>
      <c r="L98" s="29" t="n">
        <v>2383.967419945738</v>
      </c>
      <c r="M98" s="29" t="n">
        <v>2281.121951658552</v>
      </c>
      <c r="N98" s="29" t="n">
        <v>5949.20529246051</v>
      </c>
      <c r="O98" s="29" t="n">
        <v>2225.574873370495</v>
      </c>
      <c r="P98" s="29" t="n">
        <v>1096.04027122963</v>
      </c>
      <c r="Q98" s="29" t="n">
        <v>16842.43494823675</v>
      </c>
      <c r="R98" s="29" t="n">
        <v>15986.96313554944</v>
      </c>
      <c r="S98" s="29" t="n">
        <v>2495.518040045192</v>
      </c>
      <c r="T98" s="29" t="n">
        <v>4974.942309981511</v>
      </c>
      <c r="U98" s="29" t="n">
        <v>12422.86892765933</v>
      </c>
      <c r="V98" s="29" t="n">
        <v>243.493662141139</v>
      </c>
      <c r="W98" s="29" t="n">
        <v>1195.305254385772</v>
      </c>
      <c r="X98" s="29" t="n">
        <v>912.6022676045326</v>
      </c>
      <c r="Y98" s="29" t="n">
        <v>3947.584021363404</v>
      </c>
      <c r="Z98" s="29" t="n">
        <v>381.0107786803187</v>
      </c>
      <c r="AA98" s="29" t="n">
        <v>2774.440456437178</v>
      </c>
      <c r="AB98" s="29" t="n">
        <v>682.5093396130496</v>
      </c>
      <c r="AC98" s="29" t="n">
        <v>3672.060770376652</v>
      </c>
      <c r="AD98" s="29" t="n">
        <v>992.0350053036002</v>
      </c>
      <c r="AE98" s="29" t="n">
        <v>2259.219819628868</v>
      </c>
      <c r="AF98" s="29" t="n">
        <v>3943.619450037867</v>
      </c>
      <c r="AG98" s="29" t="n">
        <v>400.8045844684489</v>
      </c>
      <c r="AH98" s="29" t="n">
        <v>961.0036499964298</v>
      </c>
      <c r="AI98" s="29" t="n">
        <v>2813.9215076834</v>
      </c>
      <c r="AJ98" s="29" t="n">
        <v>2872.545371712549</v>
      </c>
      <c r="AK98" s="29" t="n">
        <v>8105.592312663496</v>
      </c>
      <c r="AL98" s="29" t="n">
        <v>5192.976858916249</v>
      </c>
      <c r="AM98" s="29" t="n">
        <v>3080.231598843239</v>
      </c>
      <c r="AN98" s="29" t="n">
        <v>8909.58447290549</v>
      </c>
      <c r="AO98" s="29" t="n">
        <v>1157.258642747043</v>
      </c>
      <c r="AP98" s="29" t="n">
        <v>1059.563526871551</v>
      </c>
      <c r="AQ98" s="29" t="n">
        <v>12908.29435577479</v>
      </c>
      <c r="AR98" s="29" t="n">
        <v>1633.952447006299</v>
      </c>
      <c r="AS98" s="29" t="n">
        <v>7281.551958861544</v>
      </c>
      <c r="AT98" s="29" t="n">
        <v>810.0017040284496</v>
      </c>
      <c r="AU98" s="29" t="n">
        <v>7068.724542220318</v>
      </c>
      <c r="AV98" s="29" t="n">
        <v>21221.30402243014</v>
      </c>
      <c r="AW98" s="29" t="n">
        <v>704.7453630328104</v>
      </c>
      <c r="AX98" s="29" t="n">
        <v>1470.186981537109</v>
      </c>
      <c r="AY98" s="29" t="n">
        <v>2527.008151086317</v>
      </c>
      <c r="AZ98" s="29" t="n">
        <v>6451.391047342861</v>
      </c>
      <c r="BA98" s="29" t="n">
        <v>1914.04020802442</v>
      </c>
      <c r="BB98" s="29" t="n">
        <v>1740.24374128697</v>
      </c>
      <c r="BC98" s="29" t="n">
        <v>1066.256425535568</v>
      </c>
      <c r="BD98" s="29" t="n">
        <v>420.9257042158123</v>
      </c>
      <c r="BE98" s="29" t="n">
        <v>1498.628227534892</v>
      </c>
      <c r="BF98" s="29" t="n">
        <v>482.1979506931289</v>
      </c>
      <c r="BG98" s="29" t="n">
        <v>1193.37343277463</v>
      </c>
      <c r="BH98" s="29" t="n">
        <v>7795.0260487907</v>
      </c>
      <c r="BI98" s="29" t="n">
        <v>65.72085651937743</v>
      </c>
      <c r="BJ98" s="29" t="n">
        <v>1318.573672427491</v>
      </c>
      <c r="BK98" s="29" t="n">
        <v>11401.30651188352</v>
      </c>
      <c r="BL98" s="29" t="n">
        <v>351.1575754625644</v>
      </c>
      <c r="BM98" s="29" t="n">
        <v>1210.398124339864</v>
      </c>
      <c r="BN98" s="29" t="n">
        <v>4659.568533936944</v>
      </c>
      <c r="BO98" s="29" t="n">
        <v>2117.47135370721</v>
      </c>
      <c r="BP98" s="29" t="n">
        <v>2236.831557736465</v>
      </c>
      <c r="BQ98" s="29" t="n">
        <v>4863.151593365164</v>
      </c>
      <c r="BR98" s="29" t="n">
        <v>1390.0243206245</v>
      </c>
      <c r="BS98" s="29" t="n">
        <v>745.2577808795706</v>
      </c>
      <c r="BT98" s="29" t="n">
        <v>51913.00260938237</v>
      </c>
      <c r="BU98" s="29" t="n">
        <v>164144.0963506965</v>
      </c>
      <c r="BV98" s="29" t="n">
        <v>260486.5392947479</v>
      </c>
      <c r="BW98" s="29" t="n">
        <v>286.8634751400334</v>
      </c>
      <c r="BX98" s="29" t="n">
        <v>75480.77148833427</v>
      </c>
      <c r="BY98" s="29" t="n">
        <v>13760.98524271295</v>
      </c>
      <c r="BZ98" s="29" t="n">
        <v>2120.035965466092</v>
      </c>
      <c r="CA98" s="29" t="n">
        <v>165038.2729453274</v>
      </c>
      <c r="CB98" s="29" t="n">
        <v>3274.14364121158</v>
      </c>
      <c r="CC98" s="29" t="n">
        <v>544.2622342263641</v>
      </c>
      <c r="CD98" s="29" t="n">
        <v>30171.52337488619</v>
      </c>
      <c r="CE98" s="29" t="n">
        <v>43254.56824936823</v>
      </c>
      <c r="CF98" s="29" t="n">
        <v>9568.694459084942</v>
      </c>
      <c r="CG98" s="29" t="n">
        <v>207038.9983081748</v>
      </c>
      <c r="CH98" s="29" t="n">
        <v>1330616.673740845</v>
      </c>
      <c r="CI98" s="29" t="n">
        <v>229682.7153131598</v>
      </c>
      <c r="CJ98" s="29" t="n">
        <v>91769.30444579152</v>
      </c>
      <c r="CK98" s="29" t="n">
        <v>10197.20238519119</v>
      </c>
      <c r="CL98" s="29" t="n">
        <v>42430.67223655862</v>
      </c>
      <c r="CM98" s="29" t="n">
        <v>51402.41549072917</v>
      </c>
      <c r="CN98" s="29" t="n">
        <v>0</v>
      </c>
      <c r="CO98" s="29" t="n">
        <v>0</v>
      </c>
      <c r="CP98" s="29" t="n">
        <v>1819.196625221864</v>
      </c>
      <c r="CQ98" s="29" t="n">
        <v>15454.03749487391</v>
      </c>
      <c r="CR98" s="29" t="n">
        <v>364679.0168569658</v>
      </c>
      <c r="CS98" s="29" t="n">
        <v>3139.058642022212</v>
      </c>
      <c r="CT98" s="29" t="n">
        <v>4059.22430030041</v>
      </c>
      <c r="CU98" s="29" t="n">
        <v>586563.9516343183</v>
      </c>
      <c r="CV98" s="29" t="n">
        <v>242690.6030174837</v>
      </c>
      <c r="CW98" s="29" t="n">
        <v>92830.66381087434</v>
      </c>
      <c r="CX98" s="29" t="n">
        <v>27707.48717228813</v>
      </c>
      <c r="CY98" s="29" t="n">
        <v>81540.20185408805</v>
      </c>
      <c r="CZ98" s="29" t="n">
        <v>11370.6245845243</v>
      </c>
      <c r="DA98" s="29" t="n">
        <v>6345.710945315288</v>
      </c>
      <c r="DB98" s="29" t="n">
        <v>466.5030211174988</v>
      </c>
      <c r="DC98" s="29" t="n">
        <v>41510.01075959246</v>
      </c>
      <c r="DD98" s="29" t="n">
        <v>5902.827662190088</v>
      </c>
      <c r="DE98" s="29" t="n">
        <v>0</v>
      </c>
      <c r="DF98" s="29">
        <f>SUM(C98:DE98)</f>
        <v/>
      </c>
      <c r="DG98" s="29" t="n">
        <v>0</v>
      </c>
      <c r="DH98" s="29" t="n">
        <v>0</v>
      </c>
      <c r="DI98" s="29" t="n">
        <v>0</v>
      </c>
      <c r="DJ98" s="29" t="n">
        <v>0</v>
      </c>
      <c r="DK98" s="29">
        <f>SUM(DG98:DJ98)</f>
        <v/>
      </c>
      <c r="DL98" s="29">
        <f>DF98+DK98</f>
        <v/>
      </c>
    </row>
    <row r="99">
      <c r="A99" s="30" t="inlineStr">
        <is>
          <t>651 2</t>
        </is>
      </c>
      <c r="B99" s="30" t="inlineStr">
        <is>
          <t>651 2 - Intermediación monetaria</t>
        </is>
      </c>
      <c r="C99" s="31" t="n">
        <v>968026.5529002633</v>
      </c>
      <c r="D99" s="31" t="n">
        <v>334811.0170017419</v>
      </c>
      <c r="E99" s="31" t="n">
        <v>2653.05662900782</v>
      </c>
      <c r="F99" s="31" t="n">
        <v>11598.72673366389</v>
      </c>
      <c r="G99" s="31" t="n">
        <v>21339.65954073847</v>
      </c>
      <c r="H99" s="31" t="n">
        <v>118674.934242632</v>
      </c>
      <c r="I99" s="31" t="n">
        <v>3812.934474430263</v>
      </c>
      <c r="J99" s="31" t="n">
        <v>741737.2955590878</v>
      </c>
      <c r="K99" s="31" t="n">
        <v>160084.7030334</v>
      </c>
      <c r="L99" s="31" t="n">
        <v>97305.90126820016</v>
      </c>
      <c r="M99" s="31" t="n">
        <v>61251.47112100803</v>
      </c>
      <c r="N99" s="31" t="n">
        <v>142036.0366400747</v>
      </c>
      <c r="O99" s="31" t="n">
        <v>36227.77465796111</v>
      </c>
      <c r="P99" s="31" t="n">
        <v>35545.04404952853</v>
      </c>
      <c r="Q99" s="31" t="n">
        <v>561824.9883430921</v>
      </c>
      <c r="R99" s="31" t="n">
        <v>123309.4709487662</v>
      </c>
      <c r="S99" s="31" t="n">
        <v>66864.5347915833</v>
      </c>
      <c r="T99" s="31" t="n">
        <v>60540.31753950444</v>
      </c>
      <c r="U99" s="31" t="n">
        <v>119673.7173285792</v>
      </c>
      <c r="V99" s="31" t="n">
        <v>24338.58140495934</v>
      </c>
      <c r="W99" s="31" t="n">
        <v>37738.80155741804</v>
      </c>
      <c r="X99" s="31" t="n">
        <v>23183.40286123427</v>
      </c>
      <c r="Y99" s="31" t="n">
        <v>115008.0673047941</v>
      </c>
      <c r="Z99" s="31" t="n">
        <v>16658.03309745407</v>
      </c>
      <c r="AA99" s="31" t="n">
        <v>93748.68492359985</v>
      </c>
      <c r="AB99" s="31" t="n">
        <v>34668.99181020819</v>
      </c>
      <c r="AC99" s="31" t="n">
        <v>186746.4044327668</v>
      </c>
      <c r="AD99" s="31" t="n">
        <v>29661.47360449404</v>
      </c>
      <c r="AE99" s="31" t="n">
        <v>65141.48678588562</v>
      </c>
      <c r="AF99" s="31" t="n">
        <v>98358.07506382886</v>
      </c>
      <c r="AG99" s="31" t="n">
        <v>13360.64149977248</v>
      </c>
      <c r="AH99" s="31" t="n">
        <v>27378.34476701263</v>
      </c>
      <c r="AI99" s="31" t="n">
        <v>89424.6128162051</v>
      </c>
      <c r="AJ99" s="31" t="n">
        <v>107569.9629579009</v>
      </c>
      <c r="AK99" s="31" t="n">
        <v>74740.88165992526</v>
      </c>
      <c r="AL99" s="31" t="n">
        <v>73067.58009818166</v>
      </c>
      <c r="AM99" s="31" t="n">
        <v>104043.9555499152</v>
      </c>
      <c r="AN99" s="31" t="n">
        <v>73317.31483516349</v>
      </c>
      <c r="AO99" s="31" t="n">
        <v>42454.78517269141</v>
      </c>
      <c r="AP99" s="31" t="n">
        <v>50393.11631866507</v>
      </c>
      <c r="AQ99" s="31" t="n">
        <v>332631.9012171434</v>
      </c>
      <c r="AR99" s="31" t="n">
        <v>47449.50539461226</v>
      </c>
      <c r="AS99" s="31" t="n">
        <v>151618.2475482108</v>
      </c>
      <c r="AT99" s="31" t="n">
        <v>23383.85514923774</v>
      </c>
      <c r="AU99" s="31" t="n">
        <v>151606.8097565669</v>
      </c>
      <c r="AV99" s="31" t="n">
        <v>137453.5125444305</v>
      </c>
      <c r="AW99" s="31" t="n">
        <v>46056.571118653</v>
      </c>
      <c r="AX99" s="31" t="n">
        <v>49207.52275609582</v>
      </c>
      <c r="AY99" s="31" t="n">
        <v>55907.81961965708</v>
      </c>
      <c r="AZ99" s="31" t="n">
        <v>140274.169451666</v>
      </c>
      <c r="BA99" s="31" t="n">
        <v>64252.54634548238</v>
      </c>
      <c r="BB99" s="31" t="n">
        <v>96637.8735857577</v>
      </c>
      <c r="BC99" s="31" t="n">
        <v>39736.08713039583</v>
      </c>
      <c r="BD99" s="31" t="n">
        <v>7540.800724205027</v>
      </c>
      <c r="BE99" s="31" t="n">
        <v>32977.17617736936</v>
      </c>
      <c r="BF99" s="31" t="n">
        <v>18499.65958698415</v>
      </c>
      <c r="BG99" s="31" t="n">
        <v>22668.79442989582</v>
      </c>
      <c r="BH99" s="31" t="n">
        <v>46644.67675215901</v>
      </c>
      <c r="BI99" s="31" t="n">
        <v>10984.91162589297</v>
      </c>
      <c r="BJ99" s="31" t="n">
        <v>28337.01502597106</v>
      </c>
      <c r="BK99" s="31" t="n">
        <v>128662.2099946967</v>
      </c>
      <c r="BL99" s="31" t="n">
        <v>83009.78911360749</v>
      </c>
      <c r="BM99" s="31" t="n">
        <v>27224.3347500878</v>
      </c>
      <c r="BN99" s="31" t="n">
        <v>97239.48973574412</v>
      </c>
      <c r="BO99" s="31" t="n">
        <v>45532.46634411198</v>
      </c>
      <c r="BP99" s="31" t="n">
        <v>430288.2486382747</v>
      </c>
      <c r="BQ99" s="31" t="n">
        <v>194173.3677155882</v>
      </c>
      <c r="BR99" s="31" t="n">
        <v>146044.3413350597</v>
      </c>
      <c r="BS99" s="31" t="n">
        <v>899672.1050022835</v>
      </c>
      <c r="BT99" s="31" t="n">
        <v>628851.9256662307</v>
      </c>
      <c r="BU99" s="31" t="n">
        <v>2673274.248977696</v>
      </c>
      <c r="BV99" s="31" t="n">
        <v>3649798.85566811</v>
      </c>
      <c r="BW99" s="31" t="n">
        <v>105372.2453663598</v>
      </c>
      <c r="BX99" s="31" t="n">
        <v>164195.9878365438</v>
      </c>
      <c r="BY99" s="31" t="n">
        <v>942812.1727945892</v>
      </c>
      <c r="BZ99" s="31" t="n">
        <v>20943.86080196423</v>
      </c>
      <c r="CA99" s="31" t="n">
        <v>1401521.86597248</v>
      </c>
      <c r="CB99" s="31" t="n">
        <v>116192.0124343921</v>
      </c>
      <c r="CC99" s="31" t="n">
        <v>7006.413171885766</v>
      </c>
      <c r="CD99" s="31" t="n">
        <v>65165.00795434996</v>
      </c>
      <c r="CE99" s="31" t="n">
        <v>465518.4972688392</v>
      </c>
      <c r="CF99" s="31" t="n">
        <v>48593.69896757281</v>
      </c>
      <c r="CG99" s="31" t="n">
        <v>245953.9998335996</v>
      </c>
      <c r="CH99" s="31" t="n">
        <v>599390.8592560278</v>
      </c>
      <c r="CI99" s="31" t="n">
        <v>109147.5984297126</v>
      </c>
      <c r="CJ99" s="31" t="n">
        <v>2668427.621497795</v>
      </c>
      <c r="CK99" s="31" t="n">
        <v>575867.4790398029</v>
      </c>
      <c r="CL99" s="31" t="n">
        <v>718511.4797893529</v>
      </c>
      <c r="CM99" s="31" t="n">
        <v>253005.2124128223</v>
      </c>
      <c r="CN99" s="31" t="n">
        <v>734129.4780886704</v>
      </c>
      <c r="CO99" s="31" t="n">
        <v>166297.1632118509</v>
      </c>
      <c r="CP99" s="31" t="n">
        <v>28879.03789082459</v>
      </c>
      <c r="CQ99" s="31" t="n">
        <v>96751.05512118747</v>
      </c>
      <c r="CR99" s="31" t="n">
        <v>315290.0550200977</v>
      </c>
      <c r="CS99" s="31" t="n">
        <v>33035.76786848497</v>
      </c>
      <c r="CT99" s="31" t="n">
        <v>18876.54531696676</v>
      </c>
      <c r="CU99" s="31" t="n">
        <v>1549296.448737403</v>
      </c>
      <c r="CV99" s="31" t="n">
        <v>8671918.017241338</v>
      </c>
      <c r="CW99" s="31" t="n">
        <v>818177.8396359849</v>
      </c>
      <c r="CX99" s="31" t="n">
        <v>1617.327489344505</v>
      </c>
      <c r="CY99" s="31" t="n">
        <v>1433040.439272517</v>
      </c>
      <c r="CZ99" s="31" t="n">
        <v>627.7559049945581</v>
      </c>
      <c r="DA99" s="31" t="n">
        <v>185306.4055225846</v>
      </c>
      <c r="DB99" s="31" t="n">
        <v>405785.9228676863</v>
      </c>
      <c r="DC99" s="31" t="n">
        <v>413512.4003371755</v>
      </c>
      <c r="DD99" s="31" t="n">
        <v>92279.56696758464</v>
      </c>
      <c r="DE99" s="31" t="n">
        <v>0</v>
      </c>
      <c r="DF99" s="31">
        <f>SUM(C99:DE99)</f>
        <v/>
      </c>
      <c r="DG99" s="31" t="n">
        <v>0</v>
      </c>
      <c r="DH99" s="31" t="n">
        <v>0</v>
      </c>
      <c r="DI99" s="31" t="n">
        <v>0</v>
      </c>
      <c r="DJ99" s="31" t="n">
        <v>0</v>
      </c>
      <c r="DK99" s="31">
        <f>SUM(DG99:DJ99)</f>
        <v/>
      </c>
      <c r="DL99" s="31">
        <f>DF99+DK99</f>
        <v/>
      </c>
    </row>
    <row r="100">
      <c r="A100" s="28" t="inlineStr">
        <is>
          <t>659</t>
        </is>
      </c>
      <c r="B100" s="28" t="inlineStr">
        <is>
          <t>Otros tipos de intermediación financiera</t>
        </is>
      </c>
      <c r="C100" s="29" t="n">
        <v>249568.7648323617</v>
      </c>
      <c r="D100" s="29" t="n">
        <v>33192.00365826516</v>
      </c>
      <c r="E100" s="29" t="n">
        <v>0</v>
      </c>
      <c r="F100" s="29" t="n">
        <v>0</v>
      </c>
      <c r="G100" s="29" t="n">
        <v>0</v>
      </c>
      <c r="H100" s="29" t="n">
        <v>24701.37004271302</v>
      </c>
      <c r="I100" s="29" t="n">
        <v>1297.923349642685</v>
      </c>
      <c r="J100" s="29" t="n">
        <v>126257.0914358972</v>
      </c>
      <c r="K100" s="29" t="n">
        <v>17714.00391658123</v>
      </c>
      <c r="L100" s="29" t="n">
        <v>6007.590869357892</v>
      </c>
      <c r="M100" s="29" t="n">
        <v>11237.06216086724</v>
      </c>
      <c r="N100" s="29" t="n">
        <v>28083.98064293396</v>
      </c>
      <c r="O100" s="29" t="n">
        <v>10268.74014035182</v>
      </c>
      <c r="P100" s="29" t="n">
        <v>7462.558685363268</v>
      </c>
      <c r="Q100" s="29" t="n">
        <v>176590.3433584167</v>
      </c>
      <c r="R100" s="29" t="n">
        <v>28224.86458377285</v>
      </c>
      <c r="S100" s="29" t="n">
        <v>13815.56126086078</v>
      </c>
      <c r="T100" s="29" t="n">
        <v>12677.29945069802</v>
      </c>
      <c r="U100" s="29" t="n">
        <v>11367.96234737065</v>
      </c>
      <c r="V100" s="29" t="n">
        <v>5077.329552394238</v>
      </c>
      <c r="W100" s="29" t="n">
        <v>10770.88239047479</v>
      </c>
      <c r="X100" s="29" t="n">
        <v>2796.528167276893</v>
      </c>
      <c r="Y100" s="29" t="n">
        <v>29400.53556834067</v>
      </c>
      <c r="Z100" s="29" t="n">
        <v>4814.23178637329</v>
      </c>
      <c r="AA100" s="29" t="n">
        <v>13700.3689063696</v>
      </c>
      <c r="AB100" s="29" t="n">
        <v>172.366878179</v>
      </c>
      <c r="AC100" s="29" t="n">
        <v>65698.52496196704</v>
      </c>
      <c r="AD100" s="29" t="n">
        <v>6808.119008052871</v>
      </c>
      <c r="AE100" s="29" t="n">
        <v>9928.146445994476</v>
      </c>
      <c r="AF100" s="29" t="n">
        <v>14838.00995950832</v>
      </c>
      <c r="AG100" s="29" t="n">
        <v>2630.467088653259</v>
      </c>
      <c r="AH100" s="29" t="n">
        <v>4278.227966267675</v>
      </c>
      <c r="AI100" s="29" t="n">
        <v>22063.08455480847</v>
      </c>
      <c r="AJ100" s="29" t="n">
        <v>17895.60656062452</v>
      </c>
      <c r="AK100" s="29" t="n">
        <v>14704.68552843383</v>
      </c>
      <c r="AL100" s="29" t="n">
        <v>14643.66105246468</v>
      </c>
      <c r="AM100" s="29" t="n">
        <v>1181.330882862548</v>
      </c>
      <c r="AN100" s="29" t="n">
        <v>12699.01235425216</v>
      </c>
      <c r="AO100" s="29" t="n">
        <v>7491.445042540832</v>
      </c>
      <c r="AP100" s="29" t="n">
        <v>3154.707436375581</v>
      </c>
      <c r="AQ100" s="29" t="n">
        <v>70436.50259416887</v>
      </c>
      <c r="AR100" s="29" t="n">
        <v>10768.82661687618</v>
      </c>
      <c r="AS100" s="29" t="n">
        <v>33218.80762540436</v>
      </c>
      <c r="AT100" s="29" t="n">
        <v>5373.46636309654</v>
      </c>
      <c r="AU100" s="29" t="n">
        <v>21743.884154959</v>
      </c>
      <c r="AV100" s="29" t="n">
        <v>8051.005840742813</v>
      </c>
      <c r="AW100" s="29" t="n">
        <v>3264.770239056572</v>
      </c>
      <c r="AX100" s="29" t="n">
        <v>7159.141691320057</v>
      </c>
      <c r="AY100" s="29" t="n">
        <v>9681.733228859202</v>
      </c>
      <c r="AZ100" s="29" t="n">
        <v>26938.31773725613</v>
      </c>
      <c r="BA100" s="29" t="n">
        <v>15028.11273178404</v>
      </c>
      <c r="BB100" s="29" t="n">
        <v>18620.80859750569</v>
      </c>
      <c r="BC100" s="29" t="n">
        <v>9731.390875486506</v>
      </c>
      <c r="BD100" s="29" t="n">
        <v>2081.303046234391</v>
      </c>
      <c r="BE100" s="29" t="n">
        <v>7043.127956243089</v>
      </c>
      <c r="BF100" s="29" t="n">
        <v>3587.346960415891</v>
      </c>
      <c r="BG100" s="29" t="n">
        <v>4424.33734724455</v>
      </c>
      <c r="BH100" s="29" t="n">
        <v>16860.80146591752</v>
      </c>
      <c r="BI100" s="29" t="n">
        <v>2755.84516922271</v>
      </c>
      <c r="BJ100" s="29" t="n">
        <v>7628.886476280185</v>
      </c>
      <c r="BK100" s="29" t="n">
        <v>8397.50956370703</v>
      </c>
      <c r="BL100" s="29" t="n">
        <v>18551.23928943017</v>
      </c>
      <c r="BM100" s="29" t="n">
        <v>4712.341506563836</v>
      </c>
      <c r="BN100" s="29" t="n">
        <v>14354.28794587325</v>
      </c>
      <c r="BO100" s="29" t="n">
        <v>9641.204553572858</v>
      </c>
      <c r="BP100" s="29" t="n">
        <v>84899.5963129119</v>
      </c>
      <c r="BQ100" s="29" t="n">
        <v>87951.23659201991</v>
      </c>
      <c r="BR100" s="29" t="n">
        <v>57767.60498735361</v>
      </c>
      <c r="BS100" s="29" t="n">
        <v>47914.76991178665</v>
      </c>
      <c r="BT100" s="29" t="n">
        <v>232860.0225941447</v>
      </c>
      <c r="BU100" s="29" t="n">
        <v>940946.452677396</v>
      </c>
      <c r="BV100" s="29" t="n">
        <v>1139963.693643456</v>
      </c>
      <c r="BW100" s="29" t="n">
        <v>30323.42147832994</v>
      </c>
      <c r="BX100" s="29" t="n">
        <v>60289.53648939155</v>
      </c>
      <c r="BY100" s="29" t="n">
        <v>343643.075937102</v>
      </c>
      <c r="BZ100" s="29" t="n">
        <v>4967.186398289172</v>
      </c>
      <c r="CA100" s="29" t="n">
        <v>505037.010726469</v>
      </c>
      <c r="CB100" s="29" t="n">
        <v>49636.74150086578</v>
      </c>
      <c r="CC100" s="29" t="n">
        <v>1557.064098252261</v>
      </c>
      <c r="CD100" s="29" t="n">
        <v>5549.155162979778</v>
      </c>
      <c r="CE100" s="29" t="n">
        <v>148392.5668170837</v>
      </c>
      <c r="CF100" s="29" t="n">
        <v>9607.670730856675</v>
      </c>
      <c r="CG100" s="29" t="n">
        <v>111049.5502573568</v>
      </c>
      <c r="CH100" s="29" t="n">
        <v>150070.5370248248</v>
      </c>
      <c r="CI100" s="29" t="n">
        <v>39536.69298319878</v>
      </c>
      <c r="CJ100" s="29" t="n">
        <v>1550700.32097498</v>
      </c>
      <c r="CK100" s="29" t="n">
        <v>296589.5760701806</v>
      </c>
      <c r="CL100" s="29" t="n">
        <v>331013.318820327</v>
      </c>
      <c r="CM100" s="29" t="n">
        <v>102712.5469232589</v>
      </c>
      <c r="CN100" s="29" t="n">
        <v>0</v>
      </c>
      <c r="CO100" s="29" t="n">
        <v>0</v>
      </c>
      <c r="CP100" s="29" t="n">
        <v>333.5868172642498</v>
      </c>
      <c r="CQ100" s="29" t="n">
        <v>18446.75770126322</v>
      </c>
      <c r="CR100" s="29" t="n">
        <v>71273.35351396818</v>
      </c>
      <c r="CS100" s="29" t="n">
        <v>12013.56437557919</v>
      </c>
      <c r="CT100" s="29" t="n">
        <v>10969.70539732636</v>
      </c>
      <c r="CU100" s="29" t="n">
        <v>399494.0242057935</v>
      </c>
      <c r="CV100" s="29" t="n">
        <v>585239.7677231911</v>
      </c>
      <c r="CW100" s="29" t="n">
        <v>322579.5983946857</v>
      </c>
      <c r="CX100" s="29" t="n">
        <v>939.8756918279989</v>
      </c>
      <c r="CY100" s="29" t="n">
        <v>402291.8518504209</v>
      </c>
      <c r="CZ100" s="29" t="n">
        <v>364.8070779684831</v>
      </c>
      <c r="DA100" s="29" t="n">
        <v>50941.14075156464</v>
      </c>
      <c r="DB100" s="29" t="n">
        <v>113143.7360958707</v>
      </c>
      <c r="DC100" s="29" t="n">
        <v>150246.3195505317</v>
      </c>
      <c r="DD100" s="29" t="n">
        <v>8778.220948760047</v>
      </c>
      <c r="DE100" s="29" t="n">
        <v>0</v>
      </c>
      <c r="DF100" s="29">
        <f>SUM(C100:DE100)</f>
        <v/>
      </c>
      <c r="DG100" s="29" t="n">
        <v>0</v>
      </c>
      <c r="DH100" s="29" t="n">
        <v>0</v>
      </c>
      <c r="DI100" s="29" t="n">
        <v>0</v>
      </c>
      <c r="DJ100" s="29" t="n">
        <v>0</v>
      </c>
      <c r="DK100" s="29">
        <f>SUM(DG100:DJ100)</f>
        <v/>
      </c>
      <c r="DL100" s="29">
        <f>DF100+DK100</f>
        <v/>
      </c>
    </row>
    <row r="101">
      <c r="A101" s="30" t="inlineStr">
        <is>
          <t>66</t>
        </is>
      </c>
      <c r="B101" s="30" t="inlineStr">
        <is>
          <t>Financiación de planes de seguros y de pensiones, excepto los planes</t>
        </is>
      </c>
      <c r="C101" s="31" t="n">
        <v>169352.3918574553</v>
      </c>
      <c r="D101" s="31" t="n">
        <v>23305.77185456592</v>
      </c>
      <c r="E101" s="31" t="n">
        <v>0</v>
      </c>
      <c r="F101" s="31" t="n">
        <v>0</v>
      </c>
      <c r="G101" s="31" t="n">
        <v>0</v>
      </c>
      <c r="H101" s="31" t="n">
        <v>31879.95012019813</v>
      </c>
      <c r="I101" s="31" t="n">
        <v>0</v>
      </c>
      <c r="J101" s="31" t="n">
        <v>0</v>
      </c>
      <c r="K101" s="31" t="n">
        <v>22248.01587885781</v>
      </c>
      <c r="L101" s="31" t="n">
        <v>0</v>
      </c>
      <c r="M101" s="31" t="n">
        <v>0</v>
      </c>
      <c r="N101" s="31" t="n">
        <v>21844.8758157079</v>
      </c>
      <c r="O101" s="31" t="n">
        <v>21273.76553604373</v>
      </c>
      <c r="P101" s="31" t="n">
        <v>8821.902095494093</v>
      </c>
      <c r="Q101" s="31" t="n">
        <v>47529.8140020392</v>
      </c>
      <c r="R101" s="31" t="n">
        <v>19459.99812269237</v>
      </c>
      <c r="S101" s="31" t="n">
        <v>14428.8971631928</v>
      </c>
      <c r="T101" s="31" t="n">
        <v>9722.14192232817</v>
      </c>
      <c r="U101" s="31" t="n">
        <v>20367.8099388605</v>
      </c>
      <c r="V101" s="31" t="n">
        <v>5326.549071954236</v>
      </c>
      <c r="W101" s="31" t="n">
        <v>7951.023460527897</v>
      </c>
      <c r="X101" s="31" t="n">
        <v>4072.604015327874</v>
      </c>
      <c r="Y101" s="31" t="n">
        <v>18453.47543848443</v>
      </c>
      <c r="Z101" s="31" t="n">
        <v>3830.493593568361</v>
      </c>
      <c r="AA101" s="31" t="n">
        <v>11116.85599251237</v>
      </c>
      <c r="AB101" s="31" t="n">
        <v>7170.937691867606</v>
      </c>
      <c r="AC101" s="31" t="n">
        <v>19743.95731247481</v>
      </c>
      <c r="AD101" s="31" t="n">
        <v>4989.756240357929</v>
      </c>
      <c r="AE101" s="31" t="n">
        <v>22293.86949220911</v>
      </c>
      <c r="AF101" s="31" t="n">
        <v>14004.55086096605</v>
      </c>
      <c r="AG101" s="31" t="n">
        <v>3324.835418354218</v>
      </c>
      <c r="AH101" s="31" t="n">
        <v>4512.337351308845</v>
      </c>
      <c r="AI101" s="31" t="n">
        <v>14834.67934139732</v>
      </c>
      <c r="AJ101" s="31" t="n">
        <v>27053.46743962498</v>
      </c>
      <c r="AK101" s="31" t="n">
        <v>10399.23363595949</v>
      </c>
      <c r="AL101" s="31" t="n">
        <v>19153.12923739175</v>
      </c>
      <c r="AM101" s="31" t="n">
        <v>68954.71108548529</v>
      </c>
      <c r="AN101" s="31" t="n">
        <v>33281.35747259727</v>
      </c>
      <c r="AO101" s="31" t="n">
        <v>13098.77546137394</v>
      </c>
      <c r="AP101" s="31" t="n">
        <v>34198.39918051363</v>
      </c>
      <c r="AQ101" s="31" t="n">
        <v>82550.23355063517</v>
      </c>
      <c r="AR101" s="31" t="n">
        <v>16320.19604037466</v>
      </c>
      <c r="AS101" s="31" t="n">
        <v>34389.33332584088</v>
      </c>
      <c r="AT101" s="31" t="n">
        <v>4371.595651175041</v>
      </c>
      <c r="AU101" s="31" t="n">
        <v>35484.98692488164</v>
      </c>
      <c r="AV101" s="31" t="n">
        <v>13451.66865614922</v>
      </c>
      <c r="AW101" s="31" t="n">
        <v>18024.50380400458</v>
      </c>
      <c r="AX101" s="31" t="n">
        <v>8676.437338473392</v>
      </c>
      <c r="AY101" s="31" t="n">
        <v>10258.43598570404</v>
      </c>
      <c r="AZ101" s="31" t="n">
        <v>23763.08260711152</v>
      </c>
      <c r="BA101" s="31" t="n">
        <v>13397.89492037153</v>
      </c>
      <c r="BB101" s="31" t="n">
        <v>11498.57383315799</v>
      </c>
      <c r="BC101" s="31" t="n">
        <v>7392.634540937142</v>
      </c>
      <c r="BD101" s="31" t="n">
        <v>828.8417380721767</v>
      </c>
      <c r="BE101" s="31" t="n">
        <v>6873.543935913265</v>
      </c>
      <c r="BF101" s="31" t="n">
        <v>4490.673981117186</v>
      </c>
      <c r="BG101" s="31" t="n">
        <v>5457.170429510697</v>
      </c>
      <c r="BH101" s="31" t="n">
        <v>27593.59534300736</v>
      </c>
      <c r="BI101" s="31" t="n">
        <v>2412.436688419177</v>
      </c>
      <c r="BJ101" s="31" t="n">
        <v>5163.953219688716</v>
      </c>
      <c r="BK101" s="31" t="n">
        <v>24828.69610766723</v>
      </c>
      <c r="BL101" s="31" t="n">
        <v>15530.37295351551</v>
      </c>
      <c r="BM101" s="31" t="n">
        <v>11830.59525303006</v>
      </c>
      <c r="BN101" s="31" t="n">
        <v>16079.79352429989</v>
      </c>
      <c r="BO101" s="31" t="n">
        <v>11046.60265828857</v>
      </c>
      <c r="BP101" s="31" t="n">
        <v>143460.9540449735</v>
      </c>
      <c r="BQ101" s="31" t="n">
        <v>24371.39568354611</v>
      </c>
      <c r="BR101" s="31" t="n">
        <v>6294.361436826548</v>
      </c>
      <c r="BS101" s="31" t="n">
        <v>416017.4252343918</v>
      </c>
      <c r="BT101" s="31" t="n">
        <v>31098.36376750504</v>
      </c>
      <c r="BU101" s="31" t="n">
        <v>98333.22745397885</v>
      </c>
      <c r="BV101" s="31" t="n">
        <v>166159.9540389276</v>
      </c>
      <c r="BW101" s="31" t="n">
        <v>85.18231895460019</v>
      </c>
      <c r="BX101" s="31" t="n">
        <v>22410.10135809873</v>
      </c>
      <c r="BY101" s="31" t="n">
        <v>0</v>
      </c>
      <c r="BZ101" s="31" t="n">
        <v>18664.70589501373</v>
      </c>
      <c r="CA101" s="31" t="n">
        <v>1950427.66623942</v>
      </c>
      <c r="CB101" s="31" t="n">
        <v>2247.338762567128</v>
      </c>
      <c r="CC101" s="31" t="n">
        <v>4116.714278930296</v>
      </c>
      <c r="CD101" s="31" t="n">
        <v>273565.6465594782</v>
      </c>
      <c r="CE101" s="31" t="n">
        <v>663067.4833603939</v>
      </c>
      <c r="CF101" s="31" t="n">
        <v>15536.38602975923</v>
      </c>
      <c r="CG101" s="31" t="n">
        <v>36403.19365394168</v>
      </c>
      <c r="CH101" s="31" t="n">
        <v>172448.7030051404</v>
      </c>
      <c r="CI101" s="31" t="n">
        <v>26955.28599316804</v>
      </c>
      <c r="CJ101" s="31" t="n">
        <v>0</v>
      </c>
      <c r="CK101" s="31" t="n">
        <v>9493.871737141555</v>
      </c>
      <c r="CL101" s="31" t="n">
        <v>7702795.915996959</v>
      </c>
      <c r="CM101" s="31" t="n">
        <v>83372.9465754258</v>
      </c>
      <c r="CN101" s="31" t="n">
        <v>0</v>
      </c>
      <c r="CO101" s="31" t="n">
        <v>0</v>
      </c>
      <c r="CP101" s="31" t="n">
        <v>1334.685830010323</v>
      </c>
      <c r="CQ101" s="31" t="n">
        <v>18559.51433582159</v>
      </c>
      <c r="CR101" s="31" t="n">
        <v>47844.30883556366</v>
      </c>
      <c r="CS101" s="31" t="n">
        <v>17777.34589478874</v>
      </c>
      <c r="CT101" s="31" t="n">
        <v>16232.67176297956</v>
      </c>
      <c r="CU101" s="31" t="n">
        <v>441574.377742609</v>
      </c>
      <c r="CV101" s="31" t="n">
        <v>866021.8946634931</v>
      </c>
      <c r="CW101" s="31" t="n">
        <v>105010.008753442</v>
      </c>
      <c r="CX101" s="31" t="n">
        <v>2182.98287870425</v>
      </c>
      <c r="CY101" s="31" t="n">
        <v>55329.10499679664</v>
      </c>
      <c r="CZ101" s="31" t="n">
        <v>2040.706752833328</v>
      </c>
      <c r="DA101" s="31" t="n">
        <v>106798.7957639839</v>
      </c>
      <c r="DB101" s="31" t="n">
        <v>123381.7236784718</v>
      </c>
      <c r="DC101" s="31" t="n">
        <v>85820.66527654929</v>
      </c>
      <c r="DD101" s="31" t="n">
        <v>275.1619089006599</v>
      </c>
      <c r="DE101" s="31" t="n">
        <v>0</v>
      </c>
      <c r="DF101" s="31">
        <f>SUM(C101:DE101)</f>
        <v/>
      </c>
      <c r="DG101" s="31" t="n">
        <v>0</v>
      </c>
      <c r="DH101" s="31" t="n">
        <v>0</v>
      </c>
      <c r="DI101" s="31" t="n">
        <v>0</v>
      </c>
      <c r="DJ101" s="31" t="n">
        <v>0</v>
      </c>
      <c r="DK101" s="31">
        <f>SUM(DG101:DJ101)</f>
        <v/>
      </c>
      <c r="DL101" s="31">
        <f>DF101+DK101</f>
        <v/>
      </c>
    </row>
    <row r="102">
      <c r="A102" s="28" t="inlineStr">
        <is>
          <t>67</t>
        </is>
      </c>
      <c r="B102" s="28" t="inlineStr">
        <is>
          <t>ACTIVIDADES AUXILIARES DE LA INTERMEDIACIÓN</t>
        </is>
      </c>
      <c r="C102" s="29" t="n">
        <v>87401.55810843006</v>
      </c>
      <c r="D102" s="29" t="n">
        <v>11624.18237082571</v>
      </c>
      <c r="E102" s="29" t="n">
        <v>0</v>
      </c>
      <c r="F102" s="29" t="n">
        <v>0</v>
      </c>
      <c r="G102" s="29" t="n">
        <v>0</v>
      </c>
      <c r="H102" s="29" t="n">
        <v>8650.674817404337</v>
      </c>
      <c r="I102" s="29" t="n">
        <v>454.5461574098935</v>
      </c>
      <c r="J102" s="29" t="n">
        <v>44216.53695785336</v>
      </c>
      <c r="K102" s="29" t="n">
        <v>6203.627059211509</v>
      </c>
      <c r="L102" s="29" t="n">
        <v>2103.920347614636</v>
      </c>
      <c r="M102" s="29" t="n">
        <v>3935.335185397867</v>
      </c>
      <c r="N102" s="29" t="n">
        <v>9835.299973248621</v>
      </c>
      <c r="O102" s="29" t="n">
        <v>3596.21881640594</v>
      </c>
      <c r="P102" s="29" t="n">
        <v>2613.46509854494</v>
      </c>
      <c r="Q102" s="29" t="n">
        <v>61843.76144504967</v>
      </c>
      <c r="R102" s="29" t="n">
        <v>9884.638983881805</v>
      </c>
      <c r="S102" s="29" t="n">
        <v>4838.352191840963</v>
      </c>
      <c r="T102" s="29" t="n">
        <v>4439.721153977017</v>
      </c>
      <c r="U102" s="29" t="n">
        <v>3981.177782185838</v>
      </c>
      <c r="V102" s="29" t="n">
        <v>1778.133229962962</v>
      </c>
      <c r="W102" s="29" t="n">
        <v>3772.074216749411</v>
      </c>
      <c r="X102" s="29" t="n">
        <v>979.3730368393389</v>
      </c>
      <c r="Y102" s="29" t="n">
        <v>10296.37110085214</v>
      </c>
      <c r="Z102" s="29" t="n">
        <v>1685.993675958581</v>
      </c>
      <c r="AA102" s="29" t="n">
        <v>4798.010639998646</v>
      </c>
      <c r="AB102" s="29" t="n">
        <v>60.36466033419681</v>
      </c>
      <c r="AC102" s="29" t="n">
        <v>23008.30174384434</v>
      </c>
      <c r="AD102" s="29" t="n">
        <v>2384.273566810878</v>
      </c>
      <c r="AE102" s="29" t="n">
        <v>3476.939388194103</v>
      </c>
      <c r="AF102" s="29" t="n">
        <v>5196.424282343789</v>
      </c>
      <c r="AG102" s="29" t="n">
        <v>921.2167326134416</v>
      </c>
      <c r="AH102" s="29" t="n">
        <v>1498.279604204572</v>
      </c>
      <c r="AI102" s="29" t="n">
        <v>7726.720000652294</v>
      </c>
      <c r="AJ102" s="29" t="n">
        <v>6267.226180105726</v>
      </c>
      <c r="AK102" s="29" t="n">
        <v>5149.732690077995</v>
      </c>
      <c r="AL102" s="29" t="n">
        <v>5128.361288548493</v>
      </c>
      <c r="AM102" s="29" t="n">
        <v>413.7142717885724</v>
      </c>
      <c r="AN102" s="29" t="n">
        <v>4447.325236975802</v>
      </c>
      <c r="AO102" s="29" t="n">
        <v>2623.581399064725</v>
      </c>
      <c r="AP102" s="29" t="n">
        <v>1104.811114887256</v>
      </c>
      <c r="AQ102" s="29" t="n">
        <v>24667.59042772868</v>
      </c>
      <c r="AR102" s="29" t="n">
        <v>3771.354263610412</v>
      </c>
      <c r="AS102" s="29" t="n">
        <v>11633.56939685449</v>
      </c>
      <c r="AT102" s="29" t="n">
        <v>1881.843398525235</v>
      </c>
      <c r="AU102" s="29" t="n">
        <v>7614.932725051451</v>
      </c>
      <c r="AV102" s="29" t="n">
        <v>2819.545367761293</v>
      </c>
      <c r="AW102" s="29" t="n">
        <v>1143.356244725763</v>
      </c>
      <c r="AX102" s="29" t="n">
        <v>2507.205334612679</v>
      </c>
      <c r="AY102" s="29" t="n">
        <v>3390.642935468537</v>
      </c>
      <c r="AZ102" s="29" t="n">
        <v>9434.076995322941</v>
      </c>
      <c r="BA102" s="29" t="n">
        <v>5263.000235904284</v>
      </c>
      <c r="BB102" s="29" t="n">
        <v>6521.199420745022</v>
      </c>
      <c r="BC102" s="29" t="n">
        <v>3408.033556006085</v>
      </c>
      <c r="BD102" s="29" t="n">
        <v>728.8938151330685</v>
      </c>
      <c r="BE102" s="29" t="n">
        <v>2466.576126808903</v>
      </c>
      <c r="BF102" s="29" t="n">
        <v>1256.325942978072</v>
      </c>
      <c r="BG102" s="29" t="n">
        <v>1549.448617923957</v>
      </c>
      <c r="BH102" s="29" t="n">
        <v>5904.826752129693</v>
      </c>
      <c r="BI102" s="29" t="n">
        <v>965.125430890548</v>
      </c>
      <c r="BJ102" s="29" t="n">
        <v>2671.714808169607</v>
      </c>
      <c r="BK102" s="29" t="n">
        <v>2940.894549009143</v>
      </c>
      <c r="BL102" s="29" t="n">
        <v>6496.835530791044</v>
      </c>
      <c r="BM102" s="29" t="n">
        <v>1650.310648006617</v>
      </c>
      <c r="BN102" s="29" t="n">
        <v>5027.019838997476</v>
      </c>
      <c r="BO102" s="29" t="n">
        <v>3376.449374946344</v>
      </c>
      <c r="BP102" s="29" t="n">
        <v>29732.71517174663</v>
      </c>
      <c r="BQ102" s="29" t="n">
        <v>30801.43110404545</v>
      </c>
      <c r="BR102" s="29" t="n">
        <v>20230.81168622396</v>
      </c>
      <c r="BS102" s="29" t="n">
        <v>16780.24711750323</v>
      </c>
      <c r="BT102" s="29" t="n">
        <v>81549.98406777138</v>
      </c>
      <c r="BU102" s="29" t="n">
        <v>329529.1624969426</v>
      </c>
      <c r="BV102" s="29" t="n">
        <v>399227.0550299227</v>
      </c>
      <c r="BW102" s="29" t="n">
        <v>10619.57527483425</v>
      </c>
      <c r="BX102" s="29" t="n">
        <v>21114.01813583278</v>
      </c>
      <c r="BY102" s="29" t="n">
        <v>120347.3531243026</v>
      </c>
      <c r="BZ102" s="29" t="n">
        <v>1739.559960226158</v>
      </c>
      <c r="CA102" s="29" t="n">
        <v>176869.175393673</v>
      </c>
      <c r="CB102" s="29" t="n">
        <v>17383.29934643524</v>
      </c>
      <c r="CC102" s="29" t="n">
        <v>545.2999230627215</v>
      </c>
      <c r="CD102" s="29" t="n">
        <v>1943.371430137322</v>
      </c>
      <c r="CE102" s="29" t="n">
        <v>51968.60897329984</v>
      </c>
      <c r="CF102" s="29" t="n">
        <v>3364.705484012336</v>
      </c>
      <c r="CG102" s="29" t="n">
        <v>38890.69902739218</v>
      </c>
      <c r="CH102" s="29" t="n">
        <v>52556.25146419652</v>
      </c>
      <c r="CI102" s="29" t="n">
        <v>13846.15807794438</v>
      </c>
      <c r="CJ102" s="29" t="n">
        <v>543071.2625576177</v>
      </c>
      <c r="CK102" s="29" t="n">
        <v>103868.7316686642</v>
      </c>
      <c r="CL102" s="29" t="n">
        <v>5522891.944008878</v>
      </c>
      <c r="CM102" s="29" t="n">
        <v>35970.99438468664</v>
      </c>
      <c r="CN102" s="29" t="n">
        <v>0</v>
      </c>
      <c r="CO102" s="29" t="n">
        <v>0</v>
      </c>
      <c r="CP102" s="29" t="n">
        <v>116.8255475115727</v>
      </c>
      <c r="CQ102" s="29" t="n">
        <v>6460.244999898414</v>
      </c>
      <c r="CR102" s="29" t="n">
        <v>24960.66425988097</v>
      </c>
      <c r="CS102" s="29" t="n">
        <v>4207.274277960426</v>
      </c>
      <c r="CT102" s="29" t="n">
        <v>3841.704086490133</v>
      </c>
      <c r="CU102" s="29" t="n">
        <v>139906.9318391947</v>
      </c>
      <c r="CV102" s="29" t="n">
        <v>204957.0089445338</v>
      </c>
      <c r="CW102" s="29" t="n">
        <v>112970.7058197983</v>
      </c>
      <c r="CX102" s="29" t="n">
        <v>329.1541709924501</v>
      </c>
      <c r="CY102" s="29" t="n">
        <v>140886.7599664186</v>
      </c>
      <c r="CZ102" s="29" t="n">
        <v>127.759205142704</v>
      </c>
      <c r="DA102" s="29" t="n">
        <v>17840.11343125522</v>
      </c>
      <c r="DB102" s="29" t="n">
        <v>39624.10452938949</v>
      </c>
      <c r="DC102" s="29" t="n">
        <v>52617.81231955975</v>
      </c>
      <c r="DD102" s="29" t="n">
        <v>3074.223606696323</v>
      </c>
      <c r="DE102" s="29" t="n">
        <v>0</v>
      </c>
      <c r="DF102" s="29">
        <f>SUM(C102:DE102)</f>
        <v/>
      </c>
      <c r="DG102" s="29" t="n">
        <v>0</v>
      </c>
      <c r="DH102" s="29" t="n">
        <v>0</v>
      </c>
      <c r="DI102" s="29" t="n">
        <v>0</v>
      </c>
      <c r="DJ102" s="29" t="n">
        <v>0</v>
      </c>
      <c r="DK102" s="29">
        <f>SUM(DG102:DJ102)</f>
        <v/>
      </c>
      <c r="DL102" s="29">
        <f>DF102+DK102</f>
        <v/>
      </c>
    </row>
    <row r="103">
      <c r="A103" s="30" t="inlineStr">
        <is>
          <t>701 A</t>
        </is>
      </c>
      <c r="B103" s="30" t="inlineStr">
        <is>
          <t>701 A - Propiedad de la vivienda.</t>
        </is>
      </c>
      <c r="C103" s="31" t="n">
        <v>0</v>
      </c>
      <c r="D103" s="31" t="n">
        <v>0</v>
      </c>
      <c r="E103" s="31" t="n">
        <v>0</v>
      </c>
      <c r="F103" s="31" t="n">
        <v>0</v>
      </c>
      <c r="G103" s="31" t="n">
        <v>0</v>
      </c>
      <c r="H103" s="31" t="n">
        <v>0</v>
      </c>
      <c r="I103" s="31" t="n">
        <v>0</v>
      </c>
      <c r="J103" s="31" t="n">
        <v>0</v>
      </c>
      <c r="K103" s="31" t="n">
        <v>0</v>
      </c>
      <c r="L103" s="31" t="n">
        <v>0</v>
      </c>
      <c r="M103" s="31" t="n">
        <v>0</v>
      </c>
      <c r="N103" s="31" t="n">
        <v>0</v>
      </c>
      <c r="O103" s="31" t="n">
        <v>0</v>
      </c>
      <c r="P103" s="31" t="n">
        <v>0</v>
      </c>
      <c r="Q103" s="31" t="n">
        <v>0</v>
      </c>
      <c r="R103" s="31" t="n">
        <v>0</v>
      </c>
      <c r="S103" s="31" t="n">
        <v>0</v>
      </c>
      <c r="T103" s="31" t="n">
        <v>0</v>
      </c>
      <c r="U103" s="31" t="n">
        <v>0</v>
      </c>
      <c r="V103" s="31" t="n">
        <v>0</v>
      </c>
      <c r="W103" s="31" t="n">
        <v>0</v>
      </c>
      <c r="X103" s="31" t="n">
        <v>0</v>
      </c>
      <c r="Y103" s="31" t="n">
        <v>0</v>
      </c>
      <c r="Z103" s="31" t="n">
        <v>0</v>
      </c>
      <c r="AA103" s="31" t="n">
        <v>0</v>
      </c>
      <c r="AB103" s="31" t="n">
        <v>0</v>
      </c>
      <c r="AC103" s="31" t="n">
        <v>0</v>
      </c>
      <c r="AD103" s="31" t="n">
        <v>0</v>
      </c>
      <c r="AE103" s="31" t="n">
        <v>0</v>
      </c>
      <c r="AF103" s="31" t="n">
        <v>0</v>
      </c>
      <c r="AG103" s="31" t="n">
        <v>0</v>
      </c>
      <c r="AH103" s="31" t="n">
        <v>0</v>
      </c>
      <c r="AI103" s="31" t="n">
        <v>0</v>
      </c>
      <c r="AJ103" s="31" t="n">
        <v>0</v>
      </c>
      <c r="AK103" s="31" t="n">
        <v>0</v>
      </c>
      <c r="AL103" s="31" t="n">
        <v>0</v>
      </c>
      <c r="AM103" s="31" t="n">
        <v>0</v>
      </c>
      <c r="AN103" s="31" t="n">
        <v>0</v>
      </c>
      <c r="AO103" s="31" t="n">
        <v>0</v>
      </c>
      <c r="AP103" s="31" t="n">
        <v>0</v>
      </c>
      <c r="AQ103" s="31" t="n">
        <v>0</v>
      </c>
      <c r="AR103" s="31" t="n">
        <v>0</v>
      </c>
      <c r="AS103" s="31" t="n">
        <v>0</v>
      </c>
      <c r="AT103" s="31" t="n">
        <v>0</v>
      </c>
      <c r="AU103" s="31" t="n">
        <v>0</v>
      </c>
      <c r="AV103" s="31" t="n">
        <v>0</v>
      </c>
      <c r="AW103" s="31" t="n">
        <v>0</v>
      </c>
      <c r="AX103" s="31" t="n">
        <v>0</v>
      </c>
      <c r="AY103" s="31" t="n">
        <v>0</v>
      </c>
      <c r="AZ103" s="31" t="n">
        <v>0</v>
      </c>
      <c r="BA103" s="31" t="n">
        <v>0</v>
      </c>
      <c r="BB103" s="31" t="n">
        <v>0</v>
      </c>
      <c r="BC103" s="31" t="n">
        <v>0</v>
      </c>
      <c r="BD103" s="31" t="n">
        <v>0</v>
      </c>
      <c r="BE103" s="31" t="n">
        <v>0</v>
      </c>
      <c r="BF103" s="31" t="n">
        <v>0</v>
      </c>
      <c r="BG103" s="31" t="n">
        <v>0</v>
      </c>
      <c r="BH103" s="31" t="n">
        <v>0</v>
      </c>
      <c r="BI103" s="31" t="n">
        <v>0</v>
      </c>
      <c r="BJ103" s="31" t="n">
        <v>0</v>
      </c>
      <c r="BK103" s="31" t="n">
        <v>0</v>
      </c>
      <c r="BL103" s="31" t="n">
        <v>0</v>
      </c>
      <c r="BM103" s="31" t="n">
        <v>0</v>
      </c>
      <c r="BN103" s="31" t="n">
        <v>0</v>
      </c>
      <c r="BO103" s="31" t="n">
        <v>0</v>
      </c>
      <c r="BP103" s="31" t="n">
        <v>0</v>
      </c>
      <c r="BQ103" s="31" t="n">
        <v>0</v>
      </c>
      <c r="BR103" s="31" t="n">
        <v>0</v>
      </c>
      <c r="BS103" s="31" t="n">
        <v>0</v>
      </c>
      <c r="BT103" s="31" t="n">
        <v>0</v>
      </c>
      <c r="BU103" s="31" t="n">
        <v>0</v>
      </c>
      <c r="BV103" s="31" t="n">
        <v>0</v>
      </c>
      <c r="BW103" s="31" t="n">
        <v>0</v>
      </c>
      <c r="BX103" s="31" t="n">
        <v>0</v>
      </c>
      <c r="BY103" s="31" t="n">
        <v>0</v>
      </c>
      <c r="BZ103" s="31" t="n">
        <v>0</v>
      </c>
      <c r="CA103" s="31" t="n">
        <v>0</v>
      </c>
      <c r="CB103" s="31" t="n">
        <v>0</v>
      </c>
      <c r="CC103" s="31" t="n">
        <v>0</v>
      </c>
      <c r="CD103" s="31" t="n">
        <v>0</v>
      </c>
      <c r="CE103" s="31" t="n">
        <v>0</v>
      </c>
      <c r="CF103" s="31" t="n">
        <v>0</v>
      </c>
      <c r="CG103" s="31" t="n">
        <v>0</v>
      </c>
      <c r="CH103" s="31" t="n">
        <v>0</v>
      </c>
      <c r="CI103" s="31" t="n">
        <v>0</v>
      </c>
      <c r="CJ103" s="31" t="n">
        <v>0</v>
      </c>
      <c r="CK103" s="31" t="n">
        <v>0</v>
      </c>
      <c r="CL103" s="31" t="n">
        <v>0</v>
      </c>
      <c r="CM103" s="31" t="n">
        <v>0</v>
      </c>
      <c r="CN103" s="31" t="n">
        <v>0</v>
      </c>
      <c r="CO103" s="31" t="n">
        <v>0</v>
      </c>
      <c r="CP103" s="31" t="n">
        <v>0</v>
      </c>
      <c r="CQ103" s="31" t="n">
        <v>0</v>
      </c>
      <c r="CR103" s="31" t="n">
        <v>0</v>
      </c>
      <c r="CS103" s="31" t="n">
        <v>0</v>
      </c>
      <c r="CT103" s="31" t="n">
        <v>0</v>
      </c>
      <c r="CU103" s="31" t="n">
        <v>0</v>
      </c>
      <c r="CV103" s="31" t="n">
        <v>0</v>
      </c>
      <c r="CW103" s="31" t="n">
        <v>0</v>
      </c>
      <c r="CX103" s="31" t="n">
        <v>0</v>
      </c>
      <c r="CY103" s="31" t="n">
        <v>0</v>
      </c>
      <c r="CZ103" s="31" t="n">
        <v>0</v>
      </c>
      <c r="DA103" s="31" t="n">
        <v>0</v>
      </c>
      <c r="DB103" s="31" t="n">
        <v>0</v>
      </c>
      <c r="DC103" s="31" t="n">
        <v>0</v>
      </c>
      <c r="DD103" s="31" t="n">
        <v>0</v>
      </c>
      <c r="DE103" s="31" t="n">
        <v>0</v>
      </c>
      <c r="DF103" s="31">
        <f>SUM(C103:DE103)</f>
        <v/>
      </c>
      <c r="DG103" s="31" t="n">
        <v>0</v>
      </c>
      <c r="DH103" s="31" t="n">
        <v>0</v>
      </c>
      <c r="DI103" s="31" t="n">
        <v>0</v>
      </c>
      <c r="DJ103" s="31" t="n">
        <v>0</v>
      </c>
      <c r="DK103" s="31">
        <f>SUM(DG103:DJ103)</f>
        <v/>
      </c>
      <c r="DL103" s="31">
        <f>DF103+DK103</f>
        <v/>
      </c>
    </row>
    <row r="104">
      <c r="A104" s="28" t="inlineStr">
        <is>
          <t>701 B</t>
        </is>
      </c>
      <c r="B104" s="28" t="inlineStr">
        <is>
          <t>701 B - Alquiler de los sectores productores.</t>
        </is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6508.877160363294</v>
      </c>
      <c r="I104" s="29" t="n">
        <v>59.74551019890949</v>
      </c>
      <c r="J104" s="29" t="n">
        <v>22152.84000594326</v>
      </c>
      <c r="K104" s="29" t="n">
        <v>21168.4259837354</v>
      </c>
      <c r="L104" s="29" t="n">
        <v>2602.850574288996</v>
      </c>
      <c r="M104" s="29" t="n">
        <v>4300.424634818533</v>
      </c>
      <c r="N104" s="29" t="n">
        <v>7539.540974848929</v>
      </c>
      <c r="O104" s="29" t="n">
        <v>4369.131214409203</v>
      </c>
      <c r="P104" s="29" t="n">
        <v>2183.714323120206</v>
      </c>
      <c r="Q104" s="29" t="n">
        <v>7435.043193385589</v>
      </c>
      <c r="R104" s="29" t="n">
        <v>15929.77842671458</v>
      </c>
      <c r="S104" s="29" t="n">
        <v>3024.85633501983</v>
      </c>
      <c r="T104" s="29" t="n">
        <v>4958.058413299863</v>
      </c>
      <c r="U104" s="29" t="n">
        <v>20289.78454151349</v>
      </c>
      <c r="V104" s="29" t="n">
        <v>1236.494272218953</v>
      </c>
      <c r="W104" s="29" t="n">
        <v>3046.589804235097</v>
      </c>
      <c r="X104" s="29" t="n">
        <v>3245.134029411286</v>
      </c>
      <c r="Y104" s="29" t="n">
        <v>7253.3945829931</v>
      </c>
      <c r="Z104" s="29" t="n">
        <v>47.8281116863046</v>
      </c>
      <c r="AA104" s="29" t="n">
        <v>4746.346312150097</v>
      </c>
      <c r="AB104" s="29" t="n">
        <v>3090.771541191029</v>
      </c>
      <c r="AC104" s="29" t="n">
        <v>10915.19478896693</v>
      </c>
      <c r="AD104" s="29" t="n">
        <v>531.7133438683414</v>
      </c>
      <c r="AE104" s="29" t="n">
        <v>5873.121942017344</v>
      </c>
      <c r="AF104" s="29" t="n">
        <v>19553.39467686665</v>
      </c>
      <c r="AG104" s="29" t="n">
        <v>1253.606644427997</v>
      </c>
      <c r="AH104" s="29" t="n">
        <v>8406.101804767775</v>
      </c>
      <c r="AI104" s="29" t="n">
        <v>5997.066715607676</v>
      </c>
      <c r="AJ104" s="29" t="n">
        <v>12484.250793493</v>
      </c>
      <c r="AK104" s="29" t="n">
        <v>9510.800978871834</v>
      </c>
      <c r="AL104" s="29" t="n">
        <v>11051.68584329163</v>
      </c>
      <c r="AM104" s="29" t="n">
        <v>8186.687495879314</v>
      </c>
      <c r="AN104" s="29" t="n">
        <v>2729.50122570415</v>
      </c>
      <c r="AO104" s="29" t="n">
        <v>1018.585712760046</v>
      </c>
      <c r="AP104" s="29" t="n">
        <v>1547.543743853261</v>
      </c>
      <c r="AQ104" s="29" t="n">
        <v>26311.74333709347</v>
      </c>
      <c r="AR104" s="29" t="n">
        <v>2727.105053868177</v>
      </c>
      <c r="AS104" s="29" t="n">
        <v>12471.9144621974</v>
      </c>
      <c r="AT104" s="29" t="n">
        <v>1100.916759844849</v>
      </c>
      <c r="AU104" s="29" t="n">
        <v>9307.518737353181</v>
      </c>
      <c r="AV104" s="29" t="n">
        <v>3165.384638436679</v>
      </c>
      <c r="AW104" s="29" t="n">
        <v>1145.99335975774</v>
      </c>
      <c r="AX104" s="29" t="n">
        <v>3043.319525144232</v>
      </c>
      <c r="AY104" s="29" t="n">
        <v>6226.316409937677</v>
      </c>
      <c r="AZ104" s="29" t="n">
        <v>12201.090749124</v>
      </c>
      <c r="BA104" s="29" t="n">
        <v>5152.659403075803</v>
      </c>
      <c r="BB104" s="29" t="n">
        <v>5743.252212026148</v>
      </c>
      <c r="BC104" s="29" t="n">
        <v>1731.334274101281</v>
      </c>
      <c r="BD104" s="29" t="n">
        <v>765.2159756558841</v>
      </c>
      <c r="BE104" s="29" t="n">
        <v>2844.000347702646</v>
      </c>
      <c r="BF104" s="29" t="n">
        <v>955.9148213249707</v>
      </c>
      <c r="BG104" s="29" t="n">
        <v>2532.335250077239</v>
      </c>
      <c r="BH104" s="29" t="n">
        <v>8993.107835570663</v>
      </c>
      <c r="BI104" s="29" t="n">
        <v>402.4947912541513</v>
      </c>
      <c r="BJ104" s="29" t="n">
        <v>2828.486395997834</v>
      </c>
      <c r="BK104" s="29" t="n">
        <v>3273.666188652162</v>
      </c>
      <c r="BL104" s="29" t="n">
        <v>6503.976687085561</v>
      </c>
      <c r="BM104" s="29" t="n">
        <v>6781.615308020522</v>
      </c>
      <c r="BN104" s="29" t="n">
        <v>12848.75226932149</v>
      </c>
      <c r="BO104" s="29" t="n">
        <v>3909.245488954457</v>
      </c>
      <c r="BP104" s="29" t="n">
        <v>24939.8020004246</v>
      </c>
      <c r="BQ104" s="29" t="n">
        <v>13839.56859476141</v>
      </c>
      <c r="BR104" s="29" t="n">
        <v>6923.298845363006</v>
      </c>
      <c r="BS104" s="29" t="n">
        <v>0</v>
      </c>
      <c r="BT104" s="29" t="n">
        <v>107213.4995612076</v>
      </c>
      <c r="BU104" s="29" t="n">
        <v>228438.0289400321</v>
      </c>
      <c r="BV104" s="29" t="n">
        <v>2280105.70637809</v>
      </c>
      <c r="BW104" s="29" t="n">
        <v>0</v>
      </c>
      <c r="BX104" s="29" t="n">
        <v>21195.86793191321</v>
      </c>
      <c r="BY104" s="29" t="n">
        <v>498047.3678339546</v>
      </c>
      <c r="BZ104" s="29" t="n">
        <v>7356.959269950286</v>
      </c>
      <c r="CA104" s="29" t="n">
        <v>138212.277175605</v>
      </c>
      <c r="CB104" s="29" t="n">
        <v>18601.72026073084</v>
      </c>
      <c r="CC104" s="29" t="n">
        <v>614.1404734612196</v>
      </c>
      <c r="CD104" s="29" t="n">
        <v>24456.34946723984</v>
      </c>
      <c r="CE104" s="29" t="n">
        <v>215083.9200149813</v>
      </c>
      <c r="CF104" s="29" t="n">
        <v>18736.81969065367</v>
      </c>
      <c r="CG104" s="29" t="n">
        <v>34383.0989727022</v>
      </c>
      <c r="CH104" s="29" t="n">
        <v>55037.41322177181</v>
      </c>
      <c r="CI104" s="29" t="n">
        <v>39883.97542506998</v>
      </c>
      <c r="CJ104" s="29" t="n">
        <v>186085.3842248148</v>
      </c>
      <c r="CK104" s="29" t="n">
        <v>43833.89573706054</v>
      </c>
      <c r="CL104" s="29" t="n">
        <v>85425.86726032816</v>
      </c>
      <c r="CM104" s="29" t="n">
        <v>41553.86161880616</v>
      </c>
      <c r="CN104" s="29" t="n">
        <v>0</v>
      </c>
      <c r="CO104" s="29" t="n">
        <v>0</v>
      </c>
      <c r="CP104" s="29" t="n">
        <v>7360.808101124729</v>
      </c>
      <c r="CQ104" s="29" t="n">
        <v>16044.42298255964</v>
      </c>
      <c r="CR104" s="29" t="n">
        <v>46443.84675044281</v>
      </c>
      <c r="CS104" s="29" t="n">
        <v>5898.941391289836</v>
      </c>
      <c r="CT104" s="29" t="n">
        <v>5386.382192289587</v>
      </c>
      <c r="CU104" s="29" t="n">
        <v>126989.7439977118</v>
      </c>
      <c r="CV104" s="29" t="n">
        <v>287366.4286237047</v>
      </c>
      <c r="CW104" s="29" t="n">
        <v>130738.9625838329</v>
      </c>
      <c r="CX104" s="29" t="n">
        <v>42815.16808061196</v>
      </c>
      <c r="CY104" s="29" t="n">
        <v>132473.1853560644</v>
      </c>
      <c r="CZ104" s="29" t="n">
        <v>9176.796904569794</v>
      </c>
      <c r="DA104" s="29" t="n">
        <v>31645.24769369678</v>
      </c>
      <c r="DB104" s="29" t="n">
        <v>26881.34236058376</v>
      </c>
      <c r="DC104" s="29" t="n">
        <v>67849.58184451223</v>
      </c>
      <c r="DD104" s="29" t="n">
        <v>14481.12419932086</v>
      </c>
      <c r="DE104" s="29" t="n">
        <v>0</v>
      </c>
      <c r="DF104" s="29">
        <f>SUM(C104:DE104)</f>
        <v/>
      </c>
      <c r="DG104" s="29" t="n">
        <v>0</v>
      </c>
      <c r="DH104" s="29" t="n">
        <v>0</v>
      </c>
      <c r="DI104" s="29" t="n">
        <v>0</v>
      </c>
      <c r="DJ104" s="29" t="n">
        <v>0</v>
      </c>
      <c r="DK104" s="29">
        <f>SUM(DG104:DJ104)</f>
        <v/>
      </c>
      <c r="DL104" s="29">
        <f>DF104+DK104</f>
        <v/>
      </c>
    </row>
    <row r="105">
      <c r="A105" s="30" t="inlineStr">
        <is>
          <t>702</t>
        </is>
      </c>
      <c r="B105" s="30" t="inlineStr">
        <is>
          <t>Actividades inmobiliarias realizadas a cambio de una retribución o por contrata</t>
        </is>
      </c>
      <c r="C105" s="31" t="n">
        <v>12033.88620290255</v>
      </c>
      <c r="D105" s="31" t="n">
        <v>0</v>
      </c>
      <c r="E105" s="31" t="n">
        <v>0</v>
      </c>
      <c r="F105" s="31" t="n">
        <v>0</v>
      </c>
      <c r="G105" s="31" t="n">
        <v>0</v>
      </c>
      <c r="H105" s="31" t="n">
        <v>0</v>
      </c>
      <c r="I105" s="31" t="n">
        <v>0</v>
      </c>
      <c r="J105" s="31" t="n">
        <v>0</v>
      </c>
      <c r="K105" s="31" t="n">
        <v>0</v>
      </c>
      <c r="L105" s="31" t="n">
        <v>144.5350431479676</v>
      </c>
      <c r="M105" s="31" t="n">
        <v>867.9289594129477</v>
      </c>
      <c r="N105" s="31" t="n">
        <v>0</v>
      </c>
      <c r="O105" s="31" t="n">
        <v>0</v>
      </c>
      <c r="P105" s="31" t="n">
        <v>0</v>
      </c>
      <c r="Q105" s="31" t="n">
        <v>20159.46123481425</v>
      </c>
      <c r="R105" s="31" t="n">
        <v>0</v>
      </c>
      <c r="S105" s="31" t="n">
        <v>0</v>
      </c>
      <c r="T105" s="31" t="n">
        <v>0</v>
      </c>
      <c r="U105" s="31" t="n">
        <v>0</v>
      </c>
      <c r="V105" s="31" t="n">
        <v>0</v>
      </c>
      <c r="W105" s="31" t="n">
        <v>0</v>
      </c>
      <c r="X105" s="31" t="n">
        <v>0</v>
      </c>
      <c r="Y105" s="31" t="n">
        <v>0</v>
      </c>
      <c r="Z105" s="31" t="n">
        <v>0</v>
      </c>
      <c r="AA105" s="31" t="n">
        <v>0</v>
      </c>
      <c r="AB105" s="31" t="n">
        <v>0</v>
      </c>
      <c r="AC105" s="31" t="n">
        <v>0</v>
      </c>
      <c r="AD105" s="31" t="n">
        <v>0</v>
      </c>
      <c r="AE105" s="31" t="n">
        <v>0</v>
      </c>
      <c r="AF105" s="31" t="n">
        <v>0</v>
      </c>
      <c r="AG105" s="31" t="n">
        <v>0</v>
      </c>
      <c r="AH105" s="31" t="n">
        <v>0</v>
      </c>
      <c r="AI105" s="31" t="n">
        <v>0</v>
      </c>
      <c r="AJ105" s="31" t="n">
        <v>0</v>
      </c>
      <c r="AK105" s="31" t="n">
        <v>0</v>
      </c>
      <c r="AL105" s="31" t="n">
        <v>0</v>
      </c>
      <c r="AM105" s="31" t="n">
        <v>0</v>
      </c>
      <c r="AN105" s="31" t="n">
        <v>0</v>
      </c>
      <c r="AO105" s="31" t="n">
        <v>0</v>
      </c>
      <c r="AP105" s="31" t="n">
        <v>0</v>
      </c>
      <c r="AQ105" s="31" t="n">
        <v>0</v>
      </c>
      <c r="AR105" s="31" t="n">
        <v>0</v>
      </c>
      <c r="AS105" s="31" t="n">
        <v>0</v>
      </c>
      <c r="AT105" s="31" t="n">
        <v>0</v>
      </c>
      <c r="AU105" s="31" t="n">
        <v>0</v>
      </c>
      <c r="AV105" s="31" t="n">
        <v>0</v>
      </c>
      <c r="AW105" s="31" t="n">
        <v>0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0</v>
      </c>
      <c r="BF105" s="31" t="n">
        <v>0</v>
      </c>
      <c r="BG105" s="31" t="n">
        <v>0</v>
      </c>
      <c r="BH105" s="31" t="n">
        <v>0</v>
      </c>
      <c r="BI105" s="31" t="n">
        <v>0</v>
      </c>
      <c r="BJ105" s="31" t="n">
        <v>0</v>
      </c>
      <c r="BK105" s="31" t="n">
        <v>0</v>
      </c>
      <c r="BL105" s="31" t="n">
        <v>0</v>
      </c>
      <c r="BM105" s="31" t="n">
        <v>0</v>
      </c>
      <c r="BN105" s="31" t="n">
        <v>0</v>
      </c>
      <c r="BO105" s="31" t="n">
        <v>0</v>
      </c>
      <c r="BP105" s="31" t="n">
        <v>0</v>
      </c>
      <c r="BQ105" s="31" t="n">
        <v>35786.025860617</v>
      </c>
      <c r="BR105" s="31" t="n">
        <v>35786.025860617</v>
      </c>
      <c r="BS105" s="31" t="n">
        <v>0</v>
      </c>
      <c r="BT105" s="31" t="n">
        <v>0</v>
      </c>
      <c r="BU105" s="31" t="n">
        <v>119286.7528687234</v>
      </c>
      <c r="BV105" s="31" t="n">
        <v>119286.7528687234</v>
      </c>
      <c r="BW105" s="31" t="n">
        <v>0</v>
      </c>
      <c r="BX105" s="31" t="n">
        <v>0</v>
      </c>
      <c r="BY105" s="31" t="n">
        <v>0</v>
      </c>
      <c r="BZ105" s="31" t="n">
        <v>0</v>
      </c>
      <c r="CA105" s="31" t="n">
        <v>0</v>
      </c>
      <c r="CB105" s="31" t="n">
        <v>0</v>
      </c>
      <c r="CC105" s="31" t="n">
        <v>0</v>
      </c>
      <c r="CD105" s="31" t="n">
        <v>0</v>
      </c>
      <c r="CE105" s="31" t="n">
        <v>23857.35057374468</v>
      </c>
      <c r="CF105" s="31" t="n">
        <v>0</v>
      </c>
      <c r="CG105" s="31" t="n">
        <v>0</v>
      </c>
      <c r="CH105" s="31" t="n">
        <v>0</v>
      </c>
      <c r="CI105" s="31" t="n">
        <v>0</v>
      </c>
      <c r="CJ105" s="31" t="n">
        <v>0</v>
      </c>
      <c r="CK105" s="31" t="n">
        <v>2152.958034930012</v>
      </c>
      <c r="CL105" s="31" t="n">
        <v>0</v>
      </c>
      <c r="CM105" s="31" t="n">
        <v>230.4702430304353</v>
      </c>
      <c r="CN105" s="31" t="n">
        <v>304059.5912119499</v>
      </c>
      <c r="CO105" s="31" t="n">
        <v>413158.954994177</v>
      </c>
      <c r="CP105" s="31" t="n">
        <v>0</v>
      </c>
      <c r="CQ105" s="31" t="n">
        <v>0</v>
      </c>
      <c r="CR105" s="31" t="n">
        <v>714.1446137954308</v>
      </c>
      <c r="CS105" s="31" t="n">
        <v>0</v>
      </c>
      <c r="CT105" s="31" t="n">
        <v>0</v>
      </c>
      <c r="CU105" s="31" t="n">
        <v>0</v>
      </c>
      <c r="CV105" s="31" t="n">
        <v>0</v>
      </c>
      <c r="CW105" s="31" t="n">
        <v>0</v>
      </c>
      <c r="CX105" s="31" t="n">
        <v>0</v>
      </c>
      <c r="CY105" s="31" t="n">
        <v>0</v>
      </c>
      <c r="CZ105" s="31" t="n">
        <v>0</v>
      </c>
      <c r="DA105" s="31" t="n">
        <v>0</v>
      </c>
      <c r="DB105" s="31" t="n">
        <v>0</v>
      </c>
      <c r="DC105" s="31" t="n">
        <v>1920.516721186446</v>
      </c>
      <c r="DD105" s="31" t="n">
        <v>0</v>
      </c>
      <c r="DE105" s="31" t="n">
        <v>0</v>
      </c>
      <c r="DF105" s="31">
        <f>SUM(C105:DE105)</f>
        <v/>
      </c>
      <c r="DG105" s="31" t="n">
        <v>0</v>
      </c>
      <c r="DH105" s="31" t="n">
        <v>0</v>
      </c>
      <c r="DI105" s="31" t="n">
        <v>0</v>
      </c>
      <c r="DJ105" s="31" t="n">
        <v>0</v>
      </c>
      <c r="DK105" s="31">
        <f>SUM(DG105:DJ105)</f>
        <v/>
      </c>
      <c r="DL105" s="31">
        <f>DF105+DK105</f>
        <v/>
      </c>
    </row>
    <row r="106">
      <c r="A106" s="28" t="inlineStr">
        <is>
          <t>71</t>
        </is>
      </c>
      <c r="B106" s="28" t="inlineStr">
        <is>
          <t>ALQUILER DE MAQUINARIA Y EQUIPO SIN OPERARIOS Y DE EFECTOS PERSONALES Y ENSERES DOMÉSTICOS</t>
        </is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112226.338983999</v>
      </c>
      <c r="I106" s="29" t="n">
        <v>1844.206667586568</v>
      </c>
      <c r="J106" s="29" t="n">
        <v>315198.0830933645</v>
      </c>
      <c r="K106" s="29" t="n">
        <v>992096.2824445834</v>
      </c>
      <c r="L106" s="29" t="n">
        <v>166046.5944904769</v>
      </c>
      <c r="M106" s="29" t="n">
        <v>61188.69894681974</v>
      </c>
      <c r="N106" s="29" t="n">
        <v>49252.25111413538</v>
      </c>
      <c r="O106" s="29" t="n">
        <v>51062.03919619142</v>
      </c>
      <c r="P106" s="29" t="n">
        <v>22014.26599461631</v>
      </c>
      <c r="Q106" s="29" t="n">
        <v>20919.28112833678</v>
      </c>
      <c r="R106" s="29" t="n">
        <v>65142.5549955184</v>
      </c>
      <c r="S106" s="29" t="n">
        <v>9292.961849121893</v>
      </c>
      <c r="T106" s="29" t="n">
        <v>8689.071134219648</v>
      </c>
      <c r="U106" s="29" t="n">
        <v>18278.44357290853</v>
      </c>
      <c r="V106" s="29" t="n">
        <v>2515.641831267406</v>
      </c>
      <c r="W106" s="29" t="n">
        <v>4668.437578135291</v>
      </c>
      <c r="X106" s="29" t="n">
        <v>3684.667255308512</v>
      </c>
      <c r="Y106" s="29" t="n">
        <v>75178.59836929243</v>
      </c>
      <c r="Z106" s="29" t="n">
        <v>14579.15527637004</v>
      </c>
      <c r="AA106" s="29" t="n">
        <v>16256.09590076925</v>
      </c>
      <c r="AB106" s="29" t="n">
        <v>12257.53146613373</v>
      </c>
      <c r="AC106" s="29" t="n">
        <v>47603.42515495609</v>
      </c>
      <c r="AD106" s="29" t="n">
        <v>4259.339469684996</v>
      </c>
      <c r="AE106" s="29" t="n">
        <v>24676.89124525667</v>
      </c>
      <c r="AF106" s="29" t="n">
        <v>4287.550505820624</v>
      </c>
      <c r="AG106" s="29" t="n">
        <v>6509.73788447508</v>
      </c>
      <c r="AH106" s="29" t="n">
        <v>1162.539785925305</v>
      </c>
      <c r="AI106" s="29" t="n">
        <v>19583.56731331909</v>
      </c>
      <c r="AJ106" s="29" t="n">
        <v>36354.89830673929</v>
      </c>
      <c r="AK106" s="29" t="n">
        <v>20819.56665907483</v>
      </c>
      <c r="AL106" s="29" t="n">
        <v>37447.92605913808</v>
      </c>
      <c r="AM106" s="29" t="n">
        <v>86404.77613524604</v>
      </c>
      <c r="AN106" s="29" t="n">
        <v>28249.58027199818</v>
      </c>
      <c r="AO106" s="29" t="n">
        <v>9129.283843906589</v>
      </c>
      <c r="AP106" s="29" t="n">
        <v>39208.5216021135</v>
      </c>
      <c r="AQ106" s="29" t="n">
        <v>70022.87109941174</v>
      </c>
      <c r="AR106" s="29" t="n">
        <v>9023.842324953872</v>
      </c>
      <c r="AS106" s="29" t="n">
        <v>2196.839212873755</v>
      </c>
      <c r="AT106" s="29" t="n">
        <v>7731.08062960571</v>
      </c>
      <c r="AU106" s="29" t="n">
        <v>106535.8238588025</v>
      </c>
      <c r="AV106" s="29" t="n">
        <v>49889.62124410579</v>
      </c>
      <c r="AW106" s="29" t="n">
        <v>2171.218250708461</v>
      </c>
      <c r="AX106" s="29" t="n">
        <v>4025.397336882062</v>
      </c>
      <c r="AY106" s="29" t="n">
        <v>31257.87922204479</v>
      </c>
      <c r="AZ106" s="29" t="n">
        <v>22708.42305836211</v>
      </c>
      <c r="BA106" s="29" t="n">
        <v>17510.44606697394</v>
      </c>
      <c r="BB106" s="29" t="n">
        <v>94421.59802598663</v>
      </c>
      <c r="BC106" s="29" t="n">
        <v>4646.586482132531</v>
      </c>
      <c r="BD106" s="29" t="n">
        <v>305.5454179108256</v>
      </c>
      <c r="BE106" s="29" t="n">
        <v>3070.512918175552</v>
      </c>
      <c r="BF106" s="29" t="n">
        <v>1870.340550414996</v>
      </c>
      <c r="BG106" s="29" t="n">
        <v>4735.637248269594</v>
      </c>
      <c r="BH106" s="29" t="n">
        <v>27710.18355879384</v>
      </c>
      <c r="BI106" s="29" t="n">
        <v>151.3132433782319</v>
      </c>
      <c r="BJ106" s="29" t="n">
        <v>2726.411910597322</v>
      </c>
      <c r="BK106" s="29" t="n">
        <v>101856.6653710045</v>
      </c>
      <c r="BL106" s="29" t="n">
        <v>13917.27601754751</v>
      </c>
      <c r="BM106" s="29" t="n">
        <v>7766.957869171268</v>
      </c>
      <c r="BN106" s="29" t="n">
        <v>8443.035212563371</v>
      </c>
      <c r="BO106" s="29" t="n">
        <v>19828.65980729286</v>
      </c>
      <c r="BP106" s="29" t="n">
        <v>289657.3375333917</v>
      </c>
      <c r="BQ106" s="29" t="n">
        <v>108558.4653748306</v>
      </c>
      <c r="BR106" s="29" t="n">
        <v>28859.31197251894</v>
      </c>
      <c r="BS106" s="29" t="n">
        <v>1688567.102041027</v>
      </c>
      <c r="BT106" s="29" t="n">
        <v>540879.8202741442</v>
      </c>
      <c r="BU106" s="29" t="n">
        <v>782463.979894183</v>
      </c>
      <c r="BV106" s="29" t="n">
        <v>372910.3576830018</v>
      </c>
      <c r="BW106" s="29" t="n">
        <v>0</v>
      </c>
      <c r="BX106" s="29" t="n">
        <v>16327.55186312618</v>
      </c>
      <c r="BY106" s="29" t="n">
        <v>68890.7435738452</v>
      </c>
      <c r="BZ106" s="29" t="n">
        <v>11770.43710890141</v>
      </c>
      <c r="CA106" s="29" t="n">
        <v>362925.8442986836</v>
      </c>
      <c r="CB106" s="29" t="n">
        <v>0</v>
      </c>
      <c r="CC106" s="29" t="n">
        <v>11336.2251179553</v>
      </c>
      <c r="CD106" s="29" t="n">
        <v>1285914.545331484</v>
      </c>
      <c r="CE106" s="29" t="n">
        <v>364781.2595178921</v>
      </c>
      <c r="CF106" s="29" t="n">
        <v>21971.73332460481</v>
      </c>
      <c r="CG106" s="29" t="n">
        <v>415471.6039567753</v>
      </c>
      <c r="CH106" s="29" t="n">
        <v>3757332.666097047</v>
      </c>
      <c r="CI106" s="29" t="n">
        <v>124703.5432229726</v>
      </c>
      <c r="CJ106" s="29" t="n">
        <v>8414.021675534639</v>
      </c>
      <c r="CK106" s="29" t="n">
        <v>422163.017219722</v>
      </c>
      <c r="CL106" s="29" t="n">
        <v>81406.45845765922</v>
      </c>
      <c r="CM106" s="29" t="n">
        <v>47316.38262951611</v>
      </c>
      <c r="CN106" s="29" t="n">
        <v>0</v>
      </c>
      <c r="CO106" s="29" t="n">
        <v>0</v>
      </c>
      <c r="CP106" s="29" t="n">
        <v>29617.38103986876</v>
      </c>
      <c r="CQ106" s="29" t="n">
        <v>21484.54546269674</v>
      </c>
      <c r="CR106" s="29" t="n">
        <v>556282.6654382794</v>
      </c>
      <c r="CS106" s="29" t="n">
        <v>3269.511059130878</v>
      </c>
      <c r="CT106" s="29" t="n">
        <v>2985.423142599776</v>
      </c>
      <c r="CU106" s="29" t="n">
        <v>623938.8798281602</v>
      </c>
      <c r="CV106" s="29" t="n">
        <v>159273.9534241607</v>
      </c>
      <c r="CW106" s="29" t="n">
        <v>46655.99526943991</v>
      </c>
      <c r="CX106" s="29" t="n">
        <v>52301.24748132837</v>
      </c>
      <c r="CY106" s="29" t="n">
        <v>208498.0393933908</v>
      </c>
      <c r="CZ106" s="29" t="n">
        <v>6167.4933609603</v>
      </c>
      <c r="DA106" s="29" t="n">
        <v>337494.8523633463</v>
      </c>
      <c r="DB106" s="29" t="n">
        <v>29631.86373944671</v>
      </c>
      <c r="DC106" s="29" t="n">
        <v>400625.0622931619</v>
      </c>
      <c r="DD106" s="29" t="n">
        <v>0</v>
      </c>
      <c r="DE106" s="29" t="n">
        <v>0</v>
      </c>
      <c r="DF106" s="29">
        <f>SUM(C106:DE106)</f>
        <v/>
      </c>
      <c r="DG106" s="29" t="n">
        <v>0</v>
      </c>
      <c r="DH106" s="29" t="n">
        <v>0</v>
      </c>
      <c r="DI106" s="29" t="n">
        <v>0</v>
      </c>
      <c r="DJ106" s="29" t="n">
        <v>0</v>
      </c>
      <c r="DK106" s="29">
        <f>SUM(DG106:DJ106)</f>
        <v/>
      </c>
      <c r="DL106" s="29">
        <f>DF106+DK106</f>
        <v/>
      </c>
    </row>
    <row r="107">
      <c r="A107" s="30" t="inlineStr">
        <is>
          <t>72</t>
        </is>
      </c>
      <c r="B107" s="30" t="inlineStr">
        <is>
          <t>Informática y actividades conexas</t>
        </is>
      </c>
      <c r="C107" s="31" t="n">
        <v>1274181.23244689</v>
      </c>
      <c r="D107" s="31" t="n">
        <v>108379.3978612872</v>
      </c>
      <c r="E107" s="31" t="n">
        <v>4516.541217854957</v>
      </c>
      <c r="F107" s="31" t="n">
        <v>0</v>
      </c>
      <c r="G107" s="31" t="n">
        <v>35351.41823405132</v>
      </c>
      <c r="H107" s="31" t="n">
        <v>82523.25861142302</v>
      </c>
      <c r="I107" s="31" t="n">
        <v>2048.7989488733</v>
      </c>
      <c r="J107" s="31" t="n">
        <v>280059.0159335188</v>
      </c>
      <c r="K107" s="31" t="n">
        <v>565820.0900643049</v>
      </c>
      <c r="L107" s="31" t="n">
        <v>47601.50901593254</v>
      </c>
      <c r="M107" s="31" t="n">
        <v>39065.86383431584</v>
      </c>
      <c r="N107" s="31" t="n">
        <v>37133.64883507383</v>
      </c>
      <c r="O107" s="31" t="n">
        <v>25670.27730753089</v>
      </c>
      <c r="P107" s="31" t="n">
        <v>52851.63290759417</v>
      </c>
      <c r="Q107" s="31" t="n">
        <v>231961.845985887</v>
      </c>
      <c r="R107" s="31" t="n">
        <v>271734.5693654367</v>
      </c>
      <c r="S107" s="31" t="n">
        <v>26878.32904903421</v>
      </c>
      <c r="T107" s="31" t="n">
        <v>473434.7831897098</v>
      </c>
      <c r="U107" s="31" t="n">
        <v>231491.0768146912</v>
      </c>
      <c r="V107" s="31" t="n">
        <v>30807.6262249347</v>
      </c>
      <c r="W107" s="31" t="n">
        <v>82670.33631135699</v>
      </c>
      <c r="X107" s="31" t="n">
        <v>13845.69876924247</v>
      </c>
      <c r="Y107" s="31" t="n">
        <v>107400.4182552715</v>
      </c>
      <c r="Z107" s="31" t="n">
        <v>77009.54518867494</v>
      </c>
      <c r="AA107" s="31" t="n">
        <v>48964.98800563789</v>
      </c>
      <c r="AB107" s="31" t="n">
        <v>119362.8808761275</v>
      </c>
      <c r="AC107" s="31" t="n">
        <v>221850.9143321141</v>
      </c>
      <c r="AD107" s="31" t="n">
        <v>1026160.66539069</v>
      </c>
      <c r="AE107" s="31" t="n">
        <v>52029.36014154337</v>
      </c>
      <c r="AF107" s="31" t="n">
        <v>73419.06794411073</v>
      </c>
      <c r="AG107" s="31" t="n">
        <v>17824.45393310621</v>
      </c>
      <c r="AH107" s="31" t="n">
        <v>43905.88293818767</v>
      </c>
      <c r="AI107" s="31" t="n">
        <v>23230.91398636694</v>
      </c>
      <c r="AJ107" s="31" t="n">
        <v>276212.8918017134</v>
      </c>
      <c r="AK107" s="31" t="n">
        <v>821907.6302947045</v>
      </c>
      <c r="AL107" s="31" t="n">
        <v>33236.20340958233</v>
      </c>
      <c r="AM107" s="31" t="n">
        <v>181991.0988620001</v>
      </c>
      <c r="AN107" s="31" t="n">
        <v>197997.8371092437</v>
      </c>
      <c r="AO107" s="31" t="n">
        <v>82271.70633940493</v>
      </c>
      <c r="AP107" s="31" t="n">
        <v>375343.3787088169</v>
      </c>
      <c r="AQ107" s="31" t="n">
        <v>821283.9914658936</v>
      </c>
      <c r="AR107" s="31" t="n">
        <v>286105.7605836497</v>
      </c>
      <c r="AS107" s="31" t="n">
        <v>210578.93576119</v>
      </c>
      <c r="AT107" s="31" t="n">
        <v>57891.78612114943</v>
      </c>
      <c r="AU107" s="31" t="n">
        <v>66232.36288305761</v>
      </c>
      <c r="AV107" s="31" t="n">
        <v>214835.0190406673</v>
      </c>
      <c r="AW107" s="31" t="n">
        <v>13294.16403851081</v>
      </c>
      <c r="AX107" s="31" t="n">
        <v>24265.42564464592</v>
      </c>
      <c r="AY107" s="31" t="n">
        <v>39655.25642584318</v>
      </c>
      <c r="AZ107" s="31" t="n">
        <v>87432.60288150351</v>
      </c>
      <c r="BA107" s="31" t="n">
        <v>43206.01725673026</v>
      </c>
      <c r="BB107" s="31" t="n">
        <v>43793.40126074541</v>
      </c>
      <c r="BC107" s="31" t="n">
        <v>54167.14935698563</v>
      </c>
      <c r="BD107" s="31" t="n">
        <v>1752.702903326073</v>
      </c>
      <c r="BE107" s="31" t="n">
        <v>45385.65536435491</v>
      </c>
      <c r="BF107" s="31" t="n">
        <v>52831.34235443635</v>
      </c>
      <c r="BG107" s="31" t="n">
        <v>6850.284309231741</v>
      </c>
      <c r="BH107" s="31" t="n">
        <v>39982.46860066153</v>
      </c>
      <c r="BI107" s="31" t="n">
        <v>2225.409089633332</v>
      </c>
      <c r="BJ107" s="31" t="n">
        <v>42531.19965368908</v>
      </c>
      <c r="BK107" s="31" t="n">
        <v>1270322.922560328</v>
      </c>
      <c r="BL107" s="31" t="n">
        <v>118941.5317210669</v>
      </c>
      <c r="BM107" s="31" t="n">
        <v>43864.43980455564</v>
      </c>
      <c r="BN107" s="31" t="n">
        <v>47080.99585708831</v>
      </c>
      <c r="BO107" s="31" t="n">
        <v>12835.17349351314</v>
      </c>
      <c r="BP107" s="31" t="n">
        <v>155904.1186833442</v>
      </c>
      <c r="BQ107" s="31" t="n">
        <v>37554.53536341932</v>
      </c>
      <c r="BR107" s="31" t="n">
        <v>50201.00456095714</v>
      </c>
      <c r="BS107" s="31" t="n">
        <v>367.6709636828945</v>
      </c>
      <c r="BT107" s="31" t="n">
        <v>1566042.722163021</v>
      </c>
      <c r="BU107" s="31" t="n">
        <v>3179963.209756934</v>
      </c>
      <c r="BV107" s="31" t="n">
        <v>6420947.498833392</v>
      </c>
      <c r="BW107" s="31" t="n">
        <v>28961.96369090539</v>
      </c>
      <c r="BX107" s="31" t="n">
        <v>407450.8877314401</v>
      </c>
      <c r="BY107" s="31" t="n">
        <v>1627198.985179192</v>
      </c>
      <c r="BZ107" s="31" t="n">
        <v>24054.92046109565</v>
      </c>
      <c r="CA107" s="31" t="n">
        <v>912277.2685217395</v>
      </c>
      <c r="CB107" s="31" t="n">
        <v>64783.38643407608</v>
      </c>
      <c r="CC107" s="31" t="n">
        <v>909.9659537782042</v>
      </c>
      <c r="CD107" s="31" t="n">
        <v>119734.8645290298</v>
      </c>
      <c r="CE107" s="31" t="n">
        <v>528501.9202384774</v>
      </c>
      <c r="CF107" s="31" t="n">
        <v>12861.81881455782</v>
      </c>
      <c r="CG107" s="31" t="n">
        <v>5011629.123847931</v>
      </c>
      <c r="CH107" s="31" t="n">
        <v>4884168.917945175</v>
      </c>
      <c r="CI107" s="31" t="n">
        <v>2075145.318116658</v>
      </c>
      <c r="CJ107" s="31" t="n">
        <v>4593149.098988135</v>
      </c>
      <c r="CK107" s="31" t="n">
        <v>836237.9832543288</v>
      </c>
      <c r="CL107" s="31" t="n">
        <v>364045.1104015175</v>
      </c>
      <c r="CM107" s="31" t="n">
        <v>234239.8574374059</v>
      </c>
      <c r="CN107" s="31" t="n">
        <v>0</v>
      </c>
      <c r="CO107" s="31" t="n">
        <v>0</v>
      </c>
      <c r="CP107" s="31" t="n">
        <v>138879.6771190013</v>
      </c>
      <c r="CQ107" s="31" t="n">
        <v>90837.38002494953</v>
      </c>
      <c r="CR107" s="31" t="n">
        <v>7483662.936313934</v>
      </c>
      <c r="CS107" s="31" t="n">
        <v>54036.37119621148</v>
      </c>
      <c r="CT107" s="31" t="n">
        <v>49341.14924026755</v>
      </c>
      <c r="CU107" s="31" t="n">
        <v>4641517.51292689</v>
      </c>
      <c r="CV107" s="31" t="n">
        <v>2976095.308500588</v>
      </c>
      <c r="CW107" s="31" t="n">
        <v>157018.1762317574</v>
      </c>
      <c r="CX107" s="31" t="n">
        <v>366227.4337006442</v>
      </c>
      <c r="CY107" s="31" t="n">
        <v>433085.5521875093</v>
      </c>
      <c r="CZ107" s="31" t="n">
        <v>31165.31083059512</v>
      </c>
      <c r="DA107" s="31" t="n">
        <v>70418.0629828323</v>
      </c>
      <c r="DB107" s="31" t="n">
        <v>347439.0924997615</v>
      </c>
      <c r="DC107" s="31" t="n">
        <v>5904335.643601142</v>
      </c>
      <c r="DD107" s="31" t="n">
        <v>56011.28337610634</v>
      </c>
      <c r="DE107" s="31" t="n">
        <v>0</v>
      </c>
      <c r="DF107" s="31">
        <f>SUM(C107:DE107)</f>
        <v/>
      </c>
      <c r="DG107" s="31" t="n">
        <v>0</v>
      </c>
      <c r="DH107" s="31" t="n">
        <v>0</v>
      </c>
      <c r="DI107" s="31" t="n">
        <v>0</v>
      </c>
      <c r="DJ107" s="31" t="n">
        <v>0</v>
      </c>
      <c r="DK107" s="31">
        <f>SUM(DG107:DJ107)</f>
        <v/>
      </c>
      <c r="DL107" s="31">
        <f>DF107+DK107</f>
        <v/>
      </c>
    </row>
    <row r="108">
      <c r="A108" s="28" t="inlineStr">
        <is>
          <t>73 PR</t>
        </is>
      </c>
      <c r="B108" s="28" t="inlineStr">
        <is>
          <t>Servicios de Investigación y Desarrollo - PRIVADO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122.9356974462341</v>
      </c>
      <c r="I108" s="29" t="n">
        <v>0</v>
      </c>
      <c r="J108" s="29" t="n">
        <v>25327.85796682759</v>
      </c>
      <c r="K108" s="29" t="n">
        <v>117015.1215495207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3141.104266554134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 t="n">
        <v>0</v>
      </c>
      <c r="CU108" s="29" t="n">
        <v>0</v>
      </c>
      <c r="CV108" s="29" t="n">
        <v>0</v>
      </c>
      <c r="CW108" s="29" t="n">
        <v>0</v>
      </c>
      <c r="CX108" s="29" t="n">
        <v>0</v>
      </c>
      <c r="CY108" s="29" t="n">
        <v>265356.3451128727</v>
      </c>
      <c r="CZ108" s="29" t="n">
        <v>0</v>
      </c>
      <c r="DA108" s="29" t="n">
        <v>0</v>
      </c>
      <c r="DB108" s="29" t="n">
        <v>82451.15959154595</v>
      </c>
      <c r="DC108" s="29" t="n">
        <v>0</v>
      </c>
      <c r="DD108" s="29" t="n">
        <v>0</v>
      </c>
      <c r="DE108" s="29" t="n">
        <v>0</v>
      </c>
      <c r="DF108" s="29">
        <f>SUM(C108:DE108)</f>
        <v/>
      </c>
      <c r="DG108" s="29" t="n">
        <v>0</v>
      </c>
      <c r="DH108" s="29" t="n">
        <v>0</v>
      </c>
      <c r="DI108" s="29" t="n">
        <v>0</v>
      </c>
      <c r="DJ108" s="29" t="n">
        <v>0</v>
      </c>
      <c r="DK108" s="29">
        <f>SUM(DG108:DJ108)</f>
        <v/>
      </c>
      <c r="DL108" s="29">
        <f>DF108+DK108</f>
        <v/>
      </c>
    </row>
    <row r="109">
      <c r="A109" s="30" t="inlineStr">
        <is>
          <t>73 PU</t>
        </is>
      </c>
      <c r="B109" s="30" t="inlineStr">
        <is>
          <t>Servicios de Investigación y Desarrollo - PUBLICO</t>
        </is>
      </c>
      <c r="C109" s="31" t="n">
        <v>0</v>
      </c>
      <c r="D109" s="31" t="n">
        <v>0</v>
      </c>
      <c r="E109" s="31" t="n">
        <v>0</v>
      </c>
      <c r="F109" s="31" t="n">
        <v>0</v>
      </c>
      <c r="G109" s="31" t="n">
        <v>0</v>
      </c>
      <c r="H109" s="31" t="n">
        <v>0</v>
      </c>
      <c r="I109" s="31" t="n">
        <v>0</v>
      </c>
      <c r="J109" s="31" t="n">
        <v>0</v>
      </c>
      <c r="K109" s="31" t="n">
        <v>0</v>
      </c>
      <c r="L109" s="31" t="n">
        <v>0</v>
      </c>
      <c r="M109" s="31" t="n">
        <v>0</v>
      </c>
      <c r="N109" s="31" t="n">
        <v>0</v>
      </c>
      <c r="O109" s="31" t="n">
        <v>0</v>
      </c>
      <c r="P109" s="31" t="n">
        <v>0</v>
      </c>
      <c r="Q109" s="31" t="n">
        <v>0</v>
      </c>
      <c r="R109" s="31" t="n">
        <v>0</v>
      </c>
      <c r="S109" s="31" t="n">
        <v>0</v>
      </c>
      <c r="T109" s="31" t="n">
        <v>0</v>
      </c>
      <c r="U109" s="31" t="n">
        <v>0</v>
      </c>
      <c r="V109" s="31" t="n">
        <v>0</v>
      </c>
      <c r="W109" s="31" t="n">
        <v>0</v>
      </c>
      <c r="X109" s="31" t="n">
        <v>0</v>
      </c>
      <c r="Y109" s="31" t="n">
        <v>0</v>
      </c>
      <c r="Z109" s="31" t="n">
        <v>0</v>
      </c>
      <c r="AA109" s="31" t="n">
        <v>0</v>
      </c>
      <c r="AB109" s="31" t="n">
        <v>0</v>
      </c>
      <c r="AC109" s="31" t="n">
        <v>0</v>
      </c>
      <c r="AD109" s="31" t="n">
        <v>0</v>
      </c>
      <c r="AE109" s="31" t="n">
        <v>0</v>
      </c>
      <c r="AF109" s="31" t="n">
        <v>0</v>
      </c>
      <c r="AG109" s="31" t="n">
        <v>0</v>
      </c>
      <c r="AH109" s="31" t="n">
        <v>0</v>
      </c>
      <c r="AI109" s="31" t="n">
        <v>0</v>
      </c>
      <c r="AJ109" s="31" t="n">
        <v>0</v>
      </c>
      <c r="AK109" s="31" t="n">
        <v>0</v>
      </c>
      <c r="AL109" s="31" t="n">
        <v>0</v>
      </c>
      <c r="AM109" s="31" t="n">
        <v>0</v>
      </c>
      <c r="AN109" s="31" t="n">
        <v>0</v>
      </c>
      <c r="AO109" s="31" t="n">
        <v>0</v>
      </c>
      <c r="AP109" s="31" t="n">
        <v>0</v>
      </c>
      <c r="AQ109" s="31" t="n">
        <v>0</v>
      </c>
      <c r="AR109" s="31" t="n">
        <v>0</v>
      </c>
      <c r="AS109" s="31" t="n">
        <v>0</v>
      </c>
      <c r="AT109" s="31" t="n">
        <v>0</v>
      </c>
      <c r="AU109" s="31" t="n">
        <v>0</v>
      </c>
      <c r="AV109" s="31" t="n">
        <v>0</v>
      </c>
      <c r="AW109" s="31" t="n">
        <v>0</v>
      </c>
      <c r="AX109" s="31" t="n">
        <v>0</v>
      </c>
      <c r="AY109" s="31" t="n">
        <v>0</v>
      </c>
      <c r="AZ109" s="31" t="n">
        <v>0</v>
      </c>
      <c r="BA109" s="31" t="n">
        <v>0</v>
      </c>
      <c r="BB109" s="31" t="n">
        <v>0</v>
      </c>
      <c r="BC109" s="31" t="n">
        <v>0</v>
      </c>
      <c r="BD109" s="31" t="n">
        <v>0</v>
      </c>
      <c r="BE109" s="31" t="n">
        <v>0</v>
      </c>
      <c r="BF109" s="31" t="n">
        <v>0</v>
      </c>
      <c r="BG109" s="31" t="n">
        <v>0</v>
      </c>
      <c r="BH109" s="31" t="n">
        <v>0</v>
      </c>
      <c r="BI109" s="31" t="n">
        <v>0</v>
      </c>
      <c r="BJ109" s="31" t="n">
        <v>0</v>
      </c>
      <c r="BK109" s="31" t="n">
        <v>0</v>
      </c>
      <c r="BL109" s="31" t="n">
        <v>0</v>
      </c>
      <c r="BM109" s="31" t="n">
        <v>0</v>
      </c>
      <c r="BN109" s="31" t="n">
        <v>0</v>
      </c>
      <c r="BO109" s="31" t="n">
        <v>0</v>
      </c>
      <c r="BP109" s="31" t="n">
        <v>0</v>
      </c>
      <c r="BQ109" s="31" t="n">
        <v>0</v>
      </c>
      <c r="BR109" s="31" t="n">
        <v>0</v>
      </c>
      <c r="BS109" s="31" t="n">
        <v>0</v>
      </c>
      <c r="BT109" s="31" t="n">
        <v>0</v>
      </c>
      <c r="BU109" s="31" t="n">
        <v>0</v>
      </c>
      <c r="BV109" s="31" t="n">
        <v>0</v>
      </c>
      <c r="BW109" s="31" t="n">
        <v>0</v>
      </c>
      <c r="BX109" s="31" t="n">
        <v>0</v>
      </c>
      <c r="BY109" s="31" t="n">
        <v>0</v>
      </c>
      <c r="BZ109" s="31" t="n">
        <v>0</v>
      </c>
      <c r="CA109" s="31" t="n">
        <v>0</v>
      </c>
      <c r="CB109" s="31" t="n">
        <v>0</v>
      </c>
      <c r="CC109" s="31" t="n">
        <v>0</v>
      </c>
      <c r="CD109" s="31" t="n">
        <v>0</v>
      </c>
      <c r="CE109" s="31" t="n">
        <v>0</v>
      </c>
      <c r="CF109" s="31" t="n">
        <v>0</v>
      </c>
      <c r="CG109" s="31" t="n">
        <v>0</v>
      </c>
      <c r="CH109" s="31" t="n">
        <v>0</v>
      </c>
      <c r="CI109" s="31" t="n">
        <v>0</v>
      </c>
      <c r="CJ109" s="31" t="n">
        <v>0</v>
      </c>
      <c r="CK109" s="31" t="n">
        <v>0</v>
      </c>
      <c r="CL109" s="31" t="n">
        <v>0</v>
      </c>
      <c r="CM109" s="31" t="n">
        <v>0</v>
      </c>
      <c r="CN109" s="31" t="n">
        <v>0</v>
      </c>
      <c r="CO109" s="31" t="n">
        <v>0</v>
      </c>
      <c r="CP109" s="31" t="n">
        <v>0</v>
      </c>
      <c r="CQ109" s="31" t="n">
        <v>0</v>
      </c>
      <c r="CR109" s="31" t="n">
        <v>0</v>
      </c>
      <c r="CS109" s="31" t="n">
        <v>0</v>
      </c>
      <c r="CT109" s="31" t="n">
        <v>0</v>
      </c>
      <c r="CU109" s="31" t="n">
        <v>0</v>
      </c>
      <c r="CV109" s="31" t="n">
        <v>0</v>
      </c>
      <c r="CW109" s="31" t="n">
        <v>0</v>
      </c>
      <c r="CX109" s="31" t="n">
        <v>0</v>
      </c>
      <c r="CY109" s="31" t="n">
        <v>0</v>
      </c>
      <c r="CZ109" s="31" t="n">
        <v>0</v>
      </c>
      <c r="DA109" s="31" t="n">
        <v>0</v>
      </c>
      <c r="DB109" s="31" t="n">
        <v>0</v>
      </c>
      <c r="DC109" s="31" t="n">
        <v>0</v>
      </c>
      <c r="DD109" s="31" t="n">
        <v>0</v>
      </c>
      <c r="DE109" s="31" t="n">
        <v>0</v>
      </c>
      <c r="DF109" s="31">
        <f>SUM(C109:DE109)</f>
        <v/>
      </c>
      <c r="DG109" s="31" t="n">
        <v>0</v>
      </c>
      <c r="DH109" s="31" t="n">
        <v>0</v>
      </c>
      <c r="DI109" s="31" t="n">
        <v>0</v>
      </c>
      <c r="DJ109" s="31" t="n">
        <v>0</v>
      </c>
      <c r="DK109" s="31">
        <f>SUM(DG109:DJ109)</f>
        <v/>
      </c>
      <c r="DL109" s="31">
        <f>DF109+DK109</f>
        <v/>
      </c>
    </row>
    <row r="110">
      <c r="A110" s="28" t="inlineStr">
        <is>
          <t>74</t>
        </is>
      </c>
      <c r="B110" s="28" t="inlineStr">
        <is>
          <t>OTRAS ACTIVIDADES EMPRESARIALES</t>
        </is>
      </c>
      <c r="C110" s="29" t="n">
        <v>654957.5151897306</v>
      </c>
      <c r="D110" s="29" t="n">
        <v>129593.3071021838</v>
      </c>
      <c r="E110" s="29" t="n">
        <v>0</v>
      </c>
      <c r="F110" s="29" t="n">
        <v>0</v>
      </c>
      <c r="G110" s="29" t="n">
        <v>0</v>
      </c>
      <c r="H110" s="29" t="n">
        <v>56106.1565654199</v>
      </c>
      <c r="I110" s="29" t="n">
        <v>3316.104069593469</v>
      </c>
      <c r="J110" s="29" t="n">
        <v>788814.8829829782</v>
      </c>
      <c r="K110" s="29" t="n">
        <v>646006.5928054031</v>
      </c>
      <c r="L110" s="29" t="n">
        <v>206502.829542231</v>
      </c>
      <c r="M110" s="29" t="n">
        <v>73044.35901229936</v>
      </c>
      <c r="N110" s="29" t="n">
        <v>187591.6547167042</v>
      </c>
      <c r="O110" s="29" t="n">
        <v>109649.5649891018</v>
      </c>
      <c r="P110" s="29" t="n">
        <v>49631.81819728645</v>
      </c>
      <c r="Q110" s="29" t="n">
        <v>243679.1091674322</v>
      </c>
      <c r="R110" s="29" t="n">
        <v>160866.3451800816</v>
      </c>
      <c r="S110" s="29" t="n">
        <v>88905.15787578684</v>
      </c>
      <c r="T110" s="29" t="n">
        <v>62851.6737690252</v>
      </c>
      <c r="U110" s="29" t="n">
        <v>282791.252066576</v>
      </c>
      <c r="V110" s="29" t="n">
        <v>31642.75204281947</v>
      </c>
      <c r="W110" s="29" t="n">
        <v>82387.94950264975</v>
      </c>
      <c r="X110" s="29" t="n">
        <v>33243.89691568215</v>
      </c>
      <c r="Y110" s="29" t="n">
        <v>347301.6167648735</v>
      </c>
      <c r="Z110" s="29" t="n">
        <v>94197.24559215755</v>
      </c>
      <c r="AA110" s="29" t="n">
        <v>97648.75307332861</v>
      </c>
      <c r="AB110" s="29" t="n">
        <v>123734.0579186895</v>
      </c>
      <c r="AC110" s="29" t="n">
        <v>254404.9077323373</v>
      </c>
      <c r="AD110" s="29" t="n">
        <v>106564.893402894</v>
      </c>
      <c r="AE110" s="29" t="n">
        <v>98432.86141265812</v>
      </c>
      <c r="AF110" s="29" t="n">
        <v>82380.87129149017</v>
      </c>
      <c r="AG110" s="29" t="n">
        <v>24144.34042547347</v>
      </c>
      <c r="AH110" s="29" t="n">
        <v>44087.4390609874</v>
      </c>
      <c r="AI110" s="29" t="n">
        <v>85655.60882836138</v>
      </c>
      <c r="AJ110" s="29" t="n">
        <v>119173.922953558</v>
      </c>
      <c r="AK110" s="29" t="n">
        <v>192433.5573475473</v>
      </c>
      <c r="AL110" s="29" t="n">
        <v>134070.2736757313</v>
      </c>
      <c r="AM110" s="29" t="n">
        <v>200484.9418915782</v>
      </c>
      <c r="AN110" s="29" t="n">
        <v>152208.7648088547</v>
      </c>
      <c r="AO110" s="29" t="n">
        <v>41821.39110485526</v>
      </c>
      <c r="AP110" s="29" t="n">
        <v>89621.43342147626</v>
      </c>
      <c r="AQ110" s="29" t="n">
        <v>885093.8879454839</v>
      </c>
      <c r="AR110" s="29" t="n">
        <v>85416.45420115419</v>
      </c>
      <c r="AS110" s="29" t="n">
        <v>185228.8136490274</v>
      </c>
      <c r="AT110" s="29" t="n">
        <v>29897.44026233615</v>
      </c>
      <c r="AU110" s="29" t="n">
        <v>148579.6169912208</v>
      </c>
      <c r="AV110" s="29" t="n">
        <v>302328.4789227281</v>
      </c>
      <c r="AW110" s="29" t="n">
        <v>52648.37063436671</v>
      </c>
      <c r="AX110" s="29" t="n">
        <v>62191.77923717268</v>
      </c>
      <c r="AY110" s="29" t="n">
        <v>63563.3233767109</v>
      </c>
      <c r="AZ110" s="29" t="n">
        <v>174843.3713976829</v>
      </c>
      <c r="BA110" s="29" t="n">
        <v>77764.09223189068</v>
      </c>
      <c r="BB110" s="29" t="n">
        <v>146099.2885799429</v>
      </c>
      <c r="BC110" s="29" t="n">
        <v>45801.02681800355</v>
      </c>
      <c r="BD110" s="29" t="n">
        <v>4602.43560398238</v>
      </c>
      <c r="BE110" s="29" t="n">
        <v>37892.89284175724</v>
      </c>
      <c r="BF110" s="29" t="n">
        <v>25605.21646431393</v>
      </c>
      <c r="BG110" s="29" t="n">
        <v>34388.979211768</v>
      </c>
      <c r="BH110" s="29" t="n">
        <v>280434.8369414571</v>
      </c>
      <c r="BI110" s="29" t="n">
        <v>12621.20395195335</v>
      </c>
      <c r="BJ110" s="29" t="n">
        <v>39030.04990512775</v>
      </c>
      <c r="BK110" s="29" t="n">
        <v>239016.9139103208</v>
      </c>
      <c r="BL110" s="29" t="n">
        <v>122574.503086068</v>
      </c>
      <c r="BM110" s="29" t="n">
        <v>48901.3121513956</v>
      </c>
      <c r="BN110" s="29" t="n">
        <v>98269.31896620395</v>
      </c>
      <c r="BO110" s="29" t="n">
        <v>49330.64870781878</v>
      </c>
      <c r="BP110" s="29" t="n">
        <v>803313.7776396996</v>
      </c>
      <c r="BQ110" s="29" t="n">
        <v>346827.8844239289</v>
      </c>
      <c r="BR110" s="29" t="n">
        <v>100944.1076397626</v>
      </c>
      <c r="BS110" s="29" t="n">
        <v>414034.4789957069</v>
      </c>
      <c r="BT110" s="29" t="n">
        <v>1038496.343798432</v>
      </c>
      <c r="BU110" s="29" t="n">
        <v>3115081.456433055</v>
      </c>
      <c r="BV110" s="29" t="n">
        <v>5706663.024457552</v>
      </c>
      <c r="BW110" s="29" t="n">
        <v>21519.90925687788</v>
      </c>
      <c r="BX110" s="29" t="n">
        <v>183865.4380208334</v>
      </c>
      <c r="BY110" s="29" t="n">
        <v>2421631.853998733</v>
      </c>
      <c r="BZ110" s="29" t="n">
        <v>47988.43973101347</v>
      </c>
      <c r="CA110" s="29" t="n">
        <v>1036125.396289566</v>
      </c>
      <c r="CB110" s="29" t="n">
        <v>13047.16133894547</v>
      </c>
      <c r="CC110" s="29" t="n">
        <v>3560.521080410386</v>
      </c>
      <c r="CD110" s="29" t="n">
        <v>284060.1307428868</v>
      </c>
      <c r="CE110" s="29" t="n">
        <v>396594.3935855245</v>
      </c>
      <c r="CF110" s="29" t="n">
        <v>132000.9784667534</v>
      </c>
      <c r="CG110" s="29" t="n">
        <v>1011592.115154003</v>
      </c>
      <c r="CH110" s="29" t="n">
        <v>1531727.571513949</v>
      </c>
      <c r="CI110" s="29" t="n">
        <v>280638.690172967</v>
      </c>
      <c r="CJ110" s="29" t="n">
        <v>1938316.607534482</v>
      </c>
      <c r="CK110" s="29" t="n">
        <v>436997.360856024</v>
      </c>
      <c r="CL110" s="29" t="n">
        <v>1393321.130642649</v>
      </c>
      <c r="CM110" s="29" t="n">
        <v>267982.7784534412</v>
      </c>
      <c r="CN110" s="29" t="n">
        <v>43069.13031363195</v>
      </c>
      <c r="CO110" s="29" t="n">
        <v>19345.16937841977</v>
      </c>
      <c r="CP110" s="29" t="n">
        <v>249104.1219320317</v>
      </c>
      <c r="CQ110" s="29" t="n">
        <v>101803.7438265291</v>
      </c>
      <c r="CR110" s="29" t="n">
        <v>2273345.682572812</v>
      </c>
      <c r="CS110" s="29" t="n">
        <v>24974.76495978914</v>
      </c>
      <c r="CT110" s="29" t="n">
        <v>22804.70686395668</v>
      </c>
      <c r="CU110" s="29" t="n">
        <v>5139860.452998639</v>
      </c>
      <c r="CV110" s="29" t="n">
        <v>1216643.55282598</v>
      </c>
      <c r="CW110" s="29" t="n">
        <v>1154367.486408784</v>
      </c>
      <c r="CX110" s="29" t="n">
        <v>130298.7346013991</v>
      </c>
      <c r="CY110" s="29" t="n">
        <v>2524965.319814659</v>
      </c>
      <c r="CZ110" s="29" t="n">
        <v>478928.6019627515</v>
      </c>
      <c r="DA110" s="29" t="n">
        <v>304757.4830512758</v>
      </c>
      <c r="DB110" s="29" t="n">
        <v>1485361.424503138</v>
      </c>
      <c r="DC110" s="29" t="n">
        <v>1014311.097697827</v>
      </c>
      <c r="DD110" s="29" t="n">
        <v>85022.21159797594</v>
      </c>
      <c r="DE110" s="29" t="n">
        <v>0</v>
      </c>
      <c r="DF110" s="29">
        <f>SUM(C110:DE110)</f>
        <v/>
      </c>
      <c r="DG110" s="29" t="n">
        <v>0</v>
      </c>
      <c r="DH110" s="29" t="n">
        <v>0</v>
      </c>
      <c r="DI110" s="29" t="n">
        <v>0</v>
      </c>
      <c r="DJ110" s="29" t="n">
        <v>0</v>
      </c>
      <c r="DK110" s="29">
        <f>SUM(DG110:DJ110)</f>
        <v/>
      </c>
      <c r="DL110" s="29">
        <f>DF110+DK110</f>
        <v/>
      </c>
    </row>
    <row r="111">
      <c r="A111" s="30" t="inlineStr">
        <is>
          <t>75</t>
        </is>
      </c>
      <c r="B111" s="30" t="inlineStr">
        <is>
          <t>Administración Pública y Defensa; Planes de Seguridad Social de Afiliación Obligatoria</t>
        </is>
      </c>
      <c r="C111" s="31" t="n">
        <v>1105.413750315318</v>
      </c>
      <c r="D111" s="31" t="n">
        <v>390.4816599946353</v>
      </c>
      <c r="E111" s="31" t="n">
        <v>0</v>
      </c>
      <c r="F111" s="31" t="n">
        <v>0</v>
      </c>
      <c r="G111" s="31" t="n">
        <v>0</v>
      </c>
      <c r="H111" s="31" t="n">
        <v>167.8530698603136</v>
      </c>
      <c r="I111" s="31" t="n">
        <v>0</v>
      </c>
      <c r="J111" s="31" t="n">
        <v>0</v>
      </c>
      <c r="K111" s="31" t="n">
        <v>0</v>
      </c>
      <c r="L111" s="31" t="n">
        <v>34.89928002982197</v>
      </c>
      <c r="M111" s="31" t="n">
        <v>147.9472143942257</v>
      </c>
      <c r="N111" s="31" t="n">
        <v>0</v>
      </c>
      <c r="O111" s="31" t="n">
        <v>0</v>
      </c>
      <c r="P111" s="31" t="n">
        <v>0</v>
      </c>
      <c r="Q111" s="31" t="n">
        <v>0</v>
      </c>
      <c r="R111" s="31" t="n">
        <v>0</v>
      </c>
      <c r="S111" s="31" t="n">
        <v>0</v>
      </c>
      <c r="T111" s="31" t="n">
        <v>0</v>
      </c>
      <c r="U111" s="31" t="n">
        <v>0</v>
      </c>
      <c r="V111" s="31" t="n">
        <v>0</v>
      </c>
      <c r="W111" s="31" t="n">
        <v>0</v>
      </c>
      <c r="X111" s="31" t="n">
        <v>0</v>
      </c>
      <c r="Y111" s="31" t="n">
        <v>0</v>
      </c>
      <c r="Z111" s="31" t="n">
        <v>0</v>
      </c>
      <c r="AA111" s="31" t="n">
        <v>0</v>
      </c>
      <c r="AB111" s="31" t="n">
        <v>0</v>
      </c>
      <c r="AC111" s="31" t="n">
        <v>0</v>
      </c>
      <c r="AD111" s="31" t="n">
        <v>0</v>
      </c>
      <c r="AE111" s="31" t="n">
        <v>0</v>
      </c>
      <c r="AF111" s="31" t="n">
        <v>0</v>
      </c>
      <c r="AG111" s="31" t="n">
        <v>0</v>
      </c>
      <c r="AH111" s="31" t="n">
        <v>0</v>
      </c>
      <c r="AI111" s="31" t="n">
        <v>0</v>
      </c>
      <c r="AJ111" s="31" t="n">
        <v>0</v>
      </c>
      <c r="AK111" s="31" t="n">
        <v>0</v>
      </c>
      <c r="AL111" s="31" t="n">
        <v>0</v>
      </c>
      <c r="AM111" s="31" t="n">
        <v>0</v>
      </c>
      <c r="AN111" s="31" t="n">
        <v>0</v>
      </c>
      <c r="AO111" s="31" t="n">
        <v>0</v>
      </c>
      <c r="AP111" s="31" t="n">
        <v>0</v>
      </c>
      <c r="AQ111" s="31" t="n">
        <v>0</v>
      </c>
      <c r="AR111" s="31" t="n">
        <v>0</v>
      </c>
      <c r="AS111" s="31" t="n">
        <v>0</v>
      </c>
      <c r="AT111" s="31" t="n">
        <v>0</v>
      </c>
      <c r="AU111" s="31" t="n">
        <v>0</v>
      </c>
      <c r="AV111" s="31" t="n">
        <v>0</v>
      </c>
      <c r="AW111" s="31" t="n">
        <v>0</v>
      </c>
      <c r="AX111" s="31" t="n">
        <v>0</v>
      </c>
      <c r="AY111" s="31" t="n">
        <v>0</v>
      </c>
      <c r="AZ111" s="31" t="n">
        <v>0</v>
      </c>
      <c r="BA111" s="31" t="n">
        <v>0</v>
      </c>
      <c r="BB111" s="31" t="n">
        <v>0</v>
      </c>
      <c r="BC111" s="31" t="n">
        <v>0</v>
      </c>
      <c r="BD111" s="31" t="n">
        <v>0</v>
      </c>
      <c r="BE111" s="31" t="n">
        <v>0</v>
      </c>
      <c r="BF111" s="31" t="n">
        <v>0</v>
      </c>
      <c r="BG111" s="31" t="n">
        <v>0</v>
      </c>
      <c r="BH111" s="31" t="n">
        <v>0</v>
      </c>
      <c r="BI111" s="31" t="n">
        <v>0</v>
      </c>
      <c r="BJ111" s="31" t="n">
        <v>0</v>
      </c>
      <c r="BK111" s="31" t="n">
        <v>0</v>
      </c>
      <c r="BL111" s="31" t="n">
        <v>0</v>
      </c>
      <c r="BM111" s="31" t="n">
        <v>0</v>
      </c>
      <c r="BN111" s="31" t="n">
        <v>0</v>
      </c>
      <c r="BO111" s="31" t="n">
        <v>0</v>
      </c>
      <c r="BP111" s="31" t="n">
        <v>0</v>
      </c>
      <c r="BQ111" s="31" t="n">
        <v>0</v>
      </c>
      <c r="BR111" s="31" t="n">
        <v>0</v>
      </c>
      <c r="BS111" s="31" t="n">
        <v>0</v>
      </c>
      <c r="BT111" s="31" t="n">
        <v>341.1141067969147</v>
      </c>
      <c r="BU111" s="31" t="n">
        <v>2132.160958691966</v>
      </c>
      <c r="BV111" s="31" t="n">
        <v>3119.635734724812</v>
      </c>
      <c r="BW111" s="31" t="n">
        <v>0</v>
      </c>
      <c r="BX111" s="31" t="n">
        <v>0</v>
      </c>
      <c r="BY111" s="31" t="n">
        <v>0.2659155790522618</v>
      </c>
      <c r="BZ111" s="31" t="n">
        <v>0</v>
      </c>
      <c r="CA111" s="31" t="n">
        <v>0</v>
      </c>
      <c r="CB111" s="31" t="n">
        <v>0</v>
      </c>
      <c r="CC111" s="31" t="n">
        <v>0</v>
      </c>
      <c r="CD111" s="31" t="n">
        <v>0</v>
      </c>
      <c r="CE111" s="31" t="n">
        <v>0</v>
      </c>
      <c r="CF111" s="31" t="n">
        <v>0</v>
      </c>
      <c r="CG111" s="31" t="n">
        <v>0</v>
      </c>
      <c r="CH111" s="31" t="n">
        <v>0</v>
      </c>
      <c r="CI111" s="31" t="n">
        <v>0</v>
      </c>
      <c r="CJ111" s="31" t="n">
        <v>0</v>
      </c>
      <c r="CK111" s="31" t="n">
        <v>0</v>
      </c>
      <c r="CL111" s="31" t="n">
        <v>0</v>
      </c>
      <c r="CM111" s="31" t="n">
        <v>1.033493978881324</v>
      </c>
      <c r="CN111" s="31" t="n">
        <v>0</v>
      </c>
      <c r="CO111" s="31" t="n">
        <v>0</v>
      </c>
      <c r="CP111" s="31" t="n">
        <v>19.19544647576186</v>
      </c>
      <c r="CQ111" s="31" t="n">
        <v>0</v>
      </c>
      <c r="CR111" s="31" t="n">
        <v>0</v>
      </c>
      <c r="CS111" s="31" t="n">
        <v>265.3080781034078</v>
      </c>
      <c r="CT111" s="31" t="n">
        <v>28.32288495208923</v>
      </c>
      <c r="CU111" s="31" t="n">
        <v>0</v>
      </c>
      <c r="CV111" s="31" t="n">
        <v>1511.041364397155</v>
      </c>
      <c r="CW111" s="31" t="n">
        <v>0</v>
      </c>
      <c r="CX111" s="31" t="n">
        <v>0</v>
      </c>
      <c r="CY111" s="31" t="n">
        <v>0</v>
      </c>
      <c r="CZ111" s="31" t="n">
        <v>0</v>
      </c>
      <c r="DA111" s="31" t="n">
        <v>0</v>
      </c>
      <c r="DB111" s="31" t="n">
        <v>524.6738063050434</v>
      </c>
      <c r="DC111" s="31" t="n">
        <v>12.93177332511186</v>
      </c>
      <c r="DD111" s="31" t="n">
        <v>156.1926639978483</v>
      </c>
      <c r="DE111" s="31" t="n">
        <v>0</v>
      </c>
      <c r="DF111" s="31">
        <f>SUM(C111:DE111)</f>
        <v/>
      </c>
      <c r="DG111" s="31" t="n">
        <v>0</v>
      </c>
      <c r="DH111" s="31" t="n">
        <v>0</v>
      </c>
      <c r="DI111" s="31" t="n">
        <v>0</v>
      </c>
      <c r="DJ111" s="31" t="n">
        <v>0</v>
      </c>
      <c r="DK111" s="31">
        <f>SUM(DG111:DJ111)</f>
        <v/>
      </c>
      <c r="DL111" s="31">
        <f>DF111+DK111</f>
        <v/>
      </c>
    </row>
    <row r="112">
      <c r="A112" s="28" t="inlineStr">
        <is>
          <t>80 PR</t>
        </is>
      </c>
      <c r="B112" s="28" t="inlineStr">
        <is>
          <t>Enseñanza Privada - Adultos y otros servicios de enseñanza</t>
        </is>
      </c>
      <c r="C112" s="29" t="n">
        <v>0</v>
      </c>
      <c r="D112" s="29" t="n">
        <v>0</v>
      </c>
      <c r="E112" s="29" t="n">
        <v>0</v>
      </c>
      <c r="F112" s="29" t="n">
        <v>0</v>
      </c>
      <c r="G112" s="29" t="n">
        <v>0</v>
      </c>
      <c r="H112" s="29" t="n">
        <v>164.4314040300605</v>
      </c>
      <c r="I112" s="29" t="n">
        <v>0</v>
      </c>
      <c r="J112" s="29" t="n">
        <v>0</v>
      </c>
      <c r="K112" s="29" t="n">
        <v>0</v>
      </c>
      <c r="L112" s="29" t="n">
        <v>0</v>
      </c>
      <c r="M112" s="29" t="n">
        <v>222.5172279012086</v>
      </c>
      <c r="N112" s="29" t="n">
        <v>0</v>
      </c>
      <c r="O112" s="29" t="n">
        <v>0</v>
      </c>
      <c r="P112" s="29" t="n">
        <v>0</v>
      </c>
      <c r="Q112" s="29" t="n">
        <v>0</v>
      </c>
      <c r="R112" s="29" t="n">
        <v>0</v>
      </c>
      <c r="S112" s="29" t="n">
        <v>0</v>
      </c>
      <c r="T112" s="29" t="n">
        <v>0</v>
      </c>
      <c r="U112" s="29" t="n">
        <v>0</v>
      </c>
      <c r="V112" s="29" t="n">
        <v>0</v>
      </c>
      <c r="W112" s="29" t="n">
        <v>0</v>
      </c>
      <c r="X112" s="29" t="n">
        <v>0</v>
      </c>
      <c r="Y112" s="29" t="n">
        <v>0</v>
      </c>
      <c r="Z112" s="29" t="n">
        <v>0</v>
      </c>
      <c r="AA112" s="29" t="n">
        <v>0</v>
      </c>
      <c r="AB112" s="29" t="n">
        <v>0</v>
      </c>
      <c r="AC112" s="29" t="n">
        <v>0</v>
      </c>
      <c r="AD112" s="29" t="n">
        <v>0</v>
      </c>
      <c r="AE112" s="29" t="n">
        <v>0</v>
      </c>
      <c r="AF112" s="29" t="n">
        <v>0</v>
      </c>
      <c r="AG112" s="29" t="n">
        <v>0</v>
      </c>
      <c r="AH112" s="29" t="n">
        <v>0</v>
      </c>
      <c r="AI112" s="29" t="n">
        <v>0</v>
      </c>
      <c r="AJ112" s="29" t="n">
        <v>0</v>
      </c>
      <c r="AK112" s="29" t="n">
        <v>0</v>
      </c>
      <c r="AL112" s="29" t="n">
        <v>0</v>
      </c>
      <c r="AM112" s="29" t="n">
        <v>0</v>
      </c>
      <c r="AN112" s="29" t="n">
        <v>0</v>
      </c>
      <c r="AO112" s="29" t="n">
        <v>0</v>
      </c>
      <c r="AP112" s="29" t="n">
        <v>0</v>
      </c>
      <c r="AQ112" s="29" t="n">
        <v>0</v>
      </c>
      <c r="AR112" s="29" t="n">
        <v>0</v>
      </c>
      <c r="AS112" s="29" t="n">
        <v>0</v>
      </c>
      <c r="AT112" s="29" t="n">
        <v>0</v>
      </c>
      <c r="AU112" s="29" t="n">
        <v>0</v>
      </c>
      <c r="AV112" s="29" t="n">
        <v>0</v>
      </c>
      <c r="AW112" s="29" t="n">
        <v>0</v>
      </c>
      <c r="AX112" s="29" t="n">
        <v>0</v>
      </c>
      <c r="AY112" s="29" t="n">
        <v>0</v>
      </c>
      <c r="AZ112" s="29" t="n">
        <v>0</v>
      </c>
      <c r="BA112" s="29" t="n">
        <v>0</v>
      </c>
      <c r="BB112" s="29" t="n">
        <v>0</v>
      </c>
      <c r="BC112" s="29" t="n">
        <v>0</v>
      </c>
      <c r="BD112" s="29" t="n">
        <v>0</v>
      </c>
      <c r="BE112" s="29" t="n">
        <v>0</v>
      </c>
      <c r="BF112" s="29" t="n">
        <v>0</v>
      </c>
      <c r="BG112" s="29" t="n">
        <v>0</v>
      </c>
      <c r="BH112" s="29" t="n">
        <v>0</v>
      </c>
      <c r="BI112" s="29" t="n">
        <v>0</v>
      </c>
      <c r="BJ112" s="29" t="n">
        <v>0</v>
      </c>
      <c r="BK112" s="29" t="n">
        <v>0</v>
      </c>
      <c r="BL112" s="29" t="n">
        <v>0</v>
      </c>
      <c r="BM112" s="29" t="n">
        <v>0</v>
      </c>
      <c r="BN112" s="29" t="n">
        <v>0</v>
      </c>
      <c r="BO112" s="29" t="n">
        <v>0</v>
      </c>
      <c r="BP112" s="29" t="n">
        <v>0</v>
      </c>
      <c r="BQ112" s="29" t="n">
        <v>0</v>
      </c>
      <c r="BR112" s="29" t="n">
        <v>0</v>
      </c>
      <c r="BS112" s="29" t="n">
        <v>0</v>
      </c>
      <c r="BT112" s="29" t="n">
        <v>0</v>
      </c>
      <c r="BU112" s="29" t="n">
        <v>0</v>
      </c>
      <c r="BV112" s="29" t="n">
        <v>0</v>
      </c>
      <c r="BW112" s="29" t="n">
        <v>0</v>
      </c>
      <c r="BX112" s="29" t="n">
        <v>0</v>
      </c>
      <c r="BY112" s="29" t="n">
        <v>0</v>
      </c>
      <c r="BZ112" s="29" t="n">
        <v>0</v>
      </c>
      <c r="CA112" s="29" t="n">
        <v>0</v>
      </c>
      <c r="CB112" s="29" t="n">
        <v>0</v>
      </c>
      <c r="CC112" s="29" t="n">
        <v>0</v>
      </c>
      <c r="CD112" s="29" t="n">
        <v>0</v>
      </c>
      <c r="CE112" s="29" t="n">
        <v>0</v>
      </c>
      <c r="CF112" s="29" t="n">
        <v>0</v>
      </c>
      <c r="CG112" s="29" t="n">
        <v>0</v>
      </c>
      <c r="CH112" s="29" t="n">
        <v>0</v>
      </c>
      <c r="CI112" s="29" t="n">
        <v>0</v>
      </c>
      <c r="CJ112" s="29" t="n">
        <v>0</v>
      </c>
      <c r="CK112" s="29" t="n">
        <v>0</v>
      </c>
      <c r="CL112" s="29" t="n">
        <v>6.707910102748798</v>
      </c>
      <c r="CM112" s="29" t="n">
        <v>3.875041477650413</v>
      </c>
      <c r="CN112" s="29" t="n">
        <v>0</v>
      </c>
      <c r="CO112" s="29" t="n">
        <v>0</v>
      </c>
      <c r="CP112" s="29" t="n">
        <v>0</v>
      </c>
      <c r="CQ112" s="29" t="n">
        <v>0</v>
      </c>
      <c r="CR112" s="29" t="n">
        <v>30077.71081004897</v>
      </c>
      <c r="CS112" s="29" t="n">
        <v>1656.510319986875</v>
      </c>
      <c r="CT112" s="29" t="n">
        <v>1512.576087312198</v>
      </c>
      <c r="CU112" s="29" t="n">
        <v>103388.0450170264</v>
      </c>
      <c r="CV112" s="29" t="n">
        <v>80696.75947888242</v>
      </c>
      <c r="CW112" s="29" t="n">
        <v>16677.14645263128</v>
      </c>
      <c r="CX112" s="29" t="n">
        <v>66246.27802016516</v>
      </c>
      <c r="CY112" s="29" t="n">
        <v>106.8737426659959</v>
      </c>
      <c r="CZ112" s="29" t="n">
        <v>20328.05537031568</v>
      </c>
      <c r="DA112" s="29" t="n">
        <v>0</v>
      </c>
      <c r="DB112" s="29" t="n">
        <v>202252.4635763718</v>
      </c>
      <c r="DC112" s="29" t="n">
        <v>0</v>
      </c>
      <c r="DD112" s="29" t="n">
        <v>0</v>
      </c>
      <c r="DE112" s="29" t="n">
        <v>0</v>
      </c>
      <c r="DF112" s="29">
        <f>SUM(C112:DE112)</f>
        <v/>
      </c>
      <c r="DG112" s="29" t="n">
        <v>0</v>
      </c>
      <c r="DH112" s="29" t="n">
        <v>0</v>
      </c>
      <c r="DI112" s="29" t="n">
        <v>0</v>
      </c>
      <c r="DJ112" s="29" t="n">
        <v>0</v>
      </c>
      <c r="DK112" s="29">
        <f>SUM(DG112:DJ112)</f>
        <v/>
      </c>
      <c r="DL112" s="29">
        <f>DF112+DK112</f>
        <v/>
      </c>
    </row>
    <row r="113">
      <c r="A113" s="30" t="inlineStr">
        <is>
          <t>80 PU</t>
        </is>
      </c>
      <c r="B113" s="30" t="inlineStr">
        <is>
          <t>Enseñanza Pública - Todos los niveles</t>
        </is>
      </c>
      <c r="C113" s="31" t="n">
        <v>0</v>
      </c>
      <c r="D113" s="31" t="n">
        <v>0</v>
      </c>
      <c r="E113" s="31" t="n">
        <v>0</v>
      </c>
      <c r="F113" s="31" t="n">
        <v>0</v>
      </c>
      <c r="G113" s="31" t="n">
        <v>0</v>
      </c>
      <c r="H113" s="31" t="n">
        <v>0</v>
      </c>
      <c r="I113" s="31" t="n">
        <v>0</v>
      </c>
      <c r="J113" s="31" t="n">
        <v>0</v>
      </c>
      <c r="K113" s="31" t="n">
        <v>0</v>
      </c>
      <c r="L113" s="31" t="n">
        <v>0</v>
      </c>
      <c r="M113" s="31" t="n">
        <v>0</v>
      </c>
      <c r="N113" s="31" t="n">
        <v>0</v>
      </c>
      <c r="O113" s="31" t="n">
        <v>0</v>
      </c>
      <c r="P113" s="31" t="n">
        <v>0</v>
      </c>
      <c r="Q113" s="31" t="n">
        <v>0</v>
      </c>
      <c r="R113" s="31" t="n">
        <v>0</v>
      </c>
      <c r="S113" s="31" t="n">
        <v>0</v>
      </c>
      <c r="T113" s="31" t="n">
        <v>0</v>
      </c>
      <c r="U113" s="31" t="n">
        <v>0</v>
      </c>
      <c r="V113" s="31" t="n">
        <v>0</v>
      </c>
      <c r="W113" s="31" t="n">
        <v>0</v>
      </c>
      <c r="X113" s="31" t="n">
        <v>0</v>
      </c>
      <c r="Y113" s="31" t="n">
        <v>0</v>
      </c>
      <c r="Z113" s="31" t="n">
        <v>0</v>
      </c>
      <c r="AA113" s="31" t="n">
        <v>0</v>
      </c>
      <c r="AB113" s="31" t="n">
        <v>0</v>
      </c>
      <c r="AC113" s="31" t="n">
        <v>0</v>
      </c>
      <c r="AD113" s="31" t="n">
        <v>0</v>
      </c>
      <c r="AE113" s="31" t="n">
        <v>0</v>
      </c>
      <c r="AF113" s="31" t="n">
        <v>0</v>
      </c>
      <c r="AG113" s="31" t="n">
        <v>0</v>
      </c>
      <c r="AH113" s="31" t="n">
        <v>0</v>
      </c>
      <c r="AI113" s="31" t="n">
        <v>0</v>
      </c>
      <c r="AJ113" s="31" t="n">
        <v>0</v>
      </c>
      <c r="AK113" s="31" t="n">
        <v>0</v>
      </c>
      <c r="AL113" s="31" t="n">
        <v>0</v>
      </c>
      <c r="AM113" s="31" t="n">
        <v>0</v>
      </c>
      <c r="AN113" s="31" t="n">
        <v>0</v>
      </c>
      <c r="AO113" s="31" t="n">
        <v>0</v>
      </c>
      <c r="AP113" s="31" t="n">
        <v>0</v>
      </c>
      <c r="AQ113" s="31" t="n">
        <v>0</v>
      </c>
      <c r="AR113" s="31" t="n">
        <v>0</v>
      </c>
      <c r="AS113" s="31" t="n">
        <v>0</v>
      </c>
      <c r="AT113" s="31" t="n">
        <v>0</v>
      </c>
      <c r="AU113" s="31" t="n">
        <v>0</v>
      </c>
      <c r="AV113" s="31" t="n">
        <v>0</v>
      </c>
      <c r="AW113" s="31" t="n">
        <v>0</v>
      </c>
      <c r="AX113" s="31" t="n">
        <v>0</v>
      </c>
      <c r="AY113" s="31" t="n">
        <v>0</v>
      </c>
      <c r="AZ113" s="31" t="n">
        <v>0</v>
      </c>
      <c r="BA113" s="31" t="n">
        <v>0</v>
      </c>
      <c r="BB113" s="31" t="n">
        <v>0</v>
      </c>
      <c r="BC113" s="31" t="n">
        <v>0</v>
      </c>
      <c r="BD113" s="31" t="n">
        <v>0</v>
      </c>
      <c r="BE113" s="31" t="n">
        <v>0</v>
      </c>
      <c r="BF113" s="31" t="n">
        <v>0</v>
      </c>
      <c r="BG113" s="31" t="n">
        <v>0</v>
      </c>
      <c r="BH113" s="31" t="n">
        <v>0</v>
      </c>
      <c r="BI113" s="31" t="n">
        <v>0</v>
      </c>
      <c r="BJ113" s="31" t="n">
        <v>0</v>
      </c>
      <c r="BK113" s="31" t="n">
        <v>0</v>
      </c>
      <c r="BL113" s="31" t="n">
        <v>0</v>
      </c>
      <c r="BM113" s="31" t="n">
        <v>0</v>
      </c>
      <c r="BN113" s="31" t="n">
        <v>0</v>
      </c>
      <c r="BO113" s="31" t="n">
        <v>0</v>
      </c>
      <c r="BP113" s="31" t="n">
        <v>0</v>
      </c>
      <c r="BQ113" s="31" t="n">
        <v>0</v>
      </c>
      <c r="BR113" s="31" t="n">
        <v>0</v>
      </c>
      <c r="BS113" s="31" t="n">
        <v>0</v>
      </c>
      <c r="BT113" s="31" t="n">
        <v>0</v>
      </c>
      <c r="BU113" s="31" t="n">
        <v>0</v>
      </c>
      <c r="BV113" s="31" t="n">
        <v>0</v>
      </c>
      <c r="BW113" s="31" t="n">
        <v>0</v>
      </c>
      <c r="BX113" s="31" t="n">
        <v>0</v>
      </c>
      <c r="BY113" s="31" t="n">
        <v>0</v>
      </c>
      <c r="BZ113" s="31" t="n">
        <v>0</v>
      </c>
      <c r="CA113" s="31" t="n">
        <v>0</v>
      </c>
      <c r="CB113" s="31" t="n">
        <v>0</v>
      </c>
      <c r="CC113" s="31" t="n">
        <v>0</v>
      </c>
      <c r="CD113" s="31" t="n">
        <v>0</v>
      </c>
      <c r="CE113" s="31" t="n">
        <v>0</v>
      </c>
      <c r="CF113" s="31" t="n">
        <v>0</v>
      </c>
      <c r="CG113" s="31" t="n">
        <v>0</v>
      </c>
      <c r="CH113" s="31" t="n">
        <v>0</v>
      </c>
      <c r="CI113" s="31" t="n">
        <v>0</v>
      </c>
      <c r="CJ113" s="31" t="n">
        <v>0</v>
      </c>
      <c r="CK113" s="31" t="n">
        <v>0</v>
      </c>
      <c r="CL113" s="31" t="n">
        <v>0</v>
      </c>
      <c r="CM113" s="31" t="n">
        <v>0</v>
      </c>
      <c r="CN113" s="31" t="n">
        <v>0</v>
      </c>
      <c r="CO113" s="31" t="n">
        <v>0</v>
      </c>
      <c r="CP113" s="31" t="n">
        <v>0</v>
      </c>
      <c r="CQ113" s="31" t="n">
        <v>0</v>
      </c>
      <c r="CR113" s="31" t="n">
        <v>0</v>
      </c>
      <c r="CS113" s="31" t="n">
        <v>0</v>
      </c>
      <c r="CT113" s="31" t="n">
        <v>0</v>
      </c>
      <c r="CU113" s="31" t="n">
        <v>0</v>
      </c>
      <c r="CV113" s="31" t="n">
        <v>0</v>
      </c>
      <c r="CW113" s="31" t="n">
        <v>0</v>
      </c>
      <c r="CX113" s="31" t="n">
        <v>0</v>
      </c>
      <c r="CY113" s="31" t="n">
        <v>0</v>
      </c>
      <c r="CZ113" s="31" t="n">
        <v>0</v>
      </c>
      <c r="DA113" s="31" t="n">
        <v>0</v>
      </c>
      <c r="DB113" s="31" t="n">
        <v>0</v>
      </c>
      <c r="DC113" s="31" t="n">
        <v>0</v>
      </c>
      <c r="DD113" s="31" t="n">
        <v>0</v>
      </c>
      <c r="DE113" s="31" t="n">
        <v>0</v>
      </c>
      <c r="DF113" s="31">
        <f>SUM(C113:DE113)</f>
        <v/>
      </c>
      <c r="DG113" s="31" t="n">
        <v>0</v>
      </c>
      <c r="DH113" s="31" t="n">
        <v>0</v>
      </c>
      <c r="DI113" s="31" t="n">
        <v>0</v>
      </c>
      <c r="DJ113" s="31" t="n">
        <v>0</v>
      </c>
      <c r="DK113" s="31">
        <f>SUM(DG113:DJ113)</f>
        <v/>
      </c>
      <c r="DL113" s="31">
        <f>DF113+DK113</f>
        <v/>
      </c>
    </row>
    <row r="114">
      <c r="A114" s="28" t="inlineStr">
        <is>
          <t>85 PR</t>
        </is>
      </c>
      <c r="B114" s="28" t="inlineStr">
        <is>
          <t>SERVICIOS SOCIALES Y DE SALUD - Privados</t>
        </is>
      </c>
      <c r="C114" s="29" t="n">
        <v>0</v>
      </c>
      <c r="D114" s="29" t="n">
        <v>1426.594361477062</v>
      </c>
      <c r="E114" s="29" t="n">
        <v>0</v>
      </c>
      <c r="F114" s="29" t="n">
        <v>0</v>
      </c>
      <c r="G114" s="29" t="n">
        <v>0</v>
      </c>
      <c r="H114" s="29" t="n">
        <v>2051.251301458811</v>
      </c>
      <c r="I114" s="29" t="n">
        <v>0</v>
      </c>
      <c r="J114" s="29" t="n">
        <v>79505.197318897</v>
      </c>
      <c r="K114" s="29" t="n">
        <v>323.06294773626</v>
      </c>
      <c r="L114" s="29" t="n">
        <v>0</v>
      </c>
      <c r="M114" s="29" t="n">
        <v>200.8631467323653</v>
      </c>
      <c r="N114" s="29" t="n">
        <v>10682.6805810743</v>
      </c>
      <c r="O114" s="29" t="n">
        <v>930.8744562498887</v>
      </c>
      <c r="P114" s="29" t="n">
        <v>458.3448704671609</v>
      </c>
      <c r="Q114" s="29" t="n">
        <v>544.5202160134968</v>
      </c>
      <c r="R114" s="29" t="n">
        <v>789.0516939467707</v>
      </c>
      <c r="S114" s="29" t="n">
        <v>2287.344841816841</v>
      </c>
      <c r="T114" s="29" t="n">
        <v>2747.322966643937</v>
      </c>
      <c r="U114" s="29" t="n">
        <v>2684.575053595683</v>
      </c>
      <c r="V114" s="29" t="n">
        <v>1710.48967064112</v>
      </c>
      <c r="W114" s="29" t="n">
        <v>998.8262376178227</v>
      </c>
      <c r="X114" s="29" t="n">
        <v>533.0104567563358</v>
      </c>
      <c r="Y114" s="29" t="n">
        <v>2534.482350393275</v>
      </c>
      <c r="Z114" s="29" t="n">
        <v>319.8540469713266</v>
      </c>
      <c r="AA114" s="29" t="n">
        <v>1172.348250432035</v>
      </c>
      <c r="AB114" s="29" t="n">
        <v>2386.901712357339</v>
      </c>
      <c r="AC114" s="29" t="n">
        <v>2206.998602534706</v>
      </c>
      <c r="AD114" s="29" t="n">
        <v>3375.288070792099</v>
      </c>
      <c r="AE114" s="29" t="n">
        <v>1463.605941073492</v>
      </c>
      <c r="AF114" s="29" t="n">
        <v>1870.398609090833</v>
      </c>
      <c r="AG114" s="29" t="n">
        <v>796.2978273417993</v>
      </c>
      <c r="AH114" s="29" t="n">
        <v>671.3225778993974</v>
      </c>
      <c r="AI114" s="29" t="n">
        <v>979.2368976988764</v>
      </c>
      <c r="AJ114" s="29" t="n">
        <v>1316.124353504372</v>
      </c>
      <c r="AK114" s="29" t="n">
        <v>7191.775994336174</v>
      </c>
      <c r="AL114" s="29" t="n">
        <v>3453.417356005993</v>
      </c>
      <c r="AM114" s="29" t="n">
        <v>1094.293606270572</v>
      </c>
      <c r="AN114" s="29" t="n">
        <v>2927.609625522302</v>
      </c>
      <c r="AO114" s="29" t="n">
        <v>5809.08525393829</v>
      </c>
      <c r="AP114" s="29" t="n">
        <v>730.4644950336096</v>
      </c>
      <c r="AQ114" s="29" t="n">
        <v>15806.55878841941</v>
      </c>
      <c r="AR114" s="29" t="n">
        <v>1245.27583471407</v>
      </c>
      <c r="AS114" s="29" t="n">
        <v>3557.550855655652</v>
      </c>
      <c r="AT114" s="29" t="n">
        <v>442.3528499342947</v>
      </c>
      <c r="AU114" s="29" t="n">
        <v>7281.525100018582</v>
      </c>
      <c r="AV114" s="29" t="n">
        <v>1361.895747859413</v>
      </c>
      <c r="AW114" s="29" t="n">
        <v>271.0294353854338</v>
      </c>
      <c r="AX114" s="29" t="n">
        <v>2126.175084497459</v>
      </c>
      <c r="AY114" s="29" t="n">
        <v>4535.22618784017</v>
      </c>
      <c r="AZ114" s="29" t="n">
        <v>4232.994756250919</v>
      </c>
      <c r="BA114" s="29" t="n">
        <v>1885.057691644401</v>
      </c>
      <c r="BB114" s="29" t="n">
        <v>2381.638159859456</v>
      </c>
      <c r="BC114" s="29" t="n">
        <v>929.2169041569214</v>
      </c>
      <c r="BD114" s="29" t="n">
        <v>0</v>
      </c>
      <c r="BE114" s="29" t="n">
        <v>782.7467052592547</v>
      </c>
      <c r="BF114" s="29" t="n">
        <v>201.4043806313252</v>
      </c>
      <c r="BG114" s="29" t="n">
        <v>759.6352672104949</v>
      </c>
      <c r="BH114" s="29" t="n">
        <v>7431.850231254386</v>
      </c>
      <c r="BI114" s="29" t="n">
        <v>162.6299149553286</v>
      </c>
      <c r="BJ114" s="29" t="n">
        <v>2505.505010164397</v>
      </c>
      <c r="BK114" s="29" t="n">
        <v>8299.730567819017</v>
      </c>
      <c r="BL114" s="29" t="n">
        <v>3133.180949352951</v>
      </c>
      <c r="BM114" s="29" t="n">
        <v>245.1637334943966</v>
      </c>
      <c r="BN114" s="29" t="n">
        <v>1539.825973843646</v>
      </c>
      <c r="BO114" s="29" t="n">
        <v>1594.059445570419</v>
      </c>
      <c r="BP114" s="29" t="n">
        <v>464.9588211322343</v>
      </c>
      <c r="BQ114" s="29" t="n">
        <v>475.0749517387048</v>
      </c>
      <c r="BR114" s="29" t="n">
        <v>0</v>
      </c>
      <c r="BS114" s="29" t="n">
        <v>0</v>
      </c>
      <c r="BT114" s="29" t="n">
        <v>8110.891677546402</v>
      </c>
      <c r="BU114" s="29" t="n">
        <v>129337.718660492</v>
      </c>
      <c r="BV114" s="29" t="n">
        <v>333621.5572925494</v>
      </c>
      <c r="BW114" s="29" t="n">
        <v>0</v>
      </c>
      <c r="BX114" s="29" t="n">
        <v>2518.72000056041</v>
      </c>
      <c r="BY114" s="29" t="n">
        <v>9878.738190329677</v>
      </c>
      <c r="BZ114" s="29" t="n">
        <v>1982.301774749689</v>
      </c>
      <c r="CA114" s="29" t="n">
        <v>0</v>
      </c>
      <c r="CB114" s="29" t="n">
        <v>16191.55677183333</v>
      </c>
      <c r="CC114" s="29" t="n">
        <v>1068.018152513403</v>
      </c>
      <c r="CD114" s="29" t="n">
        <v>63487.68612591096</v>
      </c>
      <c r="CE114" s="29" t="n">
        <v>470428.2308220097</v>
      </c>
      <c r="CF114" s="29" t="n">
        <v>958.8358604982841</v>
      </c>
      <c r="CG114" s="29" t="n">
        <v>6664.937852120027</v>
      </c>
      <c r="CH114" s="29" t="n">
        <v>42962.13376273599</v>
      </c>
      <c r="CI114" s="29" t="n">
        <v>1451.032040284059</v>
      </c>
      <c r="CJ114" s="29" t="n">
        <v>53593.26738189929</v>
      </c>
      <c r="CK114" s="29" t="n">
        <v>0</v>
      </c>
      <c r="CL114" s="29" t="n">
        <v>78526.44949067861</v>
      </c>
      <c r="CM114" s="29" t="n">
        <v>503.4380063963808</v>
      </c>
      <c r="CN114" s="29" t="n">
        <v>0</v>
      </c>
      <c r="CO114" s="29" t="n">
        <v>0</v>
      </c>
      <c r="CP114" s="29" t="n">
        <v>42179.41796044196</v>
      </c>
      <c r="CQ114" s="29" t="n">
        <v>268.9792452815373</v>
      </c>
      <c r="CR114" s="29" t="n">
        <v>95359.78179924469</v>
      </c>
      <c r="CS114" s="29" t="n">
        <v>4771.056357275877</v>
      </c>
      <c r="CT114" s="29" t="n">
        <v>4356.499123586225</v>
      </c>
      <c r="CU114" s="29" t="n">
        <v>1438702.609213497</v>
      </c>
      <c r="CV114" s="29" t="n">
        <v>232421.6050319173</v>
      </c>
      <c r="CW114" s="29" t="n">
        <v>198056.0195467346</v>
      </c>
      <c r="CX114" s="29" t="n">
        <v>101536.8515994058</v>
      </c>
      <c r="CY114" s="29" t="n">
        <v>8057271.799091663</v>
      </c>
      <c r="CZ114" s="29" t="n">
        <v>162164.2776242848</v>
      </c>
      <c r="DA114" s="29" t="n">
        <v>6147.695189316888</v>
      </c>
      <c r="DB114" s="29" t="n">
        <v>2571921.4949718</v>
      </c>
      <c r="DC114" s="29" t="n">
        <v>24432.35874294288</v>
      </c>
      <c r="DD114" s="29" t="n">
        <v>40364.20413070009</v>
      </c>
      <c r="DE114" s="29" t="n">
        <v>0</v>
      </c>
      <c r="DF114" s="29">
        <f>SUM(C114:DE114)</f>
        <v/>
      </c>
      <c r="DG114" s="29" t="n">
        <v>0</v>
      </c>
      <c r="DH114" s="29" t="n">
        <v>0</v>
      </c>
      <c r="DI114" s="29" t="n">
        <v>0</v>
      </c>
      <c r="DJ114" s="29" t="n">
        <v>0</v>
      </c>
      <c r="DK114" s="29">
        <f>SUM(DG114:DJ114)</f>
        <v/>
      </c>
      <c r="DL114" s="29">
        <f>DF114+DK114</f>
        <v/>
      </c>
    </row>
    <row r="115">
      <c r="A115" s="30" t="inlineStr">
        <is>
          <t>85 PU</t>
        </is>
      </c>
      <c r="B115" s="30" t="inlineStr">
        <is>
          <t>SERVICIOS SOCIALES Y DE SALUD - Públicos</t>
        </is>
      </c>
      <c r="C115" s="31" t="n">
        <v>0</v>
      </c>
      <c r="D115" s="31" t="n">
        <v>0</v>
      </c>
      <c r="E115" s="31" t="n">
        <v>0</v>
      </c>
      <c r="F115" s="31" t="n">
        <v>0</v>
      </c>
      <c r="G115" s="31" t="n">
        <v>0</v>
      </c>
      <c r="H115" s="31" t="n">
        <v>0</v>
      </c>
      <c r="I115" s="31" t="n">
        <v>0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0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0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0</v>
      </c>
      <c r="AG115" s="31" t="n">
        <v>0</v>
      </c>
      <c r="AH115" s="31" t="n">
        <v>0</v>
      </c>
      <c r="AI115" s="31" t="n">
        <v>0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0</v>
      </c>
      <c r="AZ115" s="31" t="n">
        <v>0</v>
      </c>
      <c r="BA115" s="31" t="n">
        <v>0</v>
      </c>
      <c r="BB115" s="31" t="n">
        <v>0</v>
      </c>
      <c r="BC115" s="31" t="n">
        <v>0</v>
      </c>
      <c r="BD115" s="31" t="n">
        <v>0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0</v>
      </c>
      <c r="BL115" s="31" t="n">
        <v>0</v>
      </c>
      <c r="BM115" s="31" t="n">
        <v>0</v>
      </c>
      <c r="BN115" s="31" t="n">
        <v>0</v>
      </c>
      <c r="BO115" s="31" t="n">
        <v>0</v>
      </c>
      <c r="BP115" s="31" t="n">
        <v>0</v>
      </c>
      <c r="BQ115" s="31" t="n">
        <v>0</v>
      </c>
      <c r="BR115" s="31" t="n">
        <v>0</v>
      </c>
      <c r="BS115" s="31" t="n">
        <v>0</v>
      </c>
      <c r="BT115" s="31" t="n">
        <v>0</v>
      </c>
      <c r="BU115" s="31" t="n">
        <v>0</v>
      </c>
      <c r="BV115" s="31" t="n">
        <v>0</v>
      </c>
      <c r="BW115" s="31" t="n">
        <v>0</v>
      </c>
      <c r="BX115" s="31" t="n">
        <v>0</v>
      </c>
      <c r="BY115" s="31" t="n">
        <v>0</v>
      </c>
      <c r="BZ115" s="31" t="n">
        <v>0</v>
      </c>
      <c r="CA115" s="31" t="n">
        <v>0</v>
      </c>
      <c r="CB115" s="31" t="n">
        <v>0</v>
      </c>
      <c r="CC115" s="31" t="n">
        <v>0</v>
      </c>
      <c r="CD115" s="31" t="n">
        <v>0</v>
      </c>
      <c r="CE115" s="31" t="n">
        <v>0</v>
      </c>
      <c r="CF115" s="31" t="n">
        <v>0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>
        <f>SUM(C115:DE115)</f>
        <v/>
      </c>
      <c r="DG115" s="31" t="n">
        <v>0</v>
      </c>
      <c r="DH115" s="31" t="n">
        <v>0</v>
      </c>
      <c r="DI115" s="31" t="n">
        <v>0</v>
      </c>
      <c r="DJ115" s="31" t="n">
        <v>0</v>
      </c>
      <c r="DK115" s="31">
        <f>SUM(DG115:DJ115)</f>
        <v/>
      </c>
      <c r="DL115" s="31">
        <f>DF115+DK115</f>
        <v/>
      </c>
    </row>
    <row r="116">
      <c r="A116" s="28" t="inlineStr">
        <is>
          <t>900</t>
        </is>
      </c>
      <c r="B116" s="28" t="inlineStr">
        <is>
          <t>Eliminación de desperdicios y aguas residuales, saneamiento y servicios similares</t>
        </is>
      </c>
      <c r="C116" s="29" t="n">
        <v>11510.23426535551</v>
      </c>
      <c r="D116" s="29" t="n">
        <v>0</v>
      </c>
      <c r="E116" s="29" t="n">
        <v>0</v>
      </c>
      <c r="F116" s="29" t="n">
        <v>0</v>
      </c>
      <c r="G116" s="29" t="n">
        <v>0</v>
      </c>
      <c r="H116" s="29" t="n">
        <v>0</v>
      </c>
      <c r="I116" s="29" t="n">
        <v>49.10757970073928</v>
      </c>
      <c r="J116" s="29" t="n">
        <v>1551.244510155739</v>
      </c>
      <c r="K116" s="29" t="n">
        <v>0</v>
      </c>
      <c r="L116" s="29" t="n">
        <v>7610.953779987933</v>
      </c>
      <c r="M116" s="29" t="n">
        <v>2568.080822905438</v>
      </c>
      <c r="N116" s="29" t="n">
        <v>0</v>
      </c>
      <c r="O116" s="29" t="n">
        <v>0</v>
      </c>
      <c r="P116" s="29" t="n">
        <v>0</v>
      </c>
      <c r="Q116" s="29" t="n">
        <v>24776.01194285438</v>
      </c>
      <c r="R116" s="29" t="n">
        <v>0</v>
      </c>
      <c r="S116" s="29" t="n">
        <v>0</v>
      </c>
      <c r="T116" s="29" t="n">
        <v>0</v>
      </c>
      <c r="U116" s="29" t="n">
        <v>0</v>
      </c>
      <c r="V116" s="29" t="n">
        <v>0</v>
      </c>
      <c r="W116" s="29" t="n">
        <v>1551.244510155739</v>
      </c>
      <c r="X116" s="29" t="n">
        <v>0</v>
      </c>
      <c r="Y116" s="29" t="n">
        <v>6561.779790403845</v>
      </c>
      <c r="Z116" s="29" t="n">
        <v>1706.368961171305</v>
      </c>
      <c r="AA116" s="29" t="n">
        <v>0</v>
      </c>
      <c r="AB116" s="29" t="n">
        <v>0</v>
      </c>
      <c r="AC116" s="29" t="n">
        <v>1551.244510155739</v>
      </c>
      <c r="AD116" s="29" t="n">
        <v>0</v>
      </c>
      <c r="AE116" s="29" t="n">
        <v>0</v>
      </c>
      <c r="AF116" s="29" t="n">
        <v>0</v>
      </c>
      <c r="AG116" s="29" t="n">
        <v>0</v>
      </c>
      <c r="AH116" s="29" t="n">
        <v>1551.244510155739</v>
      </c>
      <c r="AI116" s="29" t="n">
        <v>0</v>
      </c>
      <c r="AJ116" s="29" t="n">
        <v>0</v>
      </c>
      <c r="AK116" s="29" t="n">
        <v>0</v>
      </c>
      <c r="AL116" s="29" t="n">
        <v>0</v>
      </c>
      <c r="AM116" s="29" t="n">
        <v>0</v>
      </c>
      <c r="AN116" s="29" t="n">
        <v>1551.244510155739</v>
      </c>
      <c r="AO116" s="29" t="n">
        <v>0</v>
      </c>
      <c r="AP116" s="29" t="n">
        <v>0</v>
      </c>
      <c r="AQ116" s="29" t="n">
        <v>32718.02934316383</v>
      </c>
      <c r="AR116" s="29" t="n">
        <v>0</v>
      </c>
      <c r="AS116" s="29" t="n">
        <v>0</v>
      </c>
      <c r="AT116" s="29" t="n">
        <v>0</v>
      </c>
      <c r="AU116" s="29" t="n">
        <v>0</v>
      </c>
      <c r="AV116" s="29" t="n">
        <v>0</v>
      </c>
      <c r="AW116" s="29" t="n">
        <v>0</v>
      </c>
      <c r="AX116" s="29" t="n">
        <v>0</v>
      </c>
      <c r="AY116" s="29" t="n">
        <v>0</v>
      </c>
      <c r="AZ116" s="29" t="n">
        <v>12971.6617183733</v>
      </c>
      <c r="BA116" s="29" t="n">
        <v>0</v>
      </c>
      <c r="BB116" s="29" t="n">
        <v>0</v>
      </c>
      <c r="BC116" s="29" t="n">
        <v>0</v>
      </c>
      <c r="BD116" s="29" t="n">
        <v>0</v>
      </c>
      <c r="BE116" s="29" t="n">
        <v>0</v>
      </c>
      <c r="BF116" s="29" t="n">
        <v>0</v>
      </c>
      <c r="BG116" s="29" t="n">
        <v>0</v>
      </c>
      <c r="BH116" s="29" t="n">
        <v>0</v>
      </c>
      <c r="BI116" s="29" t="n">
        <v>0</v>
      </c>
      <c r="BJ116" s="29" t="n">
        <v>0</v>
      </c>
      <c r="BK116" s="29" t="n">
        <v>0</v>
      </c>
      <c r="BL116" s="29" t="n">
        <v>12409.95608124591</v>
      </c>
      <c r="BM116" s="29" t="n">
        <v>0</v>
      </c>
      <c r="BN116" s="29" t="n">
        <v>6204.978040622955</v>
      </c>
      <c r="BO116" s="29" t="n">
        <v>0</v>
      </c>
      <c r="BP116" s="29" t="n">
        <v>0</v>
      </c>
      <c r="BQ116" s="29" t="n">
        <v>0</v>
      </c>
      <c r="BR116" s="29" t="n">
        <v>0</v>
      </c>
      <c r="BS116" s="29" t="n">
        <v>8766.660366929369</v>
      </c>
      <c r="BT116" s="29" t="n">
        <v>1551.244510155739</v>
      </c>
      <c r="BU116" s="29" t="n">
        <v>23734.04100538278</v>
      </c>
      <c r="BV116" s="29" t="n">
        <v>56620.42462068424</v>
      </c>
      <c r="BW116" s="29" t="n">
        <v>1551.260022600836</v>
      </c>
      <c r="BX116" s="29" t="n">
        <v>0</v>
      </c>
      <c r="BY116" s="29" t="n">
        <v>23268.66765233595</v>
      </c>
      <c r="BZ116" s="29" t="n">
        <v>34.95465821377729</v>
      </c>
      <c r="CA116" s="29" t="n">
        <v>7756.222550778708</v>
      </c>
      <c r="CB116" s="29" t="n">
        <v>2337.333943184611</v>
      </c>
      <c r="CC116" s="29" t="n">
        <v>145.0382240948784</v>
      </c>
      <c r="CD116" s="29" t="n">
        <v>31687.58524622</v>
      </c>
      <c r="CE116" s="29" t="n">
        <v>23455.61043862789</v>
      </c>
      <c r="CF116" s="29" t="n">
        <v>0</v>
      </c>
      <c r="CG116" s="29" t="n">
        <v>0</v>
      </c>
      <c r="CH116" s="29" t="n">
        <v>1551.244510155739</v>
      </c>
      <c r="CI116" s="29" t="n">
        <v>0</v>
      </c>
      <c r="CJ116" s="29" t="n">
        <v>1551.260022600836</v>
      </c>
      <c r="CK116" s="29" t="n">
        <v>3102.489020311477</v>
      </c>
      <c r="CL116" s="29" t="n">
        <v>21959.41728576459</v>
      </c>
      <c r="CM116" s="29" t="n">
        <v>1833.94330968651</v>
      </c>
      <c r="CN116" s="29" t="n">
        <v>0</v>
      </c>
      <c r="CO116" s="29" t="n">
        <v>51014.8939961209</v>
      </c>
      <c r="CP116" s="29" t="n">
        <v>0</v>
      </c>
      <c r="CQ116" s="29" t="n">
        <v>0</v>
      </c>
      <c r="CR116" s="29" t="n">
        <v>0</v>
      </c>
      <c r="CS116" s="29" t="n">
        <v>11121.03178575414</v>
      </c>
      <c r="CT116" s="29" t="n">
        <v>10154.72499169456</v>
      </c>
      <c r="CU116" s="29" t="n">
        <v>47900.01053217333</v>
      </c>
      <c r="CV116" s="29" t="n">
        <v>541760.1184513718</v>
      </c>
      <c r="CW116" s="29" t="n">
        <v>62675.8782029734</v>
      </c>
      <c r="CX116" s="29" t="n">
        <v>0</v>
      </c>
      <c r="CY116" s="29" t="n">
        <v>33073.19832249684</v>
      </c>
      <c r="CZ116" s="29" t="n">
        <v>355.0604814599646</v>
      </c>
      <c r="DA116" s="29" t="n">
        <v>0</v>
      </c>
      <c r="DB116" s="29" t="n">
        <v>25916.05255825794</v>
      </c>
      <c r="DC116" s="29" t="n">
        <v>8601.309535021312</v>
      </c>
      <c r="DD116" s="29" t="n">
        <v>0</v>
      </c>
      <c r="DE116" s="29" t="n">
        <v>0</v>
      </c>
      <c r="DF116" s="29">
        <f>SUM(C116:DE116)</f>
        <v/>
      </c>
      <c r="DG116" s="29" t="n">
        <v>0</v>
      </c>
      <c r="DH116" s="29" t="n">
        <v>0</v>
      </c>
      <c r="DI116" s="29" t="n">
        <v>0</v>
      </c>
      <c r="DJ116" s="29" t="n">
        <v>0</v>
      </c>
      <c r="DK116" s="29">
        <f>SUM(DG116:DJ116)</f>
        <v/>
      </c>
      <c r="DL116" s="29">
        <f>DF116+DK116</f>
        <v/>
      </c>
    </row>
    <row r="117">
      <c r="A117" s="30" t="inlineStr">
        <is>
          <t>919</t>
        </is>
      </c>
      <c r="B117" s="30" t="inlineStr">
        <is>
          <t>Servicios de asociaciones n.c.p.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0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0</v>
      </c>
      <c r="AZ117" s="31" t="n">
        <v>0</v>
      </c>
      <c r="BA117" s="31" t="n">
        <v>0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0</v>
      </c>
      <c r="BM117" s="31" t="n">
        <v>0</v>
      </c>
      <c r="BN117" s="31" t="n">
        <v>0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129941.3428907295</v>
      </c>
      <c r="BV117" s="31" t="n">
        <v>384652.0660613687</v>
      </c>
      <c r="BW117" s="31" t="n">
        <v>0</v>
      </c>
      <c r="BX117" s="31" t="n">
        <v>0</v>
      </c>
      <c r="BY117" s="31" t="n">
        <v>0</v>
      </c>
      <c r="BZ117" s="31" t="n">
        <v>437.071451270861</v>
      </c>
      <c r="CA117" s="31" t="n">
        <v>105550.0404234522</v>
      </c>
      <c r="CB117" s="31" t="n">
        <v>0</v>
      </c>
      <c r="CC117" s="31" t="n">
        <v>0</v>
      </c>
      <c r="CD117" s="31" t="n">
        <v>43714.21428725537</v>
      </c>
      <c r="CE117" s="31" t="n">
        <v>0</v>
      </c>
      <c r="CF117" s="31" t="n">
        <v>0</v>
      </c>
      <c r="CG117" s="31" t="n">
        <v>2499.424952732352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38.08185024200066</v>
      </c>
      <c r="CM117" s="31" t="n">
        <v>30.26710044308962</v>
      </c>
      <c r="CN117" s="31" t="n">
        <v>0</v>
      </c>
      <c r="CO117" s="31" t="n">
        <v>0</v>
      </c>
      <c r="CP117" s="31" t="n">
        <v>14929.08959467287</v>
      </c>
      <c r="CQ117" s="31" t="n">
        <v>0</v>
      </c>
      <c r="CR117" s="31" t="n">
        <v>0</v>
      </c>
      <c r="CS117" s="31" t="n">
        <v>0</v>
      </c>
      <c r="CT117" s="31" t="n">
        <v>0</v>
      </c>
      <c r="CU117" s="31" t="n">
        <v>113390.6604630605</v>
      </c>
      <c r="CV117" s="31" t="n">
        <v>0</v>
      </c>
      <c r="CW117" s="31" t="n">
        <v>181.9514417744358</v>
      </c>
      <c r="CX117" s="31" t="n">
        <v>0</v>
      </c>
      <c r="CY117" s="31" t="n">
        <v>45.2567185777026</v>
      </c>
      <c r="CZ117" s="31" t="n">
        <v>0</v>
      </c>
      <c r="DA117" s="31" t="n">
        <v>0</v>
      </c>
      <c r="DB117" s="31" t="n">
        <v>43400.15861030493</v>
      </c>
      <c r="DC117" s="31" t="n">
        <v>100956.8963242516</v>
      </c>
      <c r="DD117" s="31" t="n">
        <v>0</v>
      </c>
      <c r="DE117" s="31" t="n">
        <v>0</v>
      </c>
      <c r="DF117" s="31">
        <f>SUM(C117:DE117)</f>
        <v/>
      </c>
      <c r="DG117" s="31" t="n">
        <v>0</v>
      </c>
      <c r="DH117" s="31" t="n">
        <v>0</v>
      </c>
      <c r="DI117" s="31" t="n">
        <v>0</v>
      </c>
      <c r="DJ117" s="31" t="n">
        <v>0</v>
      </c>
      <c r="DK117" s="31">
        <f>SUM(DG117:DJ117)</f>
        <v/>
      </c>
      <c r="DL117" s="31">
        <f>DF117+DK117</f>
        <v/>
      </c>
    </row>
    <row r="118">
      <c r="A118" s="28" t="inlineStr">
        <is>
          <t>92</t>
        </is>
      </c>
      <c r="B118" s="28" t="inlineStr">
        <is>
          <t>ACTIVIDADES DE ESPARCIMIENTO Y ACTIVIDADES CULTURALES Y DEPORTIVAS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25.17368398981926</v>
      </c>
      <c r="I118" s="29" t="n">
        <v>0</v>
      </c>
      <c r="J118" s="29" t="n">
        <v>16118.68240639138</v>
      </c>
      <c r="K118" s="29" t="n">
        <v>51790.45430391631</v>
      </c>
      <c r="L118" s="29" t="n">
        <v>510.3632908143422</v>
      </c>
      <c r="M118" s="29" t="n">
        <v>0</v>
      </c>
      <c r="N118" s="29" t="n">
        <v>2652.931472106475</v>
      </c>
      <c r="O118" s="29" t="n">
        <v>633.4551095539617</v>
      </c>
      <c r="P118" s="29" t="n">
        <v>5153.967361625452</v>
      </c>
      <c r="Q118" s="29" t="n">
        <v>9261.128308691761</v>
      </c>
      <c r="R118" s="29" t="n">
        <v>33539.01821281962</v>
      </c>
      <c r="S118" s="29" t="n">
        <v>708.8611295952968</v>
      </c>
      <c r="T118" s="29" t="n">
        <v>52040.68677937946</v>
      </c>
      <c r="U118" s="29" t="n">
        <v>37226.49133667784</v>
      </c>
      <c r="V118" s="29" t="n">
        <v>1431.940969559423</v>
      </c>
      <c r="W118" s="29" t="n">
        <v>12281.5655012344</v>
      </c>
      <c r="X118" s="29" t="n">
        <v>1954.863449254234</v>
      </c>
      <c r="Y118" s="29" t="n">
        <v>10521.97977443088</v>
      </c>
      <c r="Z118" s="29" t="n">
        <v>11000.95351995474</v>
      </c>
      <c r="AA118" s="29" t="n">
        <v>8863.304987182173</v>
      </c>
      <c r="AB118" s="29" t="n">
        <v>20503.2788287982</v>
      </c>
      <c r="AC118" s="29" t="n">
        <v>26772.15153012789</v>
      </c>
      <c r="AD118" s="29" t="n">
        <v>122693.7859576012</v>
      </c>
      <c r="AE118" s="29" t="n">
        <v>2460.841887556822</v>
      </c>
      <c r="AF118" s="29" t="n">
        <v>8685.716687963291</v>
      </c>
      <c r="AG118" s="29" t="n">
        <v>1608.516939097927</v>
      </c>
      <c r="AH118" s="29" t="n">
        <v>5487.038952686132</v>
      </c>
      <c r="AI118" s="29" t="n">
        <v>520.7814725455695</v>
      </c>
      <c r="AJ118" s="29" t="n">
        <v>26462.73125078485</v>
      </c>
      <c r="AK118" s="29" t="n">
        <v>312195.0153681097</v>
      </c>
      <c r="AL118" s="29" t="n">
        <v>2430.053512684344</v>
      </c>
      <c r="AM118" s="29" t="n">
        <v>17799.85717365884</v>
      </c>
      <c r="AN118" s="29" t="n">
        <v>18993.14599078606</v>
      </c>
      <c r="AO118" s="29" t="n">
        <v>5173.858615159534</v>
      </c>
      <c r="AP118" s="29" t="n">
        <v>39847.6482408884</v>
      </c>
      <c r="AQ118" s="29" t="n">
        <v>126584.3524650216</v>
      </c>
      <c r="AR118" s="29" t="n">
        <v>31379.30252366978</v>
      </c>
      <c r="AS118" s="29" t="n">
        <v>21076.16425166314</v>
      </c>
      <c r="AT118" s="29" t="n">
        <v>5325.764399039973</v>
      </c>
      <c r="AU118" s="29" t="n">
        <v>2345.572627312058</v>
      </c>
      <c r="AV118" s="29" t="n">
        <v>17351.0227066292</v>
      </c>
      <c r="AW118" s="29" t="n">
        <v>500.5197125079188</v>
      </c>
      <c r="AX118" s="29" t="n">
        <v>639.5962691102856</v>
      </c>
      <c r="AY118" s="29" t="n">
        <v>3611.384000959006</v>
      </c>
      <c r="AZ118" s="29" t="n">
        <v>7339.438832987907</v>
      </c>
      <c r="BA118" s="29" t="n">
        <v>4561.688980209384</v>
      </c>
      <c r="BB118" s="29" t="n">
        <v>3897.203849865042</v>
      </c>
      <c r="BC118" s="29" t="n">
        <v>6766.901525464834</v>
      </c>
      <c r="BD118" s="29" t="n">
        <v>259.764504016461</v>
      </c>
      <c r="BE118" s="29" t="n">
        <v>5100.192359597141</v>
      </c>
      <c r="BF118" s="29" t="n">
        <v>5754.369407891663</v>
      </c>
      <c r="BG118" s="29" t="n">
        <v>875.2084217717879</v>
      </c>
      <c r="BH118" s="29" t="n">
        <v>5500.971456760998</v>
      </c>
      <c r="BI118" s="29" t="n">
        <v>519.6216127904701</v>
      </c>
      <c r="BJ118" s="29" t="n">
        <v>4820.02550614771</v>
      </c>
      <c r="BK118" s="29" t="n">
        <v>146213.5852502713</v>
      </c>
      <c r="BL118" s="29" t="n">
        <v>11448.14518954295</v>
      </c>
      <c r="BM118" s="29" t="n">
        <v>4207.506968915082</v>
      </c>
      <c r="BN118" s="29" t="n">
        <v>4850.472310522237</v>
      </c>
      <c r="BO118" s="29" t="n">
        <v>614.9689053827908</v>
      </c>
      <c r="BP118" s="29" t="n">
        <v>878.2317595666987</v>
      </c>
      <c r="BQ118" s="29" t="n">
        <v>819.1620252800975</v>
      </c>
      <c r="BR118" s="29" t="n">
        <v>381.151167137379</v>
      </c>
      <c r="BS118" s="29" t="n">
        <v>0</v>
      </c>
      <c r="BT118" s="29" t="n">
        <v>84075.52148974375</v>
      </c>
      <c r="BU118" s="29" t="n">
        <v>148592.2576176241</v>
      </c>
      <c r="BV118" s="29" t="n">
        <v>340754.0501983173</v>
      </c>
      <c r="BW118" s="29" t="n">
        <v>0</v>
      </c>
      <c r="BX118" s="29" t="n">
        <v>40697.05952697697</v>
      </c>
      <c r="BY118" s="29" t="n">
        <v>113614.684058356</v>
      </c>
      <c r="BZ118" s="29" t="n">
        <v>874.2828399151775</v>
      </c>
      <c r="CA118" s="29" t="n">
        <v>3674.01079938414</v>
      </c>
      <c r="CB118" s="29" t="n">
        <v>5497.150959994912</v>
      </c>
      <c r="CC118" s="29" t="n">
        <v>10.79992397093246</v>
      </c>
      <c r="CD118" s="29" t="n">
        <v>3874.938610074274</v>
      </c>
      <c r="CE118" s="29" t="n">
        <v>4445.316480524434</v>
      </c>
      <c r="CF118" s="29" t="n">
        <v>1371.655579297449</v>
      </c>
      <c r="CG118" s="29" t="n">
        <v>4359166.003760734</v>
      </c>
      <c r="CH118" s="29" t="n">
        <v>494171.1243285855</v>
      </c>
      <c r="CI118" s="29" t="n">
        <v>203340.6702583429</v>
      </c>
      <c r="CJ118" s="29" t="n">
        <v>47409.95361040013</v>
      </c>
      <c r="CK118" s="29" t="n">
        <v>19148.23676933445</v>
      </c>
      <c r="CL118" s="29" t="n">
        <v>201691.2545899379</v>
      </c>
      <c r="CM118" s="29" t="n">
        <v>8135.91403602409</v>
      </c>
      <c r="CN118" s="29" t="n">
        <v>0</v>
      </c>
      <c r="CO118" s="29" t="n">
        <v>0</v>
      </c>
      <c r="CP118" s="29" t="n">
        <v>172.2528012423636</v>
      </c>
      <c r="CQ118" s="29" t="n">
        <v>28606.13642226679</v>
      </c>
      <c r="CR118" s="29" t="n">
        <v>1045472.889028874</v>
      </c>
      <c r="CS118" s="29" t="n">
        <v>6508.619834087189</v>
      </c>
      <c r="CT118" s="29" t="n">
        <v>5943.0856564324</v>
      </c>
      <c r="CU118" s="29" t="n">
        <v>4018674.781571819</v>
      </c>
      <c r="CV118" s="29" t="n">
        <v>713562.9513503293</v>
      </c>
      <c r="CW118" s="29" t="n">
        <v>1143814.626197888</v>
      </c>
      <c r="CX118" s="29" t="n">
        <v>49524.36416219638</v>
      </c>
      <c r="CY118" s="29" t="n">
        <v>43998.79715467231</v>
      </c>
      <c r="CZ118" s="29" t="n">
        <v>6501.65332870346</v>
      </c>
      <c r="DA118" s="29" t="n">
        <v>4931.975182887478</v>
      </c>
      <c r="DB118" s="29" t="n">
        <v>2200203.275860501</v>
      </c>
      <c r="DC118" s="29" t="n">
        <v>12808632.71058954</v>
      </c>
      <c r="DD118" s="29" t="n">
        <v>8623.438114767903</v>
      </c>
      <c r="DE118" s="29" t="n">
        <v>0</v>
      </c>
      <c r="DF118" s="29">
        <f>SUM(C118:DE118)</f>
        <v/>
      </c>
      <c r="DG118" s="29" t="n">
        <v>0</v>
      </c>
      <c r="DH118" s="29" t="n">
        <v>0</v>
      </c>
      <c r="DI118" s="29" t="n">
        <v>0</v>
      </c>
      <c r="DJ118" s="29" t="n">
        <v>0</v>
      </c>
      <c r="DK118" s="29">
        <f>SUM(DG118:DJ118)</f>
        <v/>
      </c>
      <c r="DL118" s="29">
        <f>DF118+DK118</f>
        <v/>
      </c>
    </row>
    <row r="119">
      <c r="A119" s="30" t="inlineStr">
        <is>
          <t>930</t>
        </is>
      </c>
      <c r="B119" s="30" t="inlineStr">
        <is>
          <t>Otras actividades de servicios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0</v>
      </c>
      <c r="J119" s="31" t="n">
        <v>58.71922753366783</v>
      </c>
      <c r="K119" s="31" t="n">
        <v>7922.837374913463</v>
      </c>
      <c r="L119" s="31" t="n">
        <v>0</v>
      </c>
      <c r="M119" s="31" t="n">
        <v>0</v>
      </c>
      <c r="N119" s="31" t="n">
        <v>1458.676580540041</v>
      </c>
      <c r="O119" s="31" t="n">
        <v>0</v>
      </c>
      <c r="P119" s="31" t="n">
        <v>1.027744818959789</v>
      </c>
      <c r="Q119" s="31" t="n">
        <v>939.643447500931</v>
      </c>
      <c r="R119" s="31" t="n">
        <v>190.0515494080776</v>
      </c>
      <c r="S119" s="31" t="n">
        <v>1.111398560822089</v>
      </c>
      <c r="T119" s="31" t="n">
        <v>1.053518920078134</v>
      </c>
      <c r="U119" s="31" t="n">
        <v>1577.376531409087</v>
      </c>
      <c r="V119" s="31" t="n">
        <v>10.10735827159836</v>
      </c>
      <c r="W119" s="31" t="n">
        <v>7.163547418410644</v>
      </c>
      <c r="X119" s="31" t="n">
        <v>2.05289597727741</v>
      </c>
      <c r="Y119" s="31" t="n">
        <v>2.446309660848003</v>
      </c>
      <c r="Z119" s="31" t="n">
        <v>0.02972582328221937</v>
      </c>
      <c r="AA119" s="31" t="n">
        <v>82.25722357132645</v>
      </c>
      <c r="AB119" s="31" t="n">
        <v>0</v>
      </c>
      <c r="AC119" s="31" t="n">
        <v>12.63734265599659</v>
      </c>
      <c r="AD119" s="31" t="n">
        <v>14.53170044595795</v>
      </c>
      <c r="AE119" s="31" t="n">
        <v>1.818127267941307</v>
      </c>
      <c r="AF119" s="31" t="n">
        <v>490.0495055533734</v>
      </c>
      <c r="AG119" s="31" t="n">
        <v>17.18974098472448</v>
      </c>
      <c r="AH119" s="31" t="n">
        <v>0.5497320296174588</v>
      </c>
      <c r="AI119" s="31" t="n">
        <v>2.249151527069834</v>
      </c>
      <c r="AJ119" s="31" t="n">
        <v>323.8714933021456</v>
      </c>
      <c r="AK119" s="31" t="n">
        <v>1.67783464237904</v>
      </c>
      <c r="AL119" s="31" t="n">
        <v>5.187731198044034</v>
      </c>
      <c r="AM119" s="31" t="n">
        <v>0.026320000902363</v>
      </c>
      <c r="AN119" s="31" t="n">
        <v>666.2648753116637</v>
      </c>
      <c r="AO119" s="31" t="n">
        <v>160.9000794029157</v>
      </c>
      <c r="AP119" s="31" t="n">
        <v>0.278160820353782</v>
      </c>
      <c r="AQ119" s="31" t="n">
        <v>5582.180299530512</v>
      </c>
      <c r="AR119" s="31" t="n">
        <v>0.01607894877222464</v>
      </c>
      <c r="AS119" s="31" t="n">
        <v>7.004040066819968</v>
      </c>
      <c r="AT119" s="31" t="n">
        <v>0.2467840283352212</v>
      </c>
      <c r="AU119" s="31" t="n">
        <v>3.704285992651908</v>
      </c>
      <c r="AV119" s="31" t="n">
        <v>250.550891117472</v>
      </c>
      <c r="AW119" s="31" t="n">
        <v>0.3586556580067559</v>
      </c>
      <c r="AX119" s="31" t="n">
        <v>0</v>
      </c>
      <c r="AY119" s="31" t="n">
        <v>3.583387343443231</v>
      </c>
      <c r="AZ119" s="31" t="n">
        <v>20.79295911375297</v>
      </c>
      <c r="BA119" s="31" t="n">
        <v>171.2417755435731</v>
      </c>
      <c r="BB119" s="31" t="n">
        <v>0.4120147474689952</v>
      </c>
      <c r="BC119" s="31" t="n">
        <v>0.3699134333682399</v>
      </c>
      <c r="BD119" s="31" t="n">
        <v>0</v>
      </c>
      <c r="BE119" s="31" t="n">
        <v>0.8611815140842785</v>
      </c>
      <c r="BF119" s="31" t="n">
        <v>0.2306977842779712</v>
      </c>
      <c r="BG119" s="31" t="n">
        <v>0.5934977549196163</v>
      </c>
      <c r="BH119" s="31" t="n">
        <v>2.441443960551036</v>
      </c>
      <c r="BI119" s="31" t="n">
        <v>0.03422932419168698</v>
      </c>
      <c r="BJ119" s="31" t="n">
        <v>0.3699148488183353</v>
      </c>
      <c r="BK119" s="31" t="n">
        <v>2138.386463996983</v>
      </c>
      <c r="BL119" s="31" t="n">
        <v>173.6491906408612</v>
      </c>
      <c r="BM119" s="31" t="n">
        <v>0.04732644915360612</v>
      </c>
      <c r="BN119" s="31" t="n">
        <v>5.480226091794528</v>
      </c>
      <c r="BO119" s="31" t="n">
        <v>0.744170035419824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171522.2723519749</v>
      </c>
      <c r="BW119" s="31" t="n">
        <v>0</v>
      </c>
      <c r="BX119" s="31" t="n">
        <v>42520.92896825058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618.8040926513686</v>
      </c>
      <c r="CG119" s="31" t="n">
        <v>784.8641697588091</v>
      </c>
      <c r="CH119" s="31" t="n">
        <v>0</v>
      </c>
      <c r="CI119" s="31" t="n">
        <v>942.6790747788755</v>
      </c>
      <c r="CJ119" s="31" t="n">
        <v>0</v>
      </c>
      <c r="CK119" s="31" t="n">
        <v>0</v>
      </c>
      <c r="CL119" s="31" t="n">
        <v>17132.34692199125</v>
      </c>
      <c r="CM119" s="31" t="n">
        <v>0</v>
      </c>
      <c r="CN119" s="31" t="n">
        <v>0</v>
      </c>
      <c r="CO119" s="31" t="n">
        <v>0</v>
      </c>
      <c r="CP119" s="31" t="n">
        <v>17669.86411691959</v>
      </c>
      <c r="CQ119" s="31" t="n">
        <v>2046.063593986473</v>
      </c>
      <c r="CR119" s="31" t="n">
        <v>32617.03555018548</v>
      </c>
      <c r="CS119" s="31" t="n">
        <v>2.892149162434276</v>
      </c>
      <c r="CT119" s="31" t="n">
        <v>2.640850232718513</v>
      </c>
      <c r="CU119" s="31" t="n">
        <v>122318.7006088278</v>
      </c>
      <c r="CV119" s="31" t="n">
        <v>140.8908006922998</v>
      </c>
      <c r="CW119" s="31" t="n">
        <v>147.9479725781065</v>
      </c>
      <c r="CX119" s="31" t="n">
        <v>0</v>
      </c>
      <c r="CY119" s="31" t="n">
        <v>184606.7261493293</v>
      </c>
      <c r="CZ119" s="31" t="n">
        <v>43.26647513613534</v>
      </c>
      <c r="DA119" s="31" t="n">
        <v>0</v>
      </c>
      <c r="DB119" s="31" t="n">
        <v>201292.8202493686</v>
      </c>
      <c r="DC119" s="31" t="n">
        <v>33026.61128492636</v>
      </c>
      <c r="DD119" s="31" t="n">
        <v>14192.13930158547</v>
      </c>
      <c r="DE119" s="31" t="n">
        <v>0</v>
      </c>
      <c r="DF119" s="31">
        <f>SUM(C119:DE119)</f>
        <v/>
      </c>
      <c r="DG119" s="31" t="n">
        <v>0</v>
      </c>
      <c r="DH119" s="31" t="n">
        <v>0</v>
      </c>
      <c r="DI119" s="31" t="n">
        <v>0</v>
      </c>
      <c r="DJ119" s="31" t="n">
        <v>0</v>
      </c>
      <c r="DK119" s="31">
        <f>SUM(DG119:DJ119)</f>
        <v/>
      </c>
      <c r="DL119" s="31">
        <f>DF119+DK119</f>
        <v/>
      </c>
    </row>
    <row r="120">
      <c r="A120" s="28" t="inlineStr">
        <is>
          <t>950</t>
        </is>
      </c>
      <c r="B120" s="28" t="inlineStr">
        <is>
          <t>Servicios de hogares privados que contratan servicio doméstico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>
        <f>SUM(C120:DE120)</f>
        <v/>
      </c>
      <c r="DG120" s="29" t="n">
        <v>0</v>
      </c>
      <c r="DH120" s="29" t="n">
        <v>0</v>
      </c>
      <c r="DI120" s="29" t="n">
        <v>0</v>
      </c>
      <c r="DJ120" s="29" t="n">
        <v>0</v>
      </c>
      <c r="DK120" s="29">
        <f>SUM(DG120:DJ120)</f>
        <v/>
      </c>
      <c r="DL120" s="29">
        <f>DF120+DK120</f>
        <v/>
      </c>
    </row>
    <row r="121">
      <c r="B121" s="32" t="inlineStr">
        <is>
          <t>Total consumo intermedio</t>
        </is>
      </c>
      <c r="C121" s="33">
        <f>SUM(C14:C120)</f>
        <v/>
      </c>
      <c r="D121" s="33">
        <f>SUM(D14:D120)</f>
        <v/>
      </c>
      <c r="E121" s="33">
        <f>SUM(E14:E120)</f>
        <v/>
      </c>
      <c r="F121" s="33">
        <f>SUM(F14:F120)</f>
        <v/>
      </c>
      <c r="G121" s="33">
        <f>SUM(G14:G120)</f>
        <v/>
      </c>
      <c r="H121" s="33">
        <f>SUM(H14:H120)</f>
        <v/>
      </c>
      <c r="I121" s="33">
        <f>SUM(I14:I120)</f>
        <v/>
      </c>
      <c r="J121" s="33">
        <f>SUM(J14:J120)</f>
        <v/>
      </c>
      <c r="K121" s="33">
        <f>SUM(K14:K120)</f>
        <v/>
      </c>
      <c r="L121" s="33">
        <f>SUM(L14:L120)</f>
        <v/>
      </c>
      <c r="M121" s="33">
        <f>SUM(M14:M120)</f>
        <v/>
      </c>
      <c r="N121" s="33">
        <f>SUM(N14:N120)</f>
        <v/>
      </c>
      <c r="O121" s="33">
        <f>SUM(O14:O120)</f>
        <v/>
      </c>
      <c r="P121" s="33">
        <f>SUM(P14:P120)</f>
        <v/>
      </c>
      <c r="Q121" s="33">
        <f>SUM(Q14:Q120)</f>
        <v/>
      </c>
      <c r="R121" s="33">
        <f>SUM(R14:R120)</f>
        <v/>
      </c>
      <c r="S121" s="33">
        <f>SUM(S14:S120)</f>
        <v/>
      </c>
      <c r="T121" s="33">
        <f>SUM(T14:T120)</f>
        <v/>
      </c>
      <c r="U121" s="33">
        <f>SUM(U14:U120)</f>
        <v/>
      </c>
      <c r="V121" s="33">
        <f>SUM(V14:V120)</f>
        <v/>
      </c>
      <c r="W121" s="33">
        <f>SUM(W14:W120)</f>
        <v/>
      </c>
      <c r="X121" s="33">
        <f>SUM(X14:X120)</f>
        <v/>
      </c>
      <c r="Y121" s="33">
        <f>SUM(Y14:Y120)</f>
        <v/>
      </c>
      <c r="Z121" s="33">
        <f>SUM(Z14:Z120)</f>
        <v/>
      </c>
      <c r="AA121" s="33">
        <f>SUM(AA14:AA120)</f>
        <v/>
      </c>
      <c r="AB121" s="33">
        <f>SUM(AB14:AB120)</f>
        <v/>
      </c>
      <c r="AC121" s="33">
        <f>SUM(AC14:AC120)</f>
        <v/>
      </c>
      <c r="AD121" s="33">
        <f>SUM(AD14:AD120)</f>
        <v/>
      </c>
      <c r="AE121" s="33">
        <f>SUM(AE14:AE120)</f>
        <v/>
      </c>
      <c r="AF121" s="33">
        <f>SUM(AF14:AF120)</f>
        <v/>
      </c>
      <c r="AG121" s="33">
        <f>SUM(AG14:AG120)</f>
        <v/>
      </c>
      <c r="AH121" s="33">
        <f>SUM(AH14:AH120)</f>
        <v/>
      </c>
      <c r="AI121" s="33">
        <f>SUM(AI14:AI120)</f>
        <v/>
      </c>
      <c r="AJ121" s="33">
        <f>SUM(AJ14:AJ120)</f>
        <v/>
      </c>
      <c r="AK121" s="33">
        <f>SUM(AK14:AK120)</f>
        <v/>
      </c>
      <c r="AL121" s="33">
        <f>SUM(AL14:AL120)</f>
        <v/>
      </c>
      <c r="AM121" s="33">
        <f>SUM(AM14:AM120)</f>
        <v/>
      </c>
      <c r="AN121" s="33">
        <f>SUM(AN14:AN120)</f>
        <v/>
      </c>
      <c r="AO121" s="33">
        <f>SUM(AO14:AO120)</f>
        <v/>
      </c>
      <c r="AP121" s="33">
        <f>SUM(AP14:AP120)</f>
        <v/>
      </c>
      <c r="AQ121" s="33">
        <f>SUM(AQ14:AQ120)</f>
        <v/>
      </c>
      <c r="AR121" s="33">
        <f>SUM(AR14:AR120)</f>
        <v/>
      </c>
      <c r="AS121" s="33">
        <f>SUM(AS14:AS120)</f>
        <v/>
      </c>
      <c r="AT121" s="33">
        <f>SUM(AT14:AT120)</f>
        <v/>
      </c>
      <c r="AU121" s="33">
        <f>SUM(AU14:AU120)</f>
        <v/>
      </c>
      <c r="AV121" s="33">
        <f>SUM(AV14:AV120)</f>
        <v/>
      </c>
      <c r="AW121" s="33">
        <f>SUM(AW14:AW120)</f>
        <v/>
      </c>
      <c r="AX121" s="33">
        <f>SUM(AX14:AX120)</f>
        <v/>
      </c>
      <c r="AY121" s="33">
        <f>SUM(AY14:AY120)</f>
        <v/>
      </c>
      <c r="AZ121" s="33">
        <f>SUM(AZ14:AZ120)</f>
        <v/>
      </c>
      <c r="BA121" s="33">
        <f>SUM(BA14:BA120)</f>
        <v/>
      </c>
      <c r="BB121" s="33">
        <f>SUM(BB14:BB120)</f>
        <v/>
      </c>
      <c r="BC121" s="33">
        <f>SUM(BC14:BC120)</f>
        <v/>
      </c>
      <c r="BD121" s="33">
        <f>SUM(BD14:BD120)</f>
        <v/>
      </c>
      <c r="BE121" s="33">
        <f>SUM(BE14:BE120)</f>
        <v/>
      </c>
      <c r="BF121" s="33">
        <f>SUM(BF14:BF120)</f>
        <v/>
      </c>
      <c r="BG121" s="33">
        <f>SUM(BG14:BG120)</f>
        <v/>
      </c>
      <c r="BH121" s="33">
        <f>SUM(BH14:BH120)</f>
        <v/>
      </c>
      <c r="BI121" s="33">
        <f>SUM(BI14:BI120)</f>
        <v/>
      </c>
      <c r="BJ121" s="33">
        <f>SUM(BJ14:BJ120)</f>
        <v/>
      </c>
      <c r="BK121" s="33">
        <f>SUM(BK14:BK120)</f>
        <v/>
      </c>
      <c r="BL121" s="33">
        <f>SUM(BL14:BL120)</f>
        <v/>
      </c>
      <c r="BM121" s="33">
        <f>SUM(BM14:BM120)</f>
        <v/>
      </c>
      <c r="BN121" s="33">
        <f>SUM(BN14:BN120)</f>
        <v/>
      </c>
      <c r="BO121" s="33">
        <f>SUM(BO14:BO120)</f>
        <v/>
      </c>
      <c r="BP121" s="33">
        <f>SUM(BP14:BP120)</f>
        <v/>
      </c>
      <c r="BQ121" s="33">
        <f>SUM(BQ14:BQ120)</f>
        <v/>
      </c>
      <c r="BR121" s="33">
        <f>SUM(BR14:BR120)</f>
        <v/>
      </c>
      <c r="BS121" s="33">
        <f>SUM(BS14:BS120)</f>
        <v/>
      </c>
      <c r="BT121" s="33">
        <f>SUM(BT14:BT120)</f>
        <v/>
      </c>
      <c r="BU121" s="33">
        <f>SUM(BU14:BU120)</f>
        <v/>
      </c>
      <c r="BV121" s="33">
        <f>SUM(BV14:BV120)</f>
        <v/>
      </c>
      <c r="BW121" s="33">
        <f>SUM(BW14:BW120)</f>
        <v/>
      </c>
      <c r="BX121" s="33">
        <f>SUM(BX14:BX120)</f>
        <v/>
      </c>
      <c r="BY121" s="33">
        <f>SUM(BY14:BY120)</f>
        <v/>
      </c>
      <c r="BZ121" s="33">
        <f>SUM(BZ14:BZ120)</f>
        <v/>
      </c>
      <c r="CA121" s="33">
        <f>SUM(CA14:CA120)</f>
        <v/>
      </c>
      <c r="CB121" s="33">
        <f>SUM(CB14:CB120)</f>
        <v/>
      </c>
      <c r="CC121" s="33">
        <f>SUM(CC14:CC120)</f>
        <v/>
      </c>
      <c r="CD121" s="33">
        <f>SUM(CD14:CD120)</f>
        <v/>
      </c>
      <c r="CE121" s="33">
        <f>SUM(CE14:CE120)</f>
        <v/>
      </c>
      <c r="CF121" s="33">
        <f>SUM(CF14:CF120)</f>
        <v/>
      </c>
      <c r="CG121" s="33">
        <f>SUM(CG14:CG120)</f>
        <v/>
      </c>
      <c r="CH121" s="33">
        <f>SUM(CH14:CH120)</f>
        <v/>
      </c>
      <c r="CI121" s="33">
        <f>SUM(CI14:CI120)</f>
        <v/>
      </c>
      <c r="CJ121" s="33">
        <f>SUM(CJ14:CJ120)</f>
        <v/>
      </c>
      <c r="CK121" s="33">
        <f>SUM(CK14:CK120)</f>
        <v/>
      </c>
      <c r="CL121" s="33">
        <f>SUM(CL14:CL120)</f>
        <v/>
      </c>
      <c r="CM121" s="33">
        <f>SUM(CM14:CM120)</f>
        <v/>
      </c>
      <c r="CN121" s="33">
        <f>SUM(CN14:CN120)</f>
        <v/>
      </c>
      <c r="CO121" s="33">
        <f>SUM(CO14:CO120)</f>
        <v/>
      </c>
      <c r="CP121" s="33">
        <f>SUM(CP14:CP120)</f>
        <v/>
      </c>
      <c r="CQ121" s="33">
        <f>SUM(CQ14:CQ120)</f>
        <v/>
      </c>
      <c r="CR121" s="33">
        <f>SUM(CR14:CR120)</f>
        <v/>
      </c>
      <c r="CS121" s="33">
        <f>SUM(CS14:CS120)</f>
        <v/>
      </c>
      <c r="CT121" s="33">
        <f>SUM(CT14:CT120)</f>
        <v/>
      </c>
      <c r="CU121" s="33">
        <f>SUM(CU14:CU120)</f>
        <v/>
      </c>
      <c r="CV121" s="33">
        <f>SUM(CV14:CV120)</f>
        <v/>
      </c>
      <c r="CW121" s="33">
        <f>SUM(CW14:CW120)</f>
        <v/>
      </c>
      <c r="CX121" s="33">
        <f>SUM(CX14:CX120)</f>
        <v/>
      </c>
      <c r="CY121" s="33">
        <f>SUM(CY14:CY120)</f>
        <v/>
      </c>
      <c r="CZ121" s="33">
        <f>SUM(CZ14:CZ120)</f>
        <v/>
      </c>
      <c r="DA121" s="33">
        <f>SUM(DA14:DA120)</f>
        <v/>
      </c>
      <c r="DB121" s="33">
        <f>SUM(DB14:DB120)</f>
        <v/>
      </c>
      <c r="DC121" s="33">
        <f>SUM(DC14:DC120)</f>
        <v/>
      </c>
      <c r="DD121" s="33">
        <f>SUM(DD14:DD120)</f>
        <v/>
      </c>
      <c r="DE121" s="33">
        <f>SUM(DE14:DE120)</f>
        <v/>
      </c>
      <c r="DF121" s="33">
        <f>SUM(DF14:DF120)</f>
        <v/>
      </c>
      <c r="DG121" s="33">
        <f>SUM(DG14:DG120)</f>
        <v/>
      </c>
      <c r="DH121" s="33">
        <f>SUM(DH14:DH120)</f>
        <v/>
      </c>
      <c r="DI121" s="33">
        <f>SUM(DI14:DI120)</f>
        <v/>
      </c>
      <c r="DJ121" s="33">
        <f>SUM(DJ14:DJ120)</f>
        <v/>
      </c>
      <c r="DK121" s="33">
        <f>SUM(DK14:DK120)</f>
        <v/>
      </c>
      <c r="DL121" s="33">
        <f>SUM(DL14:DL120)</f>
        <v/>
      </c>
    </row>
    <row r="122"/>
    <row r="123">
      <c r="B123" s="32" t="inlineStr">
        <is>
          <t>Ajuste intermedio no asignado a matriz</t>
        </is>
      </c>
      <c r="C123" s="33" t="n">
        <v>5.960464477539062e-08</v>
      </c>
      <c r="D123" s="33" t="n">
        <v>6.51925802230835e-09</v>
      </c>
      <c r="E123" s="33" t="n">
        <v>-7.275957614183426e-12</v>
      </c>
      <c r="F123" s="33" t="n">
        <v>1.862645149230957e-09</v>
      </c>
      <c r="G123" s="33" t="n">
        <v>-5.820766091346741e-11</v>
      </c>
      <c r="H123" s="33" t="n">
        <v>9.313225746154785e-10</v>
      </c>
      <c r="I123" s="33" t="n">
        <v>3.456079866737127e-11</v>
      </c>
      <c r="J123" s="33" t="n">
        <v>0</v>
      </c>
      <c r="K123" s="33" t="n">
        <v>-3.725290298461914e-09</v>
      </c>
      <c r="L123" s="33" t="n">
        <v>9.313225746154785e-10</v>
      </c>
      <c r="M123" s="33" t="n">
        <v>-9.313225746154785e-10</v>
      </c>
      <c r="N123" s="33" t="n">
        <v>-2.328306436538696e-09</v>
      </c>
      <c r="O123" s="33" t="n">
        <v>2.328306436538696e-10</v>
      </c>
      <c r="P123" s="33" t="n">
        <v>5.587935447692871e-09</v>
      </c>
      <c r="Q123" s="33" t="n">
        <v>7.450580596923828e-08</v>
      </c>
      <c r="R123" s="33" t="n">
        <v>7.450580596923828e-09</v>
      </c>
      <c r="S123" s="33" t="n">
        <v>-3.492459654808044e-09</v>
      </c>
      <c r="T123" s="33" t="n">
        <v>0</v>
      </c>
      <c r="U123" s="33" t="n">
        <v>0</v>
      </c>
      <c r="V123" s="33" t="n">
        <v>-2.328306436538696e-10</v>
      </c>
      <c r="W123" s="33" t="n">
        <v>1.862645149230957e-09</v>
      </c>
      <c r="X123" s="33" t="n">
        <v>-4.656612873077393e-09</v>
      </c>
      <c r="Y123" s="33" t="n">
        <v>1.024454832077026e-08</v>
      </c>
      <c r="Z123" s="33" t="n">
        <v>6.984919309616089e-10</v>
      </c>
      <c r="AA123" s="33" t="n">
        <v>-5.587935447692871e-09</v>
      </c>
      <c r="AB123" s="33" t="n">
        <v>1.862645149230957e-09</v>
      </c>
      <c r="AC123" s="34" t="n">
        <v>-1.117587089538574e-08</v>
      </c>
      <c r="AD123" s="33" t="n">
        <v>9.313225746154785e-10</v>
      </c>
      <c r="AE123" s="33" t="n">
        <v>56935.67421055026</v>
      </c>
      <c r="AF123" s="33" t="n">
        <v>5123.999999992549</v>
      </c>
      <c r="AG123" s="33" t="n">
        <v>-3.725290298461914e-09</v>
      </c>
      <c r="AH123" s="33" t="n">
        <v>-9.313225746154785e-10</v>
      </c>
      <c r="AI123" s="33" t="n">
        <v>2.793967723846436e-09</v>
      </c>
      <c r="AJ123" s="34" t="n">
        <v>-1.490116119384766e-08</v>
      </c>
      <c r="AK123" s="33" t="n">
        <v>2.793967723846436e-09</v>
      </c>
      <c r="AL123" s="33" t="n">
        <v>-5.587935447692871e-09</v>
      </c>
      <c r="AM123" s="33" t="n">
        <v>-7.450580596923828e-09</v>
      </c>
      <c r="AN123" s="33" t="n">
        <v>3.725290298461914e-09</v>
      </c>
      <c r="AO123" s="33" t="n">
        <v>3.725290298461914e-09</v>
      </c>
      <c r="AP123" s="33" t="n">
        <v>2.980232238769531e-08</v>
      </c>
      <c r="AQ123" s="34" t="n">
        <v>-4.470348358154297e-08</v>
      </c>
      <c r="AR123" s="33" t="n">
        <v>2994.201233416796</v>
      </c>
      <c r="AS123" s="33" t="n">
        <v>1.490116119384766e-08</v>
      </c>
      <c r="AT123" s="33" t="n">
        <v>0</v>
      </c>
      <c r="AU123" s="33" t="n">
        <v>24490.72369325534</v>
      </c>
      <c r="AV123" s="33" t="n">
        <v>17162537</v>
      </c>
      <c r="AW123" s="33" t="n">
        <v>1.862645149230957e-09</v>
      </c>
      <c r="AX123" s="33" t="n">
        <v>0</v>
      </c>
      <c r="AY123" s="33" t="n">
        <v>3.725290298461914e-09</v>
      </c>
      <c r="AZ123" s="33" t="n">
        <v>68606.19029922038</v>
      </c>
      <c r="BA123" s="33" t="n">
        <v>-1.862645149230957e-09</v>
      </c>
      <c r="BB123" s="33" t="n">
        <v>7.450580596923828e-09</v>
      </c>
      <c r="BC123" s="33" t="n">
        <v>1.862645149230957e-09</v>
      </c>
      <c r="BD123" s="33" t="n">
        <v>9.313225746154785e-10</v>
      </c>
      <c r="BE123" s="33" t="n">
        <v>9.313225746154785e-10</v>
      </c>
      <c r="BF123" s="33" t="n">
        <v>2.793967723846436e-09</v>
      </c>
      <c r="BG123" s="33" t="n">
        <v>0</v>
      </c>
      <c r="BH123" s="33" t="n">
        <v>7.450580596923828e-09</v>
      </c>
      <c r="BI123" s="33" t="n">
        <v>0</v>
      </c>
      <c r="BJ123" s="33" t="n">
        <v>74.99935343535617</v>
      </c>
      <c r="BK123" s="34" t="n">
        <v>-8.940696716308594e-08</v>
      </c>
      <c r="BL123" s="33" t="n">
        <v>7.450580596923828e-09</v>
      </c>
      <c r="BM123" s="33" t="n">
        <v>0</v>
      </c>
      <c r="BN123" s="33" t="n">
        <v>-9.313225746154785e-09</v>
      </c>
      <c r="BO123" s="33" t="n">
        <v>1.396983861923218e-09</v>
      </c>
      <c r="BP123" s="34" t="n">
        <v>-4.470348358154297e-08</v>
      </c>
      <c r="BQ123" s="33" t="n">
        <v>0</v>
      </c>
      <c r="BR123" s="33" t="n">
        <v>-9.313225746154785e-10</v>
      </c>
      <c r="BS123" s="33" t="n">
        <v>0</v>
      </c>
      <c r="BT123" s="33" t="n">
        <v>-3.725290298461914e-09</v>
      </c>
      <c r="BU123" s="33" t="n">
        <v>0</v>
      </c>
      <c r="BV123" s="33" t="n">
        <v>0</v>
      </c>
      <c r="BW123" s="33" t="n">
        <v>0</v>
      </c>
      <c r="BX123" s="33" t="n">
        <v>1.164153218269348e-09</v>
      </c>
      <c r="BY123" s="33" t="n">
        <v>1.490116119384766e-07</v>
      </c>
      <c r="BZ123" s="33" t="n">
        <v>9.313225746154785e-10</v>
      </c>
      <c r="CA123" s="34" t="n">
        <v>-5.960464477539062e-08</v>
      </c>
      <c r="CB123" s="33" t="n">
        <v>0</v>
      </c>
      <c r="CC123" s="33" t="n">
        <v>-5.820766091346741e-11</v>
      </c>
      <c r="CD123" s="33" t="n">
        <v>7.450580596923828e-09</v>
      </c>
      <c r="CE123" s="33" t="n">
        <v>7.450580596923828e-09</v>
      </c>
      <c r="CF123" s="33" t="n">
        <v>-3.492459654808044e-10</v>
      </c>
      <c r="CG123" s="33" t="n">
        <v>0</v>
      </c>
      <c r="CH123" s="33" t="n">
        <v>8.940696716308594e-08</v>
      </c>
      <c r="CI123" s="33" t="n">
        <v>-9.313225746154785e-10</v>
      </c>
      <c r="CJ123" s="33" t="n">
        <v>3.725290298461914e-09</v>
      </c>
      <c r="CK123" s="33" t="n">
        <v>9.313225746154785e-10</v>
      </c>
      <c r="CL123" s="33" t="n">
        <v>-7.450580596923828e-09</v>
      </c>
      <c r="CM123" s="33" t="n">
        <v>1.862645149230957e-09</v>
      </c>
      <c r="CN123" s="34" t="n">
        <v>-1.117587089538574e-08</v>
      </c>
      <c r="CO123" s="33" t="n">
        <v>1.862645149230957e-09</v>
      </c>
      <c r="CP123" s="33" t="n">
        <v>0</v>
      </c>
      <c r="CQ123" s="33" t="n">
        <v>-4.656612873077393e-10</v>
      </c>
      <c r="CR123" s="33" t="n">
        <v>8.381903171539307e-09</v>
      </c>
      <c r="CS123" s="33" t="n">
        <v>-4.656612873077393e-10</v>
      </c>
      <c r="CT123" s="33" t="n">
        <v>-9.313225746154785e-10</v>
      </c>
      <c r="CU123" s="33" t="n">
        <v>2.980232238769531e-08</v>
      </c>
      <c r="CV123" s="34" t="n">
        <v>-2.980232238769531e-08</v>
      </c>
      <c r="CW123" s="33" t="n">
        <v>-7.450580596923828e-09</v>
      </c>
      <c r="CX123" s="33" t="n">
        <v>0</v>
      </c>
      <c r="CY123" s="33" t="n">
        <v>2.980232238769531e-08</v>
      </c>
      <c r="CZ123" s="33" t="n">
        <v>-3.725290298461914e-09</v>
      </c>
      <c r="DA123" s="33" t="n">
        <v>-1.862645149230957e-09</v>
      </c>
      <c r="DB123" s="33" t="n">
        <v>-7.450580596923828e-09</v>
      </c>
      <c r="DC123" s="33" t="n">
        <v>7.450580596923828e-09</v>
      </c>
      <c r="DD123" s="33" t="n">
        <v>1.862645149230957e-09</v>
      </c>
      <c r="DE123" s="33" t="n">
        <v>0</v>
      </c>
      <c r="DL123" s="33">
        <f>SUM(C123:DE123)</f>
        <v/>
      </c>
    </row>
    <row r="124"/>
    <row r="125">
      <c r="B125" s="32" t="inlineStr">
        <is>
          <t>Sin valor agregado</t>
        </is>
      </c>
      <c r="C125" s="33" t="n">
        <v>0</v>
      </c>
      <c r="D125" s="33" t="n">
        <v>0</v>
      </c>
      <c r="E125" s="33" t="n">
        <v>0</v>
      </c>
      <c r="F125" s="33" t="n">
        <v>0</v>
      </c>
      <c r="G125" s="33" t="n">
        <v>0</v>
      </c>
      <c r="H125" s="33" t="n">
        <v>0</v>
      </c>
      <c r="I125" s="33" t="n">
        <v>0</v>
      </c>
      <c r="J125" s="33" t="n">
        <v>0</v>
      </c>
      <c r="K125" s="33" t="n">
        <v>0</v>
      </c>
      <c r="L125" s="33" t="n">
        <v>0</v>
      </c>
      <c r="M125" s="33" t="n">
        <v>0</v>
      </c>
      <c r="N125" s="33" t="n">
        <v>0</v>
      </c>
      <c r="O125" s="33" t="n">
        <v>0</v>
      </c>
      <c r="P125" s="33" t="n">
        <v>0</v>
      </c>
      <c r="Q125" s="33" t="n">
        <v>0</v>
      </c>
      <c r="R125" s="33" t="n">
        <v>0</v>
      </c>
      <c r="S125" s="33" t="n">
        <v>0</v>
      </c>
      <c r="T125" s="33" t="n">
        <v>0</v>
      </c>
      <c r="U125" s="33" t="n">
        <v>0</v>
      </c>
      <c r="V125" s="33" t="n">
        <v>0</v>
      </c>
      <c r="W125" s="33" t="n">
        <v>0</v>
      </c>
      <c r="X125" s="33" t="n">
        <v>0</v>
      </c>
      <c r="Y125" s="33" t="n">
        <v>0</v>
      </c>
      <c r="Z125" s="33" t="n">
        <v>0</v>
      </c>
      <c r="AA125" s="33" t="n">
        <v>0</v>
      </c>
      <c r="AB125" s="33" t="n">
        <v>0</v>
      </c>
      <c r="AC125" s="33" t="n">
        <v>0</v>
      </c>
      <c r="AD125" s="33" t="n">
        <v>0</v>
      </c>
      <c r="AE125" s="33" t="n">
        <v>0</v>
      </c>
      <c r="AF125" s="33" t="n">
        <v>0</v>
      </c>
      <c r="AG125" s="33" t="n">
        <v>0</v>
      </c>
      <c r="AH125" s="33" t="n">
        <v>0</v>
      </c>
      <c r="AI125" s="33" t="n">
        <v>0</v>
      </c>
      <c r="AJ125" s="33" t="n">
        <v>0</v>
      </c>
      <c r="AK125" s="33" t="n">
        <v>0</v>
      </c>
      <c r="AL125" s="33" t="n">
        <v>0</v>
      </c>
      <c r="AM125" s="33" t="n">
        <v>0</v>
      </c>
      <c r="AN125" s="33" t="n">
        <v>0</v>
      </c>
      <c r="AO125" s="33" t="n">
        <v>0</v>
      </c>
      <c r="AP125" s="33" t="n">
        <v>0</v>
      </c>
      <c r="AQ125" s="33" t="n">
        <v>0</v>
      </c>
      <c r="AR125" s="33" t="n">
        <v>0</v>
      </c>
      <c r="AS125" s="33" t="n">
        <v>0</v>
      </c>
      <c r="AT125" s="33" t="n">
        <v>0</v>
      </c>
      <c r="AU125" s="33" t="n">
        <v>0</v>
      </c>
      <c r="AV125" s="33" t="n">
        <v>0</v>
      </c>
      <c r="AW125" s="33" t="n">
        <v>0</v>
      </c>
      <c r="AX125" s="33" t="n">
        <v>0</v>
      </c>
      <c r="AY125" s="33" t="n">
        <v>0</v>
      </c>
      <c r="AZ125" s="33" t="n">
        <v>0</v>
      </c>
      <c r="BA125" s="33" t="n">
        <v>0</v>
      </c>
      <c r="BB125" s="33" t="n">
        <v>0</v>
      </c>
      <c r="BC125" s="33" t="n">
        <v>0</v>
      </c>
      <c r="BD125" s="33" t="n">
        <v>0</v>
      </c>
      <c r="BE125" s="33" t="n">
        <v>0</v>
      </c>
      <c r="BF125" s="33" t="n">
        <v>0</v>
      </c>
      <c r="BG125" s="33" t="n">
        <v>0</v>
      </c>
      <c r="BH125" s="33" t="n">
        <v>0</v>
      </c>
      <c r="BI125" s="33" t="n">
        <v>0</v>
      </c>
      <c r="BJ125" s="33" t="n">
        <v>0</v>
      </c>
      <c r="BK125" s="33" t="n">
        <v>0</v>
      </c>
      <c r="BL125" s="33" t="n">
        <v>0</v>
      </c>
      <c r="BM125" s="33" t="n">
        <v>0</v>
      </c>
      <c r="BN125" s="33" t="n">
        <v>0</v>
      </c>
      <c r="BO125" s="33" t="n">
        <v>0</v>
      </c>
      <c r="BP125" s="33" t="n">
        <v>0</v>
      </c>
      <c r="BQ125" s="33" t="n">
        <v>0</v>
      </c>
      <c r="BR125" s="33" t="n">
        <v>0</v>
      </c>
      <c r="BS125" s="33" t="n">
        <v>0</v>
      </c>
      <c r="BT125" s="33" t="n">
        <v>0</v>
      </c>
      <c r="BU125" s="33" t="n">
        <v>0</v>
      </c>
      <c r="BV125" s="33" t="n">
        <v>0</v>
      </c>
      <c r="BW125" s="33" t="n">
        <v>0</v>
      </c>
      <c r="BX125" s="33" t="n">
        <v>0</v>
      </c>
      <c r="BY125" s="33" t="n">
        <v>0</v>
      </c>
      <c r="BZ125" s="33" t="n">
        <v>0</v>
      </c>
      <c r="CA125" s="33" t="n">
        <v>0</v>
      </c>
      <c r="CB125" s="33" t="n">
        <v>0</v>
      </c>
      <c r="CC125" s="33" t="n">
        <v>0</v>
      </c>
      <c r="CD125" s="33" t="n">
        <v>0</v>
      </c>
      <c r="CE125" s="33" t="n">
        <v>0</v>
      </c>
      <c r="CF125" s="33" t="n">
        <v>0</v>
      </c>
      <c r="CG125" s="33" t="n">
        <v>0</v>
      </c>
      <c r="CH125" s="33" t="n">
        <v>0</v>
      </c>
      <c r="CI125" s="33" t="n">
        <v>0</v>
      </c>
      <c r="CJ125" s="33" t="n">
        <v>0</v>
      </c>
      <c r="CK125" s="33" t="n">
        <v>0</v>
      </c>
      <c r="CL125" s="33" t="n">
        <v>0</v>
      </c>
      <c r="CM125" s="33" t="n">
        <v>0</v>
      </c>
      <c r="CN125" s="33" t="n">
        <v>0</v>
      </c>
      <c r="CO125" s="33" t="n">
        <v>0</v>
      </c>
      <c r="CP125" s="33" t="n">
        <v>0</v>
      </c>
      <c r="CQ125" s="33" t="n">
        <v>0</v>
      </c>
      <c r="CR125" s="33" t="n">
        <v>0</v>
      </c>
      <c r="CS125" s="33" t="n">
        <v>0</v>
      </c>
      <c r="CT125" s="33" t="n">
        <v>0</v>
      </c>
      <c r="CU125" s="33" t="n">
        <v>0</v>
      </c>
      <c r="CV125" s="33" t="n">
        <v>0</v>
      </c>
      <c r="CW125" s="33" t="n">
        <v>0</v>
      </c>
      <c r="CX125" s="33" t="n">
        <v>0</v>
      </c>
      <c r="CY125" s="33" t="n">
        <v>0</v>
      </c>
      <c r="CZ125" s="33" t="n">
        <v>0</v>
      </c>
      <c r="DA125" s="33" t="n">
        <v>0</v>
      </c>
      <c r="DB125" s="33" t="n">
        <v>0</v>
      </c>
      <c r="DC125" s="33" t="n">
        <v>0</v>
      </c>
      <c r="DD125" s="33" t="n">
        <v>0</v>
      </c>
      <c r="DE125" s="33" t="n">
        <v>0</v>
      </c>
      <c r="DL125" s="33">
        <f>SUM(C125:DE125)</f>
        <v/>
      </c>
    </row>
    <row r="126"/>
    <row r="127">
      <c r="B127" s="32" t="inlineStr">
        <is>
          <t>Produccion total</t>
        </is>
      </c>
      <c r="C127" s="33">
        <f>C121+C123+C125</f>
        <v/>
      </c>
      <c r="D127" s="33">
        <f>D121+D123+D125</f>
        <v/>
      </c>
      <c r="E127" s="33">
        <f>E121+E123+E125</f>
        <v/>
      </c>
      <c r="F127" s="33">
        <f>F121+F123+F125</f>
        <v/>
      </c>
      <c r="G127" s="33">
        <f>G121+G123+G125</f>
        <v/>
      </c>
      <c r="H127" s="33">
        <f>H121+H123+H125</f>
        <v/>
      </c>
      <c r="I127" s="33">
        <f>I121+I123+I125</f>
        <v/>
      </c>
      <c r="J127" s="33">
        <f>J121+J123+J125</f>
        <v/>
      </c>
      <c r="K127" s="33">
        <f>K121+K123+K125</f>
        <v/>
      </c>
      <c r="L127" s="33">
        <f>L121+L123+L125</f>
        <v/>
      </c>
      <c r="M127" s="33">
        <f>M121+M123+M125</f>
        <v/>
      </c>
      <c r="N127" s="33">
        <f>N121+N123+N125</f>
        <v/>
      </c>
      <c r="O127" s="33">
        <f>O121+O123+O125</f>
        <v/>
      </c>
      <c r="P127" s="33">
        <f>P121+P123+P125</f>
        <v/>
      </c>
      <c r="Q127" s="33">
        <f>Q121+Q123+Q125</f>
        <v/>
      </c>
      <c r="R127" s="33">
        <f>R121+R123+R125</f>
        <v/>
      </c>
      <c r="S127" s="33">
        <f>S121+S123+S125</f>
        <v/>
      </c>
      <c r="T127" s="33">
        <f>T121+T123+T125</f>
        <v/>
      </c>
      <c r="U127" s="33">
        <f>U121+U123+U125</f>
        <v/>
      </c>
      <c r="V127" s="33">
        <f>V121+V123+V125</f>
        <v/>
      </c>
      <c r="W127" s="33">
        <f>W121+W123+W125</f>
        <v/>
      </c>
      <c r="X127" s="33">
        <f>X121+X123+X125</f>
        <v/>
      </c>
      <c r="Y127" s="33">
        <f>Y121+Y123+Y125</f>
        <v/>
      </c>
      <c r="Z127" s="33">
        <f>Z121+Z123+Z125</f>
        <v/>
      </c>
      <c r="AA127" s="33">
        <f>AA121+AA123+AA125</f>
        <v/>
      </c>
      <c r="AB127" s="33">
        <f>AB121+AB123+AB125</f>
        <v/>
      </c>
      <c r="AC127" s="33">
        <f>AC121+AC123+AC125</f>
        <v/>
      </c>
      <c r="AD127" s="33">
        <f>AD121+AD123+AD125</f>
        <v/>
      </c>
      <c r="AE127" s="33">
        <f>AE121+AE123+AE125</f>
        <v/>
      </c>
      <c r="AF127" s="33">
        <f>AF121+AF123+AF125</f>
        <v/>
      </c>
      <c r="AG127" s="33">
        <f>AG121+AG123+AG125</f>
        <v/>
      </c>
      <c r="AH127" s="33">
        <f>AH121+AH123+AH125</f>
        <v/>
      </c>
      <c r="AI127" s="33">
        <f>AI121+AI123+AI125</f>
        <v/>
      </c>
      <c r="AJ127" s="33">
        <f>AJ121+AJ123+AJ125</f>
        <v/>
      </c>
      <c r="AK127" s="33">
        <f>AK121+AK123+AK125</f>
        <v/>
      </c>
      <c r="AL127" s="33">
        <f>AL121+AL123+AL125</f>
        <v/>
      </c>
      <c r="AM127" s="33">
        <f>AM121+AM123+AM125</f>
        <v/>
      </c>
      <c r="AN127" s="33">
        <f>AN121+AN123+AN125</f>
        <v/>
      </c>
      <c r="AO127" s="33">
        <f>AO121+AO123+AO125</f>
        <v/>
      </c>
      <c r="AP127" s="33">
        <f>AP121+AP123+AP125</f>
        <v/>
      </c>
      <c r="AQ127" s="33">
        <f>AQ121+AQ123+AQ125</f>
        <v/>
      </c>
      <c r="AR127" s="33">
        <f>AR121+AR123+AR125</f>
        <v/>
      </c>
      <c r="AS127" s="33">
        <f>AS121+AS123+AS125</f>
        <v/>
      </c>
      <c r="AT127" s="33">
        <f>AT121+AT123+AT125</f>
        <v/>
      </c>
      <c r="AU127" s="33">
        <f>AU121+AU123+AU125</f>
        <v/>
      </c>
      <c r="AV127" s="33">
        <f>AV121+AV123+AV125</f>
        <v/>
      </c>
      <c r="AW127" s="33">
        <f>AW121+AW123+AW125</f>
        <v/>
      </c>
      <c r="AX127" s="33">
        <f>AX121+AX123+AX125</f>
        <v/>
      </c>
      <c r="AY127" s="33">
        <f>AY121+AY123+AY125</f>
        <v/>
      </c>
      <c r="AZ127" s="33">
        <f>AZ121+AZ123+AZ125</f>
        <v/>
      </c>
      <c r="BA127" s="33">
        <f>BA121+BA123+BA125</f>
        <v/>
      </c>
      <c r="BB127" s="33">
        <f>BB121+BB123+BB125</f>
        <v/>
      </c>
      <c r="BC127" s="33">
        <f>BC121+BC123+BC125</f>
        <v/>
      </c>
      <c r="BD127" s="33">
        <f>BD121+BD123+BD125</f>
        <v/>
      </c>
      <c r="BE127" s="33">
        <f>BE121+BE123+BE125</f>
        <v/>
      </c>
      <c r="BF127" s="33">
        <f>BF121+BF123+BF125</f>
        <v/>
      </c>
      <c r="BG127" s="33">
        <f>BG121+BG123+BG125</f>
        <v/>
      </c>
      <c r="BH127" s="33">
        <f>BH121+BH123+BH125</f>
        <v/>
      </c>
      <c r="BI127" s="33">
        <f>BI121+BI123+BI125</f>
        <v/>
      </c>
      <c r="BJ127" s="33">
        <f>BJ121+BJ123+BJ125</f>
        <v/>
      </c>
      <c r="BK127" s="33">
        <f>BK121+BK123+BK125</f>
        <v/>
      </c>
      <c r="BL127" s="33">
        <f>BL121+BL123+BL125</f>
        <v/>
      </c>
      <c r="BM127" s="33">
        <f>BM121+BM123+BM125</f>
        <v/>
      </c>
      <c r="BN127" s="33">
        <f>BN121+BN123+BN125</f>
        <v/>
      </c>
      <c r="BO127" s="33">
        <f>BO121+BO123+BO125</f>
        <v/>
      </c>
      <c r="BP127" s="33">
        <f>BP121+BP123+BP125</f>
        <v/>
      </c>
      <c r="BQ127" s="33">
        <f>BQ121+BQ123+BQ125</f>
        <v/>
      </c>
      <c r="BR127" s="33">
        <f>BR121+BR123+BR125</f>
        <v/>
      </c>
      <c r="BS127" s="33">
        <f>BS121+BS123+BS125</f>
        <v/>
      </c>
      <c r="BT127" s="33">
        <f>BT121+BT123+BT125</f>
        <v/>
      </c>
      <c r="BU127" s="33">
        <f>BU121+BU123+BU125</f>
        <v/>
      </c>
      <c r="BV127" s="33">
        <f>BV121+BV123+BV125</f>
        <v/>
      </c>
      <c r="BW127" s="33">
        <f>BW121+BW123+BW125</f>
        <v/>
      </c>
      <c r="BX127" s="33">
        <f>BX121+BX123+BX125</f>
        <v/>
      </c>
      <c r="BY127" s="33">
        <f>BY121+BY123+BY125</f>
        <v/>
      </c>
      <c r="BZ127" s="33">
        <f>BZ121+BZ123+BZ125</f>
        <v/>
      </c>
      <c r="CA127" s="33">
        <f>CA121+CA123+CA125</f>
        <v/>
      </c>
      <c r="CB127" s="33">
        <f>CB121+CB123+CB125</f>
        <v/>
      </c>
      <c r="CC127" s="33">
        <f>CC121+CC123+CC125</f>
        <v/>
      </c>
      <c r="CD127" s="33">
        <f>CD121+CD123+CD125</f>
        <v/>
      </c>
      <c r="CE127" s="33">
        <f>CE121+CE123+CE125</f>
        <v/>
      </c>
      <c r="CF127" s="33">
        <f>CF121+CF123+CF125</f>
        <v/>
      </c>
      <c r="CG127" s="33">
        <f>CG121+CG123+CG125</f>
        <v/>
      </c>
      <c r="CH127" s="33">
        <f>CH121+CH123+CH125</f>
        <v/>
      </c>
      <c r="CI127" s="33">
        <f>CI121+CI123+CI125</f>
        <v/>
      </c>
      <c r="CJ127" s="33">
        <f>CJ121+CJ123+CJ125</f>
        <v/>
      </c>
      <c r="CK127" s="33">
        <f>CK121+CK123+CK125</f>
        <v/>
      </c>
      <c r="CL127" s="33">
        <f>CL121+CL123+CL125</f>
        <v/>
      </c>
      <c r="CM127" s="33">
        <f>CM121+CM123+CM125</f>
        <v/>
      </c>
      <c r="CN127" s="33">
        <f>CN121+CN123+CN125</f>
        <v/>
      </c>
      <c r="CO127" s="33">
        <f>CO121+CO123+CO125</f>
        <v/>
      </c>
      <c r="CP127" s="33">
        <f>CP121+CP123+CP125</f>
        <v/>
      </c>
      <c r="CQ127" s="33">
        <f>CQ121+CQ123+CQ125</f>
        <v/>
      </c>
      <c r="CR127" s="33">
        <f>CR121+CR123+CR125</f>
        <v/>
      </c>
      <c r="CS127" s="33">
        <f>CS121+CS123+CS125</f>
        <v/>
      </c>
      <c r="CT127" s="33">
        <f>CT121+CT123+CT125</f>
        <v/>
      </c>
      <c r="CU127" s="33">
        <f>CU121+CU123+CU125</f>
        <v/>
      </c>
      <c r="CV127" s="33">
        <f>CV121+CV123+CV125</f>
        <v/>
      </c>
      <c r="CW127" s="33">
        <f>CW121+CW123+CW125</f>
        <v/>
      </c>
      <c r="CX127" s="33">
        <f>CX121+CX123+CX125</f>
        <v/>
      </c>
      <c r="CY127" s="33">
        <f>CY121+CY123+CY125</f>
        <v/>
      </c>
      <c r="CZ127" s="33">
        <f>CZ121+CZ123+CZ125</f>
        <v/>
      </c>
      <c r="DA127" s="33">
        <f>DA121+DA123+DA125</f>
        <v/>
      </c>
      <c r="DB127" s="33">
        <f>DB121+DB123+DB125</f>
        <v/>
      </c>
      <c r="DC127" s="33">
        <f>DC121+DC123+DC125</f>
        <v/>
      </c>
      <c r="DD127" s="33">
        <f>DD121+DD123+DD125</f>
        <v/>
      </c>
      <c r="DE127" s="33">
        <f>DE121+DE123+DE125</f>
        <v/>
      </c>
      <c r="DL127" s="33">
        <f>SUM(C127:DE127)</f>
        <v/>
      </c>
    </row>
    <row r="128">
      <c r="B128" s="32" t="inlineStr">
        <is>
          <t>Produccion fuente</t>
        </is>
      </c>
      <c r="C128" s="33" t="n">
        <v>147071708.233715</v>
      </c>
      <c r="D128" s="33" t="n">
        <v>23787591.23705842</v>
      </c>
      <c r="E128" s="33" t="n">
        <v>660817.6547533774</v>
      </c>
      <c r="F128" s="33" t="n">
        <v>97.33574931351268</v>
      </c>
      <c r="G128" s="33" t="n">
        <v>2620952.546308189</v>
      </c>
      <c r="H128" s="33" t="n">
        <v>918635.3834909194</v>
      </c>
      <c r="I128" s="33" t="n">
        <v>8315942.256041335</v>
      </c>
      <c r="J128" s="33" t="n">
        <v>90191478.83350958</v>
      </c>
      <c r="K128" s="33" t="n">
        <v>8283910.687762905</v>
      </c>
      <c r="L128" s="33" t="n">
        <v>812726.6815570068</v>
      </c>
      <c r="M128" s="33" t="n">
        <v>26666102.51334246</v>
      </c>
      <c r="N128" s="33" t="n">
        <v>64963164.30023594</v>
      </c>
      <c r="O128" s="33" t="n">
        <v>1935003.236043724</v>
      </c>
      <c r="P128" s="33" t="n">
        <v>3839536.770167262</v>
      </c>
      <c r="Q128" s="33" t="n">
        <v>13159182.06314641</v>
      </c>
      <c r="R128" s="33" t="n">
        <v>28827822.51499775</v>
      </c>
      <c r="S128" s="33" t="n">
        <v>27614061.45690024</v>
      </c>
      <c r="T128" s="33" t="n">
        <v>28525084.32072117</v>
      </c>
      <c r="U128" s="33" t="n">
        <v>5999617.734108609</v>
      </c>
      <c r="V128" s="33" t="n">
        <v>7367709.996155763</v>
      </c>
      <c r="W128" s="33" t="n">
        <v>18849823.49574537</v>
      </c>
      <c r="X128" s="33" t="n">
        <v>5613259.58422158</v>
      </c>
      <c r="Y128" s="33" t="n">
        <v>9432249.433505885</v>
      </c>
      <c r="Z128" s="33" t="n">
        <v>1341343.229938279</v>
      </c>
      <c r="AA128" s="33" t="n">
        <v>12272980.56374338</v>
      </c>
      <c r="AB128" s="33" t="n">
        <v>11621636.16039816</v>
      </c>
      <c r="AC128" s="33" t="n">
        <v>9582764.104001952</v>
      </c>
      <c r="AD128" s="33" t="n">
        <v>3690137.878446633</v>
      </c>
      <c r="AE128" s="33" t="n">
        <v>41881468.09478209</v>
      </c>
      <c r="AF128" s="33" t="n">
        <v>24962389.33456846</v>
      </c>
      <c r="AG128" s="33" t="n">
        <v>4123548.683440854</v>
      </c>
      <c r="AH128" s="33" t="n">
        <v>7404118.732878901</v>
      </c>
      <c r="AI128" s="33" t="n">
        <v>25317987.17687793</v>
      </c>
      <c r="AJ128" s="33" t="n">
        <v>72798561.65291965</v>
      </c>
      <c r="AK128" s="33" t="n">
        <v>10315421.73705298</v>
      </c>
      <c r="AL128" s="33" t="n">
        <v>20514833.69462583</v>
      </c>
      <c r="AM128" s="33" t="n">
        <v>231396810.7142074</v>
      </c>
      <c r="AN128" s="33" t="n">
        <v>68118192.02229668</v>
      </c>
      <c r="AO128" s="33" t="n">
        <v>56893964.99414311</v>
      </c>
      <c r="AP128" s="33" t="n">
        <v>74056795.40406802</v>
      </c>
      <c r="AQ128" s="33" t="n">
        <v>154309841.1675099</v>
      </c>
      <c r="AR128" s="33" t="n">
        <v>30533503.32428512</v>
      </c>
      <c r="AS128" s="33" t="n">
        <v>70819671.84432417</v>
      </c>
      <c r="AT128" s="33" t="n">
        <v>17747352.78880873</v>
      </c>
      <c r="AU128" s="33" t="n">
        <v>70859226.54175192</v>
      </c>
      <c r="AV128" s="33" t="n">
        <v>82325160.14127354</v>
      </c>
      <c r="AW128" s="33" t="n">
        <v>30617733.30941809</v>
      </c>
      <c r="AX128" s="33" t="n">
        <v>29797837.05384049</v>
      </c>
      <c r="AY128" s="33" t="n">
        <v>19248520.08548782</v>
      </c>
      <c r="AZ128" s="33" t="n">
        <v>68195835.49024923</v>
      </c>
      <c r="BA128" s="33" t="n">
        <v>64175436.00431929</v>
      </c>
      <c r="BB128" s="33" t="n">
        <v>15029958.58775322</v>
      </c>
      <c r="BC128" s="33" t="n">
        <v>5054554.148029004</v>
      </c>
      <c r="BD128" s="33" t="n">
        <v>11224433.09082232</v>
      </c>
      <c r="BE128" s="33" t="n">
        <v>46988733.38764206</v>
      </c>
      <c r="BF128" s="33" t="n">
        <v>23854147.20700064</v>
      </c>
      <c r="BG128" s="33" t="n">
        <v>37319426.2708995</v>
      </c>
      <c r="BH128" s="33" t="n">
        <v>66231336.84108695</v>
      </c>
      <c r="BI128" s="33" t="n">
        <v>7836456.373671841</v>
      </c>
      <c r="BJ128" s="33" t="n">
        <v>20316456.9602695</v>
      </c>
      <c r="BK128" s="33" t="n">
        <v>115205151.7910679</v>
      </c>
      <c r="BL128" s="33" t="n">
        <v>42245861.0151871</v>
      </c>
      <c r="BM128" s="33" t="n">
        <v>5896904.257196788</v>
      </c>
      <c r="BN128" s="33" t="n">
        <v>32027850.74224292</v>
      </c>
      <c r="BO128" s="33" t="n">
        <v>4529214.635750239</v>
      </c>
      <c r="BP128" s="33" t="n">
        <v>18393922.02191905</v>
      </c>
      <c r="BQ128" s="33" t="n">
        <v>-7670513.639777663</v>
      </c>
      <c r="BR128" s="33" t="n">
        <v>60454.13332872582</v>
      </c>
      <c r="BS128" s="33" t="n">
        <v>10331938.16431952</v>
      </c>
      <c r="BT128" s="33" t="n">
        <v>15496572.62467457</v>
      </c>
      <c r="BU128" s="33" t="n">
        <v>-831189692.7416188</v>
      </c>
      <c r="BV128" s="33" t="n">
        <v>21790200.72825279</v>
      </c>
      <c r="BW128" s="33" t="n">
        <v>3173620.759570606</v>
      </c>
      <c r="BX128" s="33" t="n">
        <v>35896946.96404839</v>
      </c>
      <c r="BY128" s="33" t="n">
        <v>29894970.59017602</v>
      </c>
      <c r="BZ128" s="33" t="n">
        <v>-321349.1345231867</v>
      </c>
      <c r="CA128" s="33" t="n">
        <v>-83511932.62031217</v>
      </c>
      <c r="CB128" s="33" t="n">
        <v>-4085741.746188777</v>
      </c>
      <c r="CC128" s="33" t="n">
        <v>5283.641409343169</v>
      </c>
      <c r="CD128" s="33" t="n">
        <v>18038111.57681708</v>
      </c>
      <c r="CE128" s="33" t="n">
        <v>11605284.77739577</v>
      </c>
      <c r="CF128" s="33" t="n">
        <v>2027519.198702073</v>
      </c>
      <c r="CG128" s="33" t="n">
        <v>8384138.208328186</v>
      </c>
      <c r="CH128" s="33" t="n">
        <v>36193109.93065687</v>
      </c>
      <c r="CI128" s="33" t="n">
        <v>4524858.160246459</v>
      </c>
      <c r="CJ128" s="33" t="n">
        <v>39028409.41353</v>
      </c>
      <c r="CK128" s="33" t="n">
        <v>9843305.05161372</v>
      </c>
      <c r="CL128" s="33" t="n">
        <v>14927226.95861253</v>
      </c>
      <c r="CM128" s="33" t="n">
        <v>8854194.718162265</v>
      </c>
      <c r="CN128" s="33" t="n">
        <v>0</v>
      </c>
      <c r="CO128" s="33" t="n">
        <v>5428737.051898737</v>
      </c>
      <c r="CP128" s="33" t="n">
        <v>1089445.355291772</v>
      </c>
      <c r="CQ128" s="33" t="n">
        <v>16293462.29292956</v>
      </c>
      <c r="CR128" s="33" t="n">
        <v>67281895.82948108</v>
      </c>
      <c r="CS128" s="33" t="n">
        <v>493414.5241847673</v>
      </c>
      <c r="CT128" s="33" t="n">
        <v>0</v>
      </c>
      <c r="CU128" s="33" t="n">
        <v>48627369.29392652</v>
      </c>
      <c r="CV128" s="33" t="n">
        <v>9958.471201922359</v>
      </c>
      <c r="CW128" s="33" t="n">
        <v>523339.9504589185</v>
      </c>
      <c r="CX128" s="33" t="n">
        <v>0</v>
      </c>
      <c r="CY128" s="33" t="n">
        <v>14423065.94253218</v>
      </c>
      <c r="CZ128" s="33" t="n">
        <v>0</v>
      </c>
      <c r="DA128" s="33" t="n">
        <v>1130323.061121616</v>
      </c>
      <c r="DB128" s="33" t="n">
        <v>939766.5221701361</v>
      </c>
      <c r="DC128" s="33" t="n">
        <v>29456688.9756894</v>
      </c>
      <c r="DD128" s="33" t="n">
        <v>863944.5803397328</v>
      </c>
      <c r="DE128" s="33" t="n">
        <v>0</v>
      </c>
      <c r="DL128" s="33">
        <f>SUM(C128:DE128)</f>
        <v/>
      </c>
    </row>
    <row r="129">
      <c r="B129" s="35" t="inlineStr">
        <is>
          <t>Check produccion total - fuente</t>
        </is>
      </c>
      <c r="C129" s="36">
        <f>C127-C128</f>
        <v/>
      </c>
      <c r="D129" s="36">
        <f>D127-D128</f>
        <v/>
      </c>
      <c r="E129" s="36">
        <f>E127-E128</f>
        <v/>
      </c>
      <c r="F129" s="36">
        <f>F127-F128</f>
        <v/>
      </c>
      <c r="G129" s="36">
        <f>G127-G128</f>
        <v/>
      </c>
      <c r="H129" s="36">
        <f>H127-H128</f>
        <v/>
      </c>
      <c r="I129" s="36">
        <f>I127-I128</f>
        <v/>
      </c>
      <c r="J129" s="36">
        <f>J127-J128</f>
        <v/>
      </c>
      <c r="K129" s="36">
        <f>K127-K128</f>
        <v/>
      </c>
      <c r="L129" s="36">
        <f>L127-L128</f>
        <v/>
      </c>
      <c r="M129" s="36">
        <f>M127-M128</f>
        <v/>
      </c>
      <c r="N129" s="36">
        <f>N127-N128</f>
        <v/>
      </c>
      <c r="O129" s="36">
        <f>O127-O128</f>
        <v/>
      </c>
      <c r="P129" s="36">
        <f>P127-P128</f>
        <v/>
      </c>
      <c r="Q129" s="36">
        <f>Q127-Q128</f>
        <v/>
      </c>
      <c r="R129" s="36">
        <f>R127-R128</f>
        <v/>
      </c>
      <c r="S129" s="36">
        <f>S127-S128</f>
        <v/>
      </c>
      <c r="T129" s="36">
        <f>T127-T128</f>
        <v/>
      </c>
      <c r="U129" s="36">
        <f>U127-U128</f>
        <v/>
      </c>
      <c r="V129" s="36">
        <f>V127-V128</f>
        <v/>
      </c>
      <c r="W129" s="36">
        <f>W127-W128</f>
        <v/>
      </c>
      <c r="X129" s="36">
        <f>X127-X128</f>
        <v/>
      </c>
      <c r="Y129" s="36">
        <f>Y127-Y128</f>
        <v/>
      </c>
      <c r="Z129" s="36">
        <f>Z127-Z128</f>
        <v/>
      </c>
      <c r="AA129" s="36">
        <f>AA127-AA128</f>
        <v/>
      </c>
      <c r="AB129" s="36">
        <f>AB127-AB128</f>
        <v/>
      </c>
      <c r="AC129" s="36">
        <f>AC127-AC128</f>
        <v/>
      </c>
      <c r="AD129" s="36">
        <f>AD127-AD128</f>
        <v/>
      </c>
      <c r="AE129" s="36">
        <f>AE127-AE128</f>
        <v/>
      </c>
      <c r="AF129" s="36">
        <f>AF127-AF128</f>
        <v/>
      </c>
      <c r="AG129" s="36">
        <f>AG127-AG128</f>
        <v/>
      </c>
      <c r="AH129" s="36">
        <f>AH127-AH128</f>
        <v/>
      </c>
      <c r="AI129" s="36">
        <f>AI127-AI128</f>
        <v/>
      </c>
      <c r="AJ129" s="36">
        <f>AJ127-AJ128</f>
        <v/>
      </c>
      <c r="AK129" s="36">
        <f>AK127-AK128</f>
        <v/>
      </c>
      <c r="AL129" s="36">
        <f>AL127-AL128</f>
        <v/>
      </c>
      <c r="AM129" s="36">
        <f>AM127-AM128</f>
        <v/>
      </c>
      <c r="AN129" s="36">
        <f>AN127-AN128</f>
        <v/>
      </c>
      <c r="AO129" s="36">
        <f>AO127-AO128</f>
        <v/>
      </c>
      <c r="AP129" s="36">
        <f>AP127-AP128</f>
        <v/>
      </c>
      <c r="AQ129" s="36">
        <f>AQ127-AQ128</f>
        <v/>
      </c>
      <c r="AR129" s="36">
        <f>AR127-AR128</f>
        <v/>
      </c>
      <c r="AS129" s="36">
        <f>AS127-AS128</f>
        <v/>
      </c>
      <c r="AT129" s="36">
        <f>AT127-AT128</f>
        <v/>
      </c>
      <c r="AU129" s="36">
        <f>AU127-AU128</f>
        <v/>
      </c>
      <c r="AV129" s="36">
        <f>AV127-AV128</f>
        <v/>
      </c>
      <c r="AW129" s="36">
        <f>AW127-AW128</f>
        <v/>
      </c>
      <c r="AX129" s="36">
        <f>AX127-AX128</f>
        <v/>
      </c>
      <c r="AY129" s="36">
        <f>AY127-AY128</f>
        <v/>
      </c>
      <c r="AZ129" s="36">
        <f>AZ127-AZ128</f>
        <v/>
      </c>
      <c r="BA129" s="36">
        <f>BA127-BA128</f>
        <v/>
      </c>
      <c r="BB129" s="36">
        <f>BB127-BB128</f>
        <v/>
      </c>
      <c r="BC129" s="36">
        <f>BC127-BC128</f>
        <v/>
      </c>
      <c r="BD129" s="36">
        <f>BD127-BD128</f>
        <v/>
      </c>
      <c r="BE129" s="36">
        <f>BE127-BE128</f>
        <v/>
      </c>
      <c r="BF129" s="36">
        <f>BF127-BF128</f>
        <v/>
      </c>
      <c r="BG129" s="36">
        <f>BG127-BG128</f>
        <v/>
      </c>
      <c r="BH129" s="36">
        <f>BH127-BH128</f>
        <v/>
      </c>
      <c r="BI129" s="36">
        <f>BI127-BI128</f>
        <v/>
      </c>
      <c r="BJ129" s="36">
        <f>BJ127-BJ128</f>
        <v/>
      </c>
      <c r="BK129" s="36">
        <f>BK127-BK128</f>
        <v/>
      </c>
      <c r="BL129" s="36">
        <f>BL127-BL128</f>
        <v/>
      </c>
      <c r="BM129" s="36">
        <f>BM127-BM128</f>
        <v/>
      </c>
      <c r="BN129" s="36">
        <f>BN127-BN128</f>
        <v/>
      </c>
      <c r="BO129" s="36">
        <f>BO127-BO128</f>
        <v/>
      </c>
      <c r="BP129" s="36">
        <f>BP127-BP128</f>
        <v/>
      </c>
      <c r="BQ129" s="36">
        <f>BQ127-BQ128</f>
        <v/>
      </c>
      <c r="BR129" s="36">
        <f>BR127-BR128</f>
        <v/>
      </c>
      <c r="BS129" s="36">
        <f>BS127-BS128</f>
        <v/>
      </c>
      <c r="BT129" s="36">
        <f>BT127-BT128</f>
        <v/>
      </c>
      <c r="BU129" s="36">
        <f>BU127-BU128</f>
        <v/>
      </c>
      <c r="BV129" s="36">
        <f>BV127-BV128</f>
        <v/>
      </c>
      <c r="BW129" s="36">
        <f>BW127-BW128</f>
        <v/>
      </c>
      <c r="BX129" s="36">
        <f>BX127-BX128</f>
        <v/>
      </c>
      <c r="BY129" s="36">
        <f>BY127-BY128</f>
        <v/>
      </c>
      <c r="BZ129" s="36">
        <f>BZ127-BZ128</f>
        <v/>
      </c>
      <c r="CA129" s="36">
        <f>CA127-CA128</f>
        <v/>
      </c>
      <c r="CB129" s="36">
        <f>CB127-CB128</f>
        <v/>
      </c>
      <c r="CC129" s="36">
        <f>CC127-CC128</f>
        <v/>
      </c>
      <c r="CD129" s="36">
        <f>CD127-CD128</f>
        <v/>
      </c>
      <c r="CE129" s="36">
        <f>CE127-CE128</f>
        <v/>
      </c>
      <c r="CF129" s="36">
        <f>CF127-CF128</f>
        <v/>
      </c>
      <c r="CG129" s="36">
        <f>CG127-CG128</f>
        <v/>
      </c>
      <c r="CH129" s="36">
        <f>CH127-CH128</f>
        <v/>
      </c>
      <c r="CI129" s="36">
        <f>CI127-CI128</f>
        <v/>
      </c>
      <c r="CJ129" s="36">
        <f>CJ127-CJ128</f>
        <v/>
      </c>
      <c r="CK129" s="36">
        <f>CK127-CK128</f>
        <v/>
      </c>
      <c r="CL129" s="36">
        <f>CL127-CL128</f>
        <v/>
      </c>
      <c r="CM129" s="36">
        <f>CM127-CM128</f>
        <v/>
      </c>
      <c r="CN129" s="36">
        <f>CN127-CN128</f>
        <v/>
      </c>
      <c r="CO129" s="36">
        <f>CO127-CO128</f>
        <v/>
      </c>
      <c r="CP129" s="36">
        <f>CP127-CP128</f>
        <v/>
      </c>
      <c r="CQ129" s="36">
        <f>CQ127-CQ128</f>
        <v/>
      </c>
      <c r="CR129" s="36">
        <f>CR127-CR128</f>
        <v/>
      </c>
      <c r="CS129" s="36">
        <f>CS127-CS128</f>
        <v/>
      </c>
      <c r="CT129" s="36">
        <f>CT127-CT128</f>
        <v/>
      </c>
      <c r="CU129" s="36">
        <f>CU127-CU128</f>
        <v/>
      </c>
      <c r="CV129" s="36">
        <f>CV127-CV128</f>
        <v/>
      </c>
      <c r="CW129" s="36">
        <f>CW127-CW128</f>
        <v/>
      </c>
      <c r="CX129" s="36">
        <f>CX127-CX128</f>
        <v/>
      </c>
      <c r="CY129" s="36">
        <f>CY127-CY128</f>
        <v/>
      </c>
      <c r="CZ129" s="36">
        <f>CZ127-CZ128</f>
        <v/>
      </c>
      <c r="DA129" s="36">
        <f>DA127-DA128</f>
        <v/>
      </c>
      <c r="DB129" s="36">
        <f>DB127-DB128</f>
        <v/>
      </c>
      <c r="DC129" s="36">
        <f>DC127-DC128</f>
        <v/>
      </c>
      <c r="DD129" s="36">
        <f>DD127-DD128</f>
        <v/>
      </c>
      <c r="DE129" s="36">
        <f>DE127-DE128</f>
        <v/>
      </c>
      <c r="DL129" s="36">
        <f>SUM(C129:DE129)</f>
        <v/>
      </c>
    </row>
    <row r="130"/>
    <row r="131">
      <c r="B131" s="30" t="inlineStr">
        <is>
          <t>Nota</t>
        </is>
      </c>
      <c r="C131" s="30" t="inlineStr">
        <is>
          <t>U_importada/ajuste transformado a industrias con D = V * diag(q)^-1.</t>
        </is>
      </c>
    </row>
  </sheetData>
  <mergeCells count="9">
    <mergeCell ref="A3:H4"/>
    <mergeCell ref="DG10:DJ10"/>
    <mergeCell ref="B10:B12"/>
    <mergeCell ref="DL10:DL12"/>
    <mergeCell ref="DF10:DF12"/>
    <mergeCell ref="A10:A12"/>
    <mergeCell ref="DK10:DK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L13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2018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3" t="inlineStr">
        <is>
          <t>Total consumo intermedio</t>
        </is>
      </c>
      <c r="DG10" s="23" t="inlineStr">
        <is>
          <t>Demanda final</t>
        </is>
      </c>
      <c r="DH10" s="24" t="n"/>
      <c r="DI10" s="24" t="n"/>
      <c r="DJ10" s="24" t="n"/>
      <c r="DK10" s="23" t="inlineStr">
        <is>
          <t>Total demanda final</t>
        </is>
      </c>
      <c r="DL10" s="23" t="inlineStr">
        <is>
          <t>Total</t>
        </is>
      </c>
    </row>
    <row r="11" ht="15" customHeight="1">
      <c r="C11" s="25" t="inlineStr">
        <is>
          <t>011/014</t>
        </is>
      </c>
      <c r="D11" s="25" t="inlineStr">
        <is>
          <t>012</t>
        </is>
      </c>
      <c r="E11" s="25" t="inlineStr">
        <is>
          <t>015</t>
        </is>
      </c>
      <c r="F11" s="25" t="inlineStr">
        <is>
          <t>016</t>
        </is>
      </c>
      <c r="G11" s="25" t="inlineStr">
        <is>
          <t>020</t>
        </is>
      </c>
      <c r="H11" s="25" t="inlineStr">
        <is>
          <t>050</t>
        </is>
      </c>
      <c r="I11" s="25" t="inlineStr">
        <is>
          <t>101</t>
        </is>
      </c>
      <c r="J11" s="25" t="inlineStr">
        <is>
          <t>111</t>
        </is>
      </c>
      <c r="K11" s="25" t="inlineStr">
        <is>
          <t>112</t>
        </is>
      </c>
      <c r="L11" s="25" t="inlineStr">
        <is>
          <t>132</t>
        </is>
      </c>
      <c r="M11" s="25" t="inlineStr">
        <is>
          <t>141/142</t>
        </is>
      </c>
      <c r="N11" s="25" t="inlineStr">
        <is>
          <t>1511</t>
        </is>
      </c>
      <c r="O11" s="25" t="inlineStr">
        <is>
          <t>1512</t>
        </is>
      </c>
      <c r="P11" s="25" t="inlineStr">
        <is>
          <t>1513</t>
        </is>
      </c>
      <c r="Q11" s="25" t="inlineStr">
        <is>
          <t>1514</t>
        </is>
      </c>
      <c r="R11" s="25" t="inlineStr">
        <is>
          <t>1520</t>
        </is>
      </c>
      <c r="S11" s="25" t="inlineStr">
        <is>
          <t>1531/2</t>
        </is>
      </c>
      <c r="T11" s="25" t="inlineStr">
        <is>
          <t>15330</t>
        </is>
      </c>
      <c r="U11" s="25" t="inlineStr">
        <is>
          <t>1541</t>
        </is>
      </c>
      <c r="V11" s="25" t="inlineStr">
        <is>
          <t>15420</t>
        </is>
      </c>
      <c r="W11" s="25" t="inlineStr">
        <is>
          <t>15430</t>
        </is>
      </c>
      <c r="X11" s="25" t="inlineStr">
        <is>
          <t>1544</t>
        </is>
      </c>
      <c r="Y11" s="25" t="inlineStr">
        <is>
          <t>1549</t>
        </is>
      </c>
      <c r="Z11" s="25" t="inlineStr">
        <is>
          <t>15510</t>
        </is>
      </c>
      <c r="AA11" s="25" t="inlineStr">
        <is>
          <t>1552</t>
        </is>
      </c>
      <c r="AB11" s="25" t="inlineStr">
        <is>
          <t>15530</t>
        </is>
      </c>
      <c r="AC11" s="25" t="inlineStr">
        <is>
          <t>1554</t>
        </is>
      </c>
      <c r="AD11" s="25" t="inlineStr">
        <is>
          <t>160</t>
        </is>
      </c>
      <c r="AE11" s="25" t="inlineStr">
        <is>
          <t>171/2</t>
        </is>
      </c>
      <c r="AF11" s="25" t="inlineStr">
        <is>
          <t>18</t>
        </is>
      </c>
      <c r="AG11" s="25" t="inlineStr">
        <is>
          <t>191</t>
        </is>
      </c>
      <c r="AH11" s="25" t="inlineStr">
        <is>
          <t>192</t>
        </is>
      </c>
      <c r="AI11" s="25" t="inlineStr">
        <is>
          <t>201/2</t>
        </is>
      </c>
      <c r="AJ11" s="25" t="inlineStr">
        <is>
          <t>210</t>
        </is>
      </c>
      <c r="AK11" s="25" t="inlineStr">
        <is>
          <t>221</t>
        </is>
      </c>
      <c r="AL11" s="25" t="inlineStr">
        <is>
          <t>222</t>
        </is>
      </c>
      <c r="AM11" s="25" t="inlineStr">
        <is>
          <t>23</t>
        </is>
      </c>
      <c r="AN11" s="25" t="inlineStr">
        <is>
          <t>2411</t>
        </is>
      </c>
      <c r="AO11" s="25" t="inlineStr">
        <is>
          <t>2412/2421</t>
        </is>
      </c>
      <c r="AP11" s="25" t="inlineStr">
        <is>
          <t>24130</t>
        </is>
      </c>
      <c r="AQ11" s="25" t="inlineStr">
        <is>
          <t>242</t>
        </is>
      </c>
      <c r="AR11" s="25" t="inlineStr">
        <is>
          <t>251</t>
        </is>
      </c>
      <c r="AS11" s="25" t="inlineStr">
        <is>
          <t>252</t>
        </is>
      </c>
      <c r="AT11" s="25" t="inlineStr">
        <is>
          <t>261</t>
        </is>
      </c>
      <c r="AU11" s="25" t="inlineStr">
        <is>
          <t>269</t>
        </is>
      </c>
      <c r="AV11" s="25" t="inlineStr">
        <is>
          <t>27100</t>
        </is>
      </c>
      <c r="AW11" s="25" t="inlineStr">
        <is>
          <t>272</t>
        </is>
      </c>
      <c r="AX11" s="25" t="inlineStr">
        <is>
          <t>273</t>
        </is>
      </c>
      <c r="AY11" s="25" t="inlineStr">
        <is>
          <t>281</t>
        </is>
      </c>
      <c r="AZ11" s="25" t="inlineStr">
        <is>
          <t>289</t>
        </is>
      </c>
      <c r="BA11" s="25" t="inlineStr">
        <is>
          <t>291</t>
        </is>
      </c>
      <c r="BB11" s="25" t="inlineStr">
        <is>
          <t>292</t>
        </is>
      </c>
      <c r="BC11" s="25" t="inlineStr">
        <is>
          <t>29300</t>
        </is>
      </c>
      <c r="BD11" s="25" t="inlineStr">
        <is>
          <t>30000</t>
        </is>
      </c>
      <c r="BE11" s="25" t="inlineStr">
        <is>
          <t>311/12</t>
        </is>
      </c>
      <c r="BF11" s="25" t="inlineStr">
        <is>
          <t>31300</t>
        </is>
      </c>
      <c r="BG11" s="25" t="inlineStr">
        <is>
          <t>314/15/19</t>
        </is>
      </c>
      <c r="BH11" s="25" t="inlineStr">
        <is>
          <t>32100/32200</t>
        </is>
      </c>
      <c r="BI11" s="25" t="inlineStr">
        <is>
          <t>32300</t>
        </is>
      </c>
      <c r="BJ11" s="25" t="inlineStr">
        <is>
          <t>331/332</t>
        </is>
      </c>
      <c r="BK11" s="25" t="inlineStr">
        <is>
          <t>341/2</t>
        </is>
      </c>
      <c r="BL11" s="25" t="inlineStr">
        <is>
          <t>34300</t>
        </is>
      </c>
      <c r="BM11" s="25" t="inlineStr">
        <is>
          <t>351/2/3/9</t>
        </is>
      </c>
      <c r="BN11" s="25" t="inlineStr">
        <is>
          <t>361/9</t>
        </is>
      </c>
      <c r="BO11" s="25" t="inlineStr">
        <is>
          <t>37/38</t>
        </is>
      </c>
      <c r="BP11" s="25" t="inlineStr">
        <is>
          <t>401</t>
        </is>
      </c>
      <c r="BQ11" s="25" t="inlineStr">
        <is>
          <t>402</t>
        </is>
      </c>
      <c r="BR11" s="25" t="inlineStr">
        <is>
          <t>41</t>
        </is>
      </c>
      <c r="BS11" s="25" t="inlineStr">
        <is>
          <t>45</t>
        </is>
      </c>
      <c r="BT11" s="25" t="inlineStr">
        <is>
          <t>502</t>
        </is>
      </c>
      <c r="BU11" s="25" t="inlineStr">
        <is>
          <t>51</t>
        </is>
      </c>
      <c r="BV11" s="25" t="inlineStr">
        <is>
          <t>521/5</t>
        </is>
      </c>
      <c r="BW11" s="25" t="inlineStr">
        <is>
          <t>526</t>
        </is>
      </c>
      <c r="BX11" s="25" t="inlineStr">
        <is>
          <t>551</t>
        </is>
      </c>
      <c r="BY11" s="25" t="inlineStr">
        <is>
          <t>552</t>
        </is>
      </c>
      <c r="BZ11" s="25" t="inlineStr">
        <is>
          <t>601</t>
        </is>
      </c>
      <c r="CA11" s="25" t="inlineStr">
        <is>
          <t>602</t>
        </is>
      </c>
      <c r="CB11" s="25" t="inlineStr">
        <is>
          <t>603</t>
        </is>
      </c>
      <c r="CC11" s="25" t="inlineStr">
        <is>
          <t>61</t>
        </is>
      </c>
      <c r="CD11" s="25" t="inlineStr">
        <is>
          <t>62</t>
        </is>
      </c>
      <c r="CE11" s="25" t="inlineStr">
        <is>
          <t>63</t>
        </is>
      </c>
      <c r="CF11" s="25" t="inlineStr">
        <is>
          <t>641</t>
        </is>
      </c>
      <c r="CG11" s="25" t="inlineStr">
        <is>
          <t>642</t>
        </is>
      </c>
      <c r="CH11" s="25" t="inlineStr">
        <is>
          <t>643</t>
        </is>
      </c>
      <c r="CI11" s="25" t="inlineStr">
        <is>
          <t>644</t>
        </is>
      </c>
      <c r="CJ11" s="25" t="inlineStr">
        <is>
          <t>651 2</t>
        </is>
      </c>
      <c r="CK11" s="25" t="inlineStr">
        <is>
          <t>659</t>
        </is>
      </c>
      <c r="CL11" s="25" t="inlineStr">
        <is>
          <t>66</t>
        </is>
      </c>
      <c r="CM11" s="25" t="inlineStr">
        <is>
          <t>67</t>
        </is>
      </c>
      <c r="CN11" s="25" t="inlineStr">
        <is>
          <t>701 A</t>
        </is>
      </c>
      <c r="CO11" s="25" t="inlineStr">
        <is>
          <t>701 B</t>
        </is>
      </c>
      <c r="CP11" s="25" t="inlineStr">
        <is>
          <t>702</t>
        </is>
      </c>
      <c r="CQ11" s="25" t="inlineStr">
        <is>
          <t>71</t>
        </is>
      </c>
      <c r="CR11" s="25" t="inlineStr">
        <is>
          <t>72</t>
        </is>
      </c>
      <c r="CS11" s="25" t="inlineStr">
        <is>
          <t>73 PR</t>
        </is>
      </c>
      <c r="CT11" s="25" t="inlineStr">
        <is>
          <t>73 PU</t>
        </is>
      </c>
      <c r="CU11" s="25" t="inlineStr">
        <is>
          <t>74</t>
        </is>
      </c>
      <c r="CV11" s="25" t="inlineStr">
        <is>
          <t>75</t>
        </is>
      </c>
      <c r="CW11" s="25" t="inlineStr">
        <is>
          <t>80 PR</t>
        </is>
      </c>
      <c r="CX11" s="25" t="inlineStr">
        <is>
          <t>80 PU</t>
        </is>
      </c>
      <c r="CY11" s="25" t="inlineStr">
        <is>
          <t>85 PR</t>
        </is>
      </c>
      <c r="CZ11" s="25" t="inlineStr">
        <is>
          <t>85 PU</t>
        </is>
      </c>
      <c r="DA11" s="25" t="inlineStr">
        <is>
          <t>900</t>
        </is>
      </c>
      <c r="DB11" s="25" t="inlineStr">
        <is>
          <t>919</t>
        </is>
      </c>
      <c r="DC11" s="25" t="inlineStr">
        <is>
          <t>92</t>
        </is>
      </c>
      <c r="DD11" s="25" t="inlineStr">
        <is>
          <t>930</t>
        </is>
      </c>
      <c r="DE11" s="25" t="inlineStr">
        <is>
          <t>950</t>
        </is>
      </c>
      <c r="DG11" s="25" t="inlineStr"/>
      <c r="DH11" s="25" t="inlineStr"/>
      <c r="DI11" s="25" t="inlineStr"/>
      <c r="DJ11" s="25" t="inlineStr"/>
    </row>
    <row r="12" ht="90" customHeight="1">
      <c r="A12" s="26" t="n"/>
      <c r="B12" s="26" t="n"/>
      <c r="C12" s="27" t="inlineStr">
        <is>
          <t>Cultivos agrícolas. Servicios agrícolas y pecuarios, excepto los veterinarios</t>
        </is>
      </c>
      <c r="D12" s="27" t="inlineStr">
        <is>
          <t>Cría de animales</t>
        </is>
      </c>
      <c r="E12" s="27" t="inlineStr">
        <is>
          <t>Caza, repoblación de animales de caza y servicios conexos</t>
        </is>
      </c>
      <c r="F12" s="27" t="inlineStr">
        <is>
          <t>Construcciones agropecuarias</t>
        </is>
      </c>
      <c r="G12" s="27" t="inlineStr">
        <is>
          <t>Silvicultura, extracción de madera y servicios conexos</t>
        </is>
      </c>
      <c r="H12" s="27" t="inlineStr">
        <is>
          <t>Pesca</t>
        </is>
      </c>
      <c r="I12" s="27" t="inlineStr">
        <is>
          <t>Extracción y aglomeración de carbón de piedra</t>
        </is>
      </c>
      <c r="J12" s="27" t="inlineStr">
        <is>
          <t>Extracción de petróleo crudo y gas natural.</t>
        </is>
      </c>
      <c r="K12" s="27" t="inlineStr">
        <is>
          <t>Actividades de servicios relacionadas con la extracción de petróleo y gas excepto las act. de prospección</t>
        </is>
      </c>
      <c r="L12" s="27" t="inlineStr">
        <is>
          <t>Extracción de minerales metalíferos no ferrosos, excepto los minerales de uranio y torio</t>
        </is>
      </c>
      <c r="M12" s="27" t="inlineStr">
        <is>
          <t>Extracción de piedra arena y arcilla. Explotación de minas y canteras n.c.p</t>
        </is>
      </c>
      <c r="N12" s="27" t="inlineStr">
        <is>
          <t>Producción, procesamiento y conservación de carne y productos cárnicos</t>
        </is>
      </c>
      <c r="O12" s="27" t="inlineStr">
        <is>
          <t>Elaboración de pescado y productos de pescado</t>
        </is>
      </c>
      <c r="P12" s="27" t="inlineStr">
        <is>
          <t>Preparación de frutas, hortalizas y legumbres</t>
        </is>
      </c>
      <c r="Q12" s="27" t="inlineStr">
        <is>
          <t>Elaboración de aceites y grasas de origen vegetal</t>
        </is>
      </c>
      <c r="R12" s="27" t="inlineStr">
        <is>
          <t>Elaboración de productos lácteos</t>
        </is>
      </c>
      <c r="S12" s="27" t="inlineStr">
        <is>
          <t>Elaboración de productos de molinería. Elaboración de almidones y productos derivados del almidón</t>
        </is>
      </c>
      <c r="T12" s="27" t="inlineStr">
        <is>
          <t>15330 - Elaboración de alimentos preparados para animales</t>
        </is>
      </c>
      <c r="U12" s="27" t="inlineStr">
        <is>
          <t>Elaboración de productos de panadería</t>
        </is>
      </c>
      <c r="V12" s="27" t="inlineStr">
        <is>
          <t>15420 - Elaboración de azúcar</t>
        </is>
      </c>
      <c r="W12" s="27" t="inlineStr">
        <is>
          <t>15430 - Elaboración de cacao y chocolate y de productos de confitería</t>
        </is>
      </c>
      <c r="X12" s="27" t="inlineStr">
        <is>
          <t>15441 - Elaboración de pastas alimenticias frescas. 15442 - Elaboración de pastas alimenticias secas</t>
        </is>
      </c>
      <c r="Y12" s="27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Z12" s="27" t="inlineStr">
        <is>
          <t>15510 - Destilación, rectificación y mezcla de bebidas alcohólicas; producción de alcohol etílico</t>
        </is>
      </c>
      <c r="AA12" s="27" t="inlineStr">
        <is>
          <t>15521 - Elaboración de vinos. 15529 - Elaboración de sidra y otras bebidas alcohólicas fermentadas a partir de frutas</t>
        </is>
      </c>
      <c r="AB12" s="27" t="inlineStr">
        <is>
          <t>15530 - Elaboración de cerveza, bebidas malteadas y de malta</t>
        </is>
      </c>
      <c r="AC12" s="27" t="inlineStr">
        <is>
          <t>15541 - Elaboración de soda y aguas. 15542 - Elaboración de bebidas gaseosas, excepto soda. 15549 - Elaboración de hielo, jugos envasados para diluir y otras bebidas no alcohólicas</t>
        </is>
      </c>
      <c r="AD12" s="27" t="inlineStr">
        <is>
          <t>16001 - Preparación de hojas de tabaco. 16009 - Elaboración de cigarrillos y productos de tabaco n.c.p.</t>
        </is>
      </c>
      <c r="AE12" s="27" t="inlineStr">
        <is>
          <t>Hilatura, tejedura y acabado de productos textiles. Fabricación de otros productos textiles</t>
        </is>
      </c>
      <c r="AF12" s="27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AG12" s="27" t="inlineStr">
        <is>
          <t>19110 - Curtido y terminación de cueros. 19120 - Fabricación de maletas, bolsos de mano y similares, artículos de talabartería y artículos de cuero n.c.p.</t>
        </is>
      </c>
      <c r="AH12" s="27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AI12" s="27" t="inlineStr">
        <is>
          <t>Aserrado y acepilladura de madera. Fabricación de productos de madera, corcho, paja y materiales trenzables</t>
        </is>
      </c>
      <c r="AJ12" s="27" t="inlineStr">
        <is>
          <t>Fabricación de papel y de productos de papel</t>
        </is>
      </c>
      <c r="AK12" s="27" t="inlineStr">
        <is>
          <t>Actividades de edición</t>
        </is>
      </c>
      <c r="AL12" s="27" t="inlineStr">
        <is>
          <t>22210 - Impresión. 22220-Servicios relacionados con la impresión</t>
        </is>
      </c>
      <c r="AM12" s="27" t="inlineStr">
        <is>
          <t>23200 - Fabricación de productos de la refinación del petróleo. 23300-Fabricación de combustible nuclear</t>
        </is>
      </c>
      <c r="AN12" s="27" t="inlineStr">
        <is>
          <t>24111 - Fabricación de gases comprimidos y licuados. 24119-Fabricación de materias químicas orgánicas básicas, n.c.p.</t>
        </is>
      </c>
      <c r="AO12" s="27" t="inlineStr">
        <is>
          <t>24120 - Fabricación de abonos y compuestos de nitrógeno. 24210 - Fabricación de plaguicidas y productos químicos de uso agropecuario</t>
        </is>
      </c>
      <c r="AP12" s="27" t="inlineStr">
        <is>
          <t>24130 - Fabricación de plásticos en formas primarias y de caucho sintético</t>
        </is>
      </c>
      <c r="AQ12" s="27" t="inlineStr">
        <is>
          <t>Fabricación de otros productos químicos (excl 24210 - Fabricación de plaguicidas y productos químicos de uso agropecuario)</t>
        </is>
      </c>
      <c r="AR12" s="27" t="inlineStr">
        <is>
          <t>Fabricación de productos de caucho</t>
        </is>
      </c>
      <c r="AS12" s="27" t="inlineStr">
        <is>
          <t>25201 - Fabricación de envases plásticos. 25209 - Fabricación de productos plásticos en formas básicas y artículos de plástico n.c.p., excepto muebles</t>
        </is>
      </c>
      <c r="AT12" s="27" t="inlineStr">
        <is>
          <t>26101 - Fabricación de envases de vidrio. 26102 - Fabricación y elaboración de vidrio plano. 26109 - Fabricación de productos de vidrio n.c.p.</t>
        </is>
      </c>
      <c r="AU12" s="27" t="inlineStr">
        <is>
          <t>Fabricación de productos minerales no metálicos n.c.p.</t>
        </is>
      </c>
      <c r="AV12" s="27" t="inlineStr">
        <is>
          <t>27100 - Industrias básicas de hierro y acero</t>
        </is>
      </c>
      <c r="AW12" s="27" t="inlineStr">
        <is>
          <t>27201 - Elaboración de aluminio primario y semielaborados de aluminio. 27209 - Producción de metales no ferrosos n.c.p. y sus semielaborados</t>
        </is>
      </c>
      <c r="AX12" s="27" t="inlineStr">
        <is>
          <t>27310 - Fundición de hierro y acero. 27320 - Fundición de metales no ferrosos</t>
        </is>
      </c>
      <c r="AY12" s="27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AZ12" s="27" t="inlineStr">
        <is>
          <t>Fabricación de otros productos elaborados de metal; actividades de servicios de trabajo de metales</t>
        </is>
      </c>
      <c r="BA12" s="27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BB12" s="27" t="inlineStr">
        <is>
          <t>Fabricación de maquinaria de uso especial</t>
        </is>
      </c>
      <c r="BC12" s="27" t="inlineStr">
        <is>
          <t>29300 - Fabricación de aparatos de uso doméstico n.c.p.</t>
        </is>
      </c>
      <c r="BD12" s="27" t="inlineStr">
        <is>
          <t>30000 - Fabricación de maquinaria de oficina, contabilidad e informática</t>
        </is>
      </c>
      <c r="BE12" s="27" t="inlineStr">
        <is>
          <t>31100 - Fabricación de motores, generadores y transformadores eléctricos. 31200 - Fabricación de aparatos de distribución y control de la energía eléctrica</t>
        </is>
      </c>
      <c r="BF12" s="27" t="inlineStr">
        <is>
          <t>31300 - Fabricación de hilos y cables aislados</t>
        </is>
      </c>
      <c r="BG12" s="27" t="inlineStr">
        <is>
          <t>31400 - Fabricación de acumuladores, pilas y baterías primarias. 31500 - Fabricación de lámparas eléctricas y equipo de iluminación. 31900 - Fabricación de equipo eléctrico n.c.p.</t>
        </is>
      </c>
      <c r="BH12" s="27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BI12" s="27" t="inlineStr">
        <is>
          <t>32300 - Fabricación de receptores de radio y televisión, aparatos de grabación y reproducción de sonido y video, y productos conexos</t>
        </is>
      </c>
      <c r="BJ12" s="27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BK12" s="27" t="inlineStr">
        <is>
          <t>Fabricación de vehículos automotores. Fabricación de carrocerías para vehículos automotores; fabricación de remolques y semirremolques</t>
        </is>
      </c>
      <c r="BL12" s="27" t="inlineStr">
        <is>
          <t>34300 - Fabricación de partes; piezas y accesorios para vehículos automotores y sus motores</t>
        </is>
      </c>
      <c r="BM12" s="27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BN12" s="27" t="inlineStr">
        <is>
          <t>Fabricación de muebles. Industrias manufactureras, n.c.p.</t>
        </is>
      </c>
      <c r="BO12" s="27" t="inlineStr">
        <is>
          <t>Reciclado. Reparación y mantenimiento</t>
        </is>
      </c>
      <c r="BP12" s="27" t="inlineStr">
        <is>
          <t>Generación captación y distribución de energía eléctrica</t>
        </is>
      </c>
      <c r="BQ12" s="27" t="inlineStr">
        <is>
          <t>Fabricación de gas ; distribución de combustibles gaseosos por tuberías</t>
        </is>
      </c>
      <c r="BR12" s="27" t="inlineStr">
        <is>
          <t>Captación , depuración y distribución de agua</t>
        </is>
      </c>
      <c r="BS12" s="27" t="inlineStr">
        <is>
          <t>Construcción</t>
        </is>
      </c>
      <c r="BT12" s="27" t="inlineStr">
        <is>
          <t>Comercios por mayor y menor, mantenimiento y reparación de automotores</t>
        </is>
      </c>
      <c r="BU12" s="27" t="inlineStr">
        <is>
          <t>Comercio mayorista</t>
        </is>
      </c>
      <c r="BV12" s="27" t="inlineStr">
        <is>
          <t>521/5 - Comercio minorista excepto reparaciones</t>
        </is>
      </c>
      <c r="BW12" s="27" t="inlineStr">
        <is>
          <t>Reparación de efectos personales y enseres domésticos</t>
        </is>
      </c>
      <c r="BX12" s="27" t="inlineStr">
        <is>
          <t>Hoteles ; campamentos y otros tipos de hospedaje temporal</t>
        </is>
      </c>
      <c r="BY12" s="27" t="inlineStr">
        <is>
          <t>Restaurantes, bares y cantinas</t>
        </is>
      </c>
      <c r="BZ12" s="27" t="inlineStr">
        <is>
          <t>Servicio de transporte ferroviario</t>
        </is>
      </c>
      <c r="CA12" s="27" t="inlineStr">
        <is>
          <t>Servicio de transporte automotor</t>
        </is>
      </c>
      <c r="CB12" s="27" t="inlineStr">
        <is>
          <t>Transporte por tuberías</t>
        </is>
      </c>
      <c r="CC12" s="27" t="inlineStr">
        <is>
          <t>TRANSPORTE POR VÍA ACUÁTICA</t>
        </is>
      </c>
      <c r="CD12" s="27" t="inlineStr">
        <is>
          <t>TRANSPORTE POR VÍA AÉREA</t>
        </is>
      </c>
      <c r="CE12" s="27" t="inlineStr">
        <is>
          <t>ACTIVIDADES DE TRANSPORTE COMPLEMENTARIAS Y AUXILIARES; ACTIVIDADES DE AGENCIAS DE VIAJES</t>
        </is>
      </c>
      <c r="CF12" s="27" t="inlineStr">
        <is>
          <t>Servicios de correos</t>
        </is>
      </c>
      <c r="CG12" s="27" t="inlineStr">
        <is>
          <t>Servicios de transmisión de radio y televisión</t>
        </is>
      </c>
      <c r="CH12" s="27" t="inlineStr">
        <is>
          <t>Servicios de Telecomunicaciones</t>
        </is>
      </c>
      <c r="CI12" s="27" t="inlineStr">
        <is>
          <t>Servicios de Internet</t>
        </is>
      </c>
      <c r="CJ12" s="27" t="inlineStr">
        <is>
          <t>651 2 - Intermediación monetaria</t>
        </is>
      </c>
      <c r="CK12" s="27" t="inlineStr">
        <is>
          <t>Otros tipos de intermediación financiera</t>
        </is>
      </c>
      <c r="CL12" s="27" t="inlineStr">
        <is>
          <t>Financiación de planes de seguros y de pensiones, excepto los planes</t>
        </is>
      </c>
      <c r="CM12" s="27" t="inlineStr">
        <is>
          <t>ACTIVIDADES AUXILIARES DE LA INTERMEDIACIÓN</t>
        </is>
      </c>
      <c r="CN12" s="27" t="inlineStr">
        <is>
          <t>701 A - Propiedad de la vivienda.</t>
        </is>
      </c>
      <c r="CO12" s="27" t="inlineStr">
        <is>
          <t>701 B - Alquiler de los sectores productores.</t>
        </is>
      </c>
      <c r="CP12" s="27" t="inlineStr">
        <is>
          <t>Actividades inmobiliarias realizadas a cambio de una retribución o por contrata</t>
        </is>
      </c>
      <c r="CQ12" s="27" t="inlineStr">
        <is>
          <t>ALQUILER DE MAQUINARIA Y EQUIPO SIN OPERARIOS Y DE EFECTOS PERSONALES Y ENSERES DOMÉSTICOS</t>
        </is>
      </c>
      <c r="CR12" s="27" t="inlineStr">
        <is>
          <t>Informática y actividades conexas</t>
        </is>
      </c>
      <c r="CS12" s="27" t="inlineStr">
        <is>
          <t>Servicios de Investigación y Desarrollo - PRIVADO</t>
        </is>
      </c>
      <c r="CT12" s="27" t="inlineStr">
        <is>
          <t>Servicios de Investigación y Desarrollo - PUBLICO</t>
        </is>
      </c>
      <c r="CU12" s="27" t="inlineStr">
        <is>
          <t>OTRAS ACTIVIDADES EMPRESARIALES</t>
        </is>
      </c>
      <c r="CV12" s="27" t="inlineStr">
        <is>
          <t>Administración Pública y Defensa; Planes de Seguridad Social de Afiliación Obligatoria</t>
        </is>
      </c>
      <c r="CW12" s="27" t="inlineStr">
        <is>
          <t>Enseñanza Privada - Adultos y otros servicios de enseñanza</t>
        </is>
      </c>
      <c r="CX12" s="27" t="inlineStr">
        <is>
          <t>Enseñanza Pública - Todos los niveles</t>
        </is>
      </c>
      <c r="CY12" s="27" t="inlineStr">
        <is>
          <t>SERVICIOS SOCIALES Y DE SALUD - Privados</t>
        </is>
      </c>
      <c r="CZ12" s="27" t="inlineStr">
        <is>
          <t>SERVICIOS SOCIALES Y DE SALUD - Públicos</t>
        </is>
      </c>
      <c r="DA12" s="27" t="inlineStr">
        <is>
          <t>Eliminación de desperdicios y aguas residuales, saneamiento y servicios similares</t>
        </is>
      </c>
      <c r="DB12" s="27" t="inlineStr">
        <is>
          <t>Servicios de asociaciones n.c.p.</t>
        </is>
      </c>
      <c r="DC12" s="27" t="inlineStr">
        <is>
          <t>ACTIVIDADES DE ESPARCIMIENTO Y ACTIVIDADES CULTURALES Y DEPORTIVAS</t>
        </is>
      </c>
      <c r="DD12" s="27" t="inlineStr">
        <is>
          <t>Otras actividades de servicios</t>
        </is>
      </c>
      <c r="DE12" s="27" t="inlineStr">
        <is>
          <t>Servicios de hogares privados que contratan servicio doméstico</t>
        </is>
      </c>
      <c r="DF12" s="26" t="n"/>
      <c r="DG12" s="27" t="inlineStr">
        <is>
          <t>Gasto de consumo final</t>
        </is>
      </c>
      <c r="DH12" s="27" t="inlineStr">
        <is>
          <t>Formacion bruta de capital</t>
        </is>
      </c>
      <c r="DI12" s="27" t="inlineStr">
        <is>
          <t>Exportaciones netas</t>
        </is>
      </c>
      <c r="DJ12" s="27" t="inlineStr">
        <is>
          <t>Sin desglose fuente</t>
        </is>
      </c>
      <c r="DK12" s="26" t="n"/>
      <c r="DL12" s="26" t="n"/>
    </row>
    <row r="13"/>
    <row r="14">
      <c r="A14" s="28" t="inlineStr">
        <is>
          <t>011/014</t>
        </is>
      </c>
      <c r="B14" s="28" t="inlineStr">
        <is>
          <t>Cultivos agrícolas. Servicios agrícolas y pecuarios, excepto los veterinarios</t>
        </is>
      </c>
      <c r="C14" s="29" t="n">
        <v>135616628.0639185</v>
      </c>
      <c r="D14" s="29" t="n">
        <v>26183225.09309447</v>
      </c>
      <c r="E14" s="29" t="n">
        <v>0</v>
      </c>
      <c r="F14" s="29" t="n">
        <v>363038.151702373</v>
      </c>
      <c r="G14" s="29" t="n">
        <v>6403652.960165772</v>
      </c>
      <c r="H14" s="29" t="n">
        <v>870747.1074300334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276959.9155464726</v>
      </c>
      <c r="O14" s="29" t="n">
        <v>0</v>
      </c>
      <c r="P14" s="29" t="n">
        <v>15640074.70079191</v>
      </c>
      <c r="Q14" s="29" t="n">
        <v>305630433.7997209</v>
      </c>
      <c r="R14" s="29" t="n">
        <v>565102.9181237535</v>
      </c>
      <c r="S14" s="29" t="n">
        <v>64457934.59012399</v>
      </c>
      <c r="T14" s="29" t="n">
        <v>27146899.8832107</v>
      </c>
      <c r="U14" s="29" t="n">
        <v>2522637.545103487</v>
      </c>
      <c r="V14" s="29" t="n">
        <v>11920131</v>
      </c>
      <c r="W14" s="29" t="n">
        <v>971581.1266837025</v>
      </c>
      <c r="X14" s="29" t="n">
        <v>1098306.966925308</v>
      </c>
      <c r="Y14" s="29" t="n">
        <v>18341257.21721297</v>
      </c>
      <c r="Z14" s="29" t="n">
        <v>207489.6018810206</v>
      </c>
      <c r="AA14" s="29" t="n">
        <v>8959318.513664324</v>
      </c>
      <c r="AB14" s="29" t="n">
        <v>5330167.245705531</v>
      </c>
      <c r="AC14" s="29" t="n">
        <v>575900.2612874582</v>
      </c>
      <c r="AD14" s="29" t="n">
        <v>5078937.881898652</v>
      </c>
      <c r="AE14" s="29" t="n">
        <v>14438357.19753003</v>
      </c>
      <c r="AF14" s="29" t="n">
        <v>0</v>
      </c>
      <c r="AG14" s="29" t="n">
        <v>0</v>
      </c>
      <c r="AH14" s="29" t="n">
        <v>0</v>
      </c>
      <c r="AI14" s="29" t="n">
        <v>570.9864232289758</v>
      </c>
      <c r="AJ14" s="29" t="n">
        <v>15397.38023112218</v>
      </c>
      <c r="AK14" s="29" t="n">
        <v>0</v>
      </c>
      <c r="AL14" s="29" t="n">
        <v>0</v>
      </c>
      <c r="AM14" s="29" t="n">
        <v>0</v>
      </c>
      <c r="AN14" s="29" t="n">
        <v>4628.052122178345</v>
      </c>
      <c r="AO14" s="29" t="n">
        <v>0</v>
      </c>
      <c r="AP14" s="29" t="n">
        <v>1000177.943283753</v>
      </c>
      <c r="AQ14" s="29" t="n">
        <v>837881.0068919742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44786.59479539763</v>
      </c>
      <c r="BA14" s="29" t="n">
        <v>0</v>
      </c>
      <c r="BB14" s="29" t="n">
        <v>511.1312246131053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78816.43530611451</v>
      </c>
      <c r="BM14" s="29" t="n">
        <v>0</v>
      </c>
      <c r="BN14" s="29" t="n">
        <v>0</v>
      </c>
      <c r="BO14" s="29" t="n">
        <v>0</v>
      </c>
      <c r="BP14" s="29" t="n">
        <v>5520.888678854968</v>
      </c>
      <c r="BQ14" s="29" t="n">
        <v>0</v>
      </c>
      <c r="BR14" s="29" t="n">
        <v>0</v>
      </c>
      <c r="BS14" s="29" t="n">
        <v>95905.77103047573</v>
      </c>
      <c r="BT14" s="29" t="n">
        <v>0</v>
      </c>
      <c r="BU14" s="29" t="n">
        <v>0</v>
      </c>
      <c r="BV14" s="29" t="n">
        <v>0</v>
      </c>
      <c r="BW14" s="29" t="n">
        <v>0</v>
      </c>
      <c r="BX14" s="29" t="n">
        <v>290576.0173305628</v>
      </c>
      <c r="BY14" s="29" t="n">
        <v>55978838.84228857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0</v>
      </c>
      <c r="CI14" s="29" t="n">
        <v>0</v>
      </c>
      <c r="CJ14" s="29" t="n">
        <v>0</v>
      </c>
      <c r="CK14" s="29" t="n">
        <v>0</v>
      </c>
      <c r="CL14" s="29" t="n">
        <v>21.54788835625386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63116.92797725224</v>
      </c>
      <c r="CT14" s="29" t="n">
        <v>57632.69616319377</v>
      </c>
      <c r="CU14" s="29" t="n">
        <v>311891.2506255906</v>
      </c>
      <c r="CV14" s="29" t="n">
        <v>3074735.783153255</v>
      </c>
      <c r="CW14" s="29" t="n">
        <v>1152.915052393538</v>
      </c>
      <c r="CX14" s="29" t="n">
        <v>494843.6864303488</v>
      </c>
      <c r="CY14" s="29" t="n">
        <v>134911.1420881139</v>
      </c>
      <c r="CZ14" s="29" t="n">
        <v>13872.20080941441</v>
      </c>
      <c r="DA14" s="29" t="n">
        <v>0</v>
      </c>
      <c r="DB14" s="29" t="n">
        <v>252031.9089088398</v>
      </c>
      <c r="DC14" s="29" t="n">
        <v>133597.6364689833</v>
      </c>
      <c r="DD14" s="29" t="n">
        <v>0</v>
      </c>
      <c r="DE14" s="29" t="n">
        <v>0</v>
      </c>
      <c r="DF14" s="29">
        <f>SUM(C14:DE14)</f>
        <v/>
      </c>
      <c r="DG14" s="29" t="n">
        <v>0</v>
      </c>
      <c r="DH14" s="29" t="n">
        <v>0</v>
      </c>
      <c r="DI14" s="29" t="n">
        <v>408610141.2573199</v>
      </c>
      <c r="DJ14" s="29" t="n">
        <v>0</v>
      </c>
      <c r="DK14" s="29">
        <f>SUM(DG14:DJ14)</f>
        <v/>
      </c>
      <c r="DL14" s="29">
        <f>DF14+DK14</f>
        <v/>
      </c>
    </row>
    <row r="15">
      <c r="A15" s="30" t="inlineStr">
        <is>
          <t>012</t>
        </is>
      </c>
      <c r="B15" s="30" t="inlineStr">
        <is>
          <t>Cría de animales</t>
        </is>
      </c>
      <c r="C15" s="31" t="n">
        <v>2189511.804453799</v>
      </c>
      <c r="D15" s="31" t="n">
        <v>46973218.22474127</v>
      </c>
      <c r="E15" s="31" t="n">
        <v>0</v>
      </c>
      <c r="F15" s="31" t="n">
        <v>1480651.027042599</v>
      </c>
      <c r="G15" s="31" t="n">
        <v>0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251559422.5190708</v>
      </c>
      <c r="O15" s="31" t="n">
        <v>0</v>
      </c>
      <c r="P15" s="31" t="n">
        <v>0</v>
      </c>
      <c r="Q15" s="31" t="n">
        <v>2894.424458494029</v>
      </c>
      <c r="R15" s="31" t="n">
        <v>52285027.65588421</v>
      </c>
      <c r="S15" s="31" t="n">
        <v>0</v>
      </c>
      <c r="T15" s="31" t="n">
        <v>0</v>
      </c>
      <c r="U15" s="31" t="n">
        <v>496460.1493276288</v>
      </c>
      <c r="V15" s="31" t="n">
        <v>0</v>
      </c>
      <c r="W15" s="31" t="n">
        <v>61699.44313781131</v>
      </c>
      <c r="X15" s="31" t="n">
        <v>312971.877226216</v>
      </c>
      <c r="Y15" s="31" t="n">
        <v>2495286.022213194</v>
      </c>
      <c r="Z15" s="31" t="n">
        <v>0</v>
      </c>
      <c r="AA15" s="31" t="n">
        <v>0</v>
      </c>
      <c r="AB15" s="31" t="n">
        <v>0</v>
      </c>
      <c r="AC15" s="31" t="n">
        <v>0</v>
      </c>
      <c r="AD15" s="31" t="n">
        <v>0</v>
      </c>
      <c r="AE15" s="31" t="n">
        <v>962227.6570351543</v>
      </c>
      <c r="AF15" s="31" t="n">
        <v>40853.51737383291</v>
      </c>
      <c r="AG15" s="31" t="n">
        <v>8275794.090636345</v>
      </c>
      <c r="AH15" s="31" t="n">
        <v>0</v>
      </c>
      <c r="AI15" s="31" t="n">
        <v>0</v>
      </c>
      <c r="AJ15" s="31" t="n">
        <v>0</v>
      </c>
      <c r="AK15" s="31" t="n">
        <v>0</v>
      </c>
      <c r="AL15" s="31" t="n">
        <v>0</v>
      </c>
      <c r="AM15" s="31" t="n">
        <v>0</v>
      </c>
      <c r="AN15" s="31" t="n">
        <v>0</v>
      </c>
      <c r="AO15" s="31" t="n">
        <v>0</v>
      </c>
      <c r="AP15" s="31" t="n">
        <v>0</v>
      </c>
      <c r="AQ15" s="31" t="n">
        <v>391414.2357413822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0</v>
      </c>
      <c r="BE15" s="31" t="n">
        <v>0</v>
      </c>
      <c r="BF15" s="31" t="n">
        <v>0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14.60737592264306</v>
      </c>
      <c r="BO15" s="31" t="n">
        <v>0</v>
      </c>
      <c r="BP15" s="31" t="n">
        <v>678.5934984230166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63164.84202243884</v>
      </c>
      <c r="BV15" s="31" t="n">
        <v>787393.2462447076</v>
      </c>
      <c r="BW15" s="31" t="n">
        <v>0</v>
      </c>
      <c r="BX15" s="31" t="n">
        <v>15645.34104269339</v>
      </c>
      <c r="BY15" s="31" t="n">
        <v>5555822.670698598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5515.972682513515</v>
      </c>
      <c r="CM15" s="31" t="n">
        <v>0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2181.8314685776</v>
      </c>
      <c r="CT15" s="31" t="n">
        <v>1992.252065137686</v>
      </c>
      <c r="CU15" s="31" t="n">
        <v>1272048.401521659</v>
      </c>
      <c r="CV15" s="31" t="n">
        <v>106287.7345941667</v>
      </c>
      <c r="CW15" s="31" t="n">
        <v>168.1113072589872</v>
      </c>
      <c r="CX15" s="31" t="n">
        <v>2417.340815647649</v>
      </c>
      <c r="CY15" s="31" t="n">
        <v>110445.8386959797</v>
      </c>
      <c r="CZ15" s="31" t="n">
        <v>1544.718421101687</v>
      </c>
      <c r="DA15" s="31" t="n">
        <v>0</v>
      </c>
      <c r="DB15" s="31" t="n">
        <v>195080.6216381663</v>
      </c>
      <c r="DC15" s="31" t="n">
        <v>425.83020508734</v>
      </c>
      <c r="DD15" s="31" t="n">
        <v>0</v>
      </c>
      <c r="DE15" s="31" t="n">
        <v>0</v>
      </c>
      <c r="DF15" s="31">
        <f>SUM(C15:DE15)</f>
        <v/>
      </c>
      <c r="DG15" s="31" t="n">
        <v>0</v>
      </c>
      <c r="DH15" s="31" t="n">
        <v>0</v>
      </c>
      <c r="DI15" s="31" t="n">
        <v>41364393.59468906</v>
      </c>
      <c r="DJ15" s="31" t="n">
        <v>0</v>
      </c>
      <c r="DK15" s="31">
        <f>SUM(DG15:DJ15)</f>
        <v/>
      </c>
      <c r="DL15" s="31">
        <f>DF15+DK15</f>
        <v/>
      </c>
    </row>
    <row r="16">
      <c r="A16" s="28" t="inlineStr">
        <is>
          <t>015</t>
        </is>
      </c>
      <c r="B16" s="28" t="inlineStr">
        <is>
          <t>Caza, repoblación de animales de caza y servicios conexos</t>
        </is>
      </c>
      <c r="C16" s="29" t="n">
        <v>0</v>
      </c>
      <c r="D16" s="29" t="n">
        <v>22748.01887960138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0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17972.96334462766</v>
      </c>
      <c r="O16" s="29" t="n">
        <v>0</v>
      </c>
      <c r="P16" s="29" t="n">
        <v>0</v>
      </c>
      <c r="Q16" s="29" t="n">
        <v>0</v>
      </c>
      <c r="R16" s="29" t="n">
        <v>1800522.215261067</v>
      </c>
      <c r="S16" s="29" t="n">
        <v>0</v>
      </c>
      <c r="T16" s="29" t="n">
        <v>0</v>
      </c>
      <c r="U16" s="29" t="n">
        <v>17096.43406405702</v>
      </c>
      <c r="V16" s="29" t="n">
        <v>0</v>
      </c>
      <c r="W16" s="29" t="n">
        <v>2124.723329401623</v>
      </c>
      <c r="X16" s="29" t="n">
        <v>10777.70908732307</v>
      </c>
      <c r="Y16" s="29" t="n">
        <v>85929.33996315196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33135.91577368944</v>
      </c>
      <c r="AF16" s="29" t="n">
        <v>1406.859074212651</v>
      </c>
      <c r="AG16" s="29" t="n">
        <v>284990.7856449236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13368.76100846272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0.5030293763730758</v>
      </c>
      <c r="BO16" s="29" t="n">
        <v>0</v>
      </c>
      <c r="BP16" s="29" t="n">
        <v>23.36850000508439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2175.186786423315</v>
      </c>
      <c r="BV16" s="29" t="n">
        <v>27115.20095850179</v>
      </c>
      <c r="BW16" s="29" t="n">
        <v>0</v>
      </c>
      <c r="BX16" s="29" t="n">
        <v>497.0327485564686</v>
      </c>
      <c r="BY16" s="29" t="n">
        <v>191324.0289071188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189.9517280358759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23.13029470855535</v>
      </c>
      <c r="CT16" s="29" t="n">
        <v>21.1205026896071</v>
      </c>
      <c r="CU16" s="29" t="n">
        <v>0</v>
      </c>
      <c r="CV16" s="29" t="n">
        <v>1126.790341267988</v>
      </c>
      <c r="CW16" s="29" t="n">
        <v>0</v>
      </c>
      <c r="CX16" s="29" t="n">
        <v>68.20572535628754</v>
      </c>
      <c r="CY16" s="29" t="n">
        <v>3803.386840761705</v>
      </c>
      <c r="CZ16" s="29" t="n">
        <v>35.86203190417913</v>
      </c>
      <c r="DA16" s="29" t="n">
        <v>0</v>
      </c>
      <c r="DB16" s="29" t="n">
        <v>2113.831004215031</v>
      </c>
      <c r="DC16" s="29" t="n">
        <v>0</v>
      </c>
      <c r="DD16" s="29" t="n">
        <v>0</v>
      </c>
      <c r="DE16" s="29" t="n">
        <v>0</v>
      </c>
      <c r="DF16" s="29">
        <f>SUM(C16:DE16)</f>
        <v/>
      </c>
      <c r="DG16" s="29" t="n">
        <v>0</v>
      </c>
      <c r="DH16" s="29" t="n">
        <v>0</v>
      </c>
      <c r="DI16" s="29" t="n">
        <v>345712.6195526987</v>
      </c>
      <c r="DJ16" s="29" t="n">
        <v>0</v>
      </c>
      <c r="DK16" s="29">
        <f>SUM(DG16:DJ16)</f>
        <v/>
      </c>
      <c r="DL16" s="29">
        <f>DF16+DK16</f>
        <v/>
      </c>
    </row>
    <row r="17">
      <c r="A17" s="30" t="inlineStr">
        <is>
          <t>016</t>
        </is>
      </c>
      <c r="B17" s="30" t="inlineStr">
        <is>
          <t>Construcciones agropecuarias</t>
        </is>
      </c>
      <c r="C17" s="31" t="n">
        <v>0</v>
      </c>
      <c r="D17" s="31" t="n">
        <v>0</v>
      </c>
      <c r="E17" s="31" t="n">
        <v>0</v>
      </c>
      <c r="F17" s="31" t="n">
        <v>0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0</v>
      </c>
      <c r="P17" s="31" t="n">
        <v>0</v>
      </c>
      <c r="Q17" s="31" t="n">
        <v>0</v>
      </c>
      <c r="R17" s="31" t="n">
        <v>0</v>
      </c>
      <c r="S17" s="31" t="n">
        <v>0</v>
      </c>
      <c r="T17" s="31" t="n">
        <v>0</v>
      </c>
      <c r="U17" s="31" t="n">
        <v>0</v>
      </c>
      <c r="V17" s="31" t="n">
        <v>0</v>
      </c>
      <c r="W17" s="31" t="n">
        <v>0</v>
      </c>
      <c r="X17" s="31" t="n">
        <v>0</v>
      </c>
      <c r="Y17" s="31" t="n">
        <v>0</v>
      </c>
      <c r="Z17" s="31" t="n">
        <v>0</v>
      </c>
      <c r="AA17" s="31" t="n">
        <v>0</v>
      </c>
      <c r="AB17" s="31" t="n">
        <v>0</v>
      </c>
      <c r="AC17" s="31" t="n">
        <v>0</v>
      </c>
      <c r="AD17" s="31" t="n">
        <v>0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0</v>
      </c>
      <c r="AL17" s="31" t="n">
        <v>0</v>
      </c>
      <c r="AM17" s="31" t="n">
        <v>0</v>
      </c>
      <c r="AN17" s="31" t="n">
        <v>0</v>
      </c>
      <c r="AO17" s="31" t="n">
        <v>0</v>
      </c>
      <c r="AP17" s="31" t="n">
        <v>0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</v>
      </c>
      <c r="BE17" s="31" t="n">
        <v>0</v>
      </c>
      <c r="BF17" s="31" t="n">
        <v>0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5861.69408015051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0</v>
      </c>
      <c r="CV17" s="31" t="n">
        <v>0</v>
      </c>
      <c r="CW17" s="31" t="n">
        <v>0</v>
      </c>
      <c r="CX17" s="31" t="n">
        <v>0</v>
      </c>
      <c r="CY17" s="31" t="n">
        <v>0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>
        <f>SUM(C17:DE17)</f>
        <v/>
      </c>
      <c r="DG17" s="31" t="n">
        <v>0</v>
      </c>
      <c r="DH17" s="31" t="n">
        <v>0</v>
      </c>
      <c r="DI17" s="31" t="n">
        <v>23141172.99220946</v>
      </c>
      <c r="DJ17" s="31" t="n">
        <v>0</v>
      </c>
      <c r="DK17" s="31">
        <f>SUM(DG17:DJ17)</f>
        <v/>
      </c>
      <c r="DL17" s="31">
        <f>DF17+DK17</f>
        <v/>
      </c>
    </row>
    <row r="18">
      <c r="A18" s="28" t="inlineStr">
        <is>
          <t>020</t>
        </is>
      </c>
      <c r="B18" s="28" t="inlineStr">
        <is>
          <t>Silvicultura, extracción de madera y servicios conexos</t>
        </is>
      </c>
      <c r="C18" s="29" t="n">
        <v>4417714.90289259</v>
      </c>
      <c r="D18" s="29" t="n">
        <v>1622912.987503154</v>
      </c>
      <c r="E18" s="29" t="n">
        <v>0</v>
      </c>
      <c r="F18" s="29" t="n">
        <v>3759757.723859153</v>
      </c>
      <c r="G18" s="29" t="n">
        <v>267989.6580231977</v>
      </c>
      <c r="H18" s="29" t="n">
        <v>45350.82309623935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10938.74417966784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47575.80653121246</v>
      </c>
      <c r="Z18" s="29" t="n">
        <v>1120.882348484923</v>
      </c>
      <c r="AA18" s="29" t="n">
        <v>386861.6545220885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104862.0350907602</v>
      </c>
      <c r="AI18" s="29" t="n">
        <v>5491428.81194159</v>
      </c>
      <c r="AJ18" s="29" t="n">
        <v>3556000.452948512</v>
      </c>
      <c r="AK18" s="29" t="n">
        <v>298.6639111048915</v>
      </c>
      <c r="AL18" s="29" t="n">
        <v>0</v>
      </c>
      <c r="AM18" s="29" t="n">
        <v>0</v>
      </c>
      <c r="AN18" s="29" t="n">
        <v>204393.5015977142</v>
      </c>
      <c r="AO18" s="29" t="n">
        <v>7.016945500785839</v>
      </c>
      <c r="AP18" s="29" t="n">
        <v>0</v>
      </c>
      <c r="AQ18" s="29" t="n">
        <v>178146.6473887932</v>
      </c>
      <c r="AR18" s="29" t="n">
        <v>805732.7470277334</v>
      </c>
      <c r="AS18" s="29" t="n">
        <v>3208.526851502003</v>
      </c>
      <c r="AT18" s="29" t="n">
        <v>1264.895760882247</v>
      </c>
      <c r="AU18" s="29" t="n">
        <v>208806.4239070079</v>
      </c>
      <c r="AV18" s="29" t="n">
        <v>0</v>
      </c>
      <c r="AW18" s="29" t="n">
        <v>0</v>
      </c>
      <c r="AX18" s="29" t="n">
        <v>0</v>
      </c>
      <c r="AY18" s="29" t="n">
        <v>214.6109834685939</v>
      </c>
      <c r="AZ18" s="29" t="n">
        <v>106.905848483262</v>
      </c>
      <c r="BA18" s="29" t="n">
        <v>26688.88769631298</v>
      </c>
      <c r="BB18" s="29" t="n">
        <v>1072.759509547757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113.5366119080879</v>
      </c>
      <c r="BK18" s="29" t="n">
        <v>0</v>
      </c>
      <c r="BL18" s="29" t="n">
        <v>37199.9485323964</v>
      </c>
      <c r="BM18" s="29" t="n">
        <v>4981.290490753217</v>
      </c>
      <c r="BN18" s="29" t="n">
        <v>159126.7405598086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36287.95074838091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369.0452945685129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1533.606740154054</v>
      </c>
      <c r="CT18" s="29" t="n">
        <v>1400.351603312813</v>
      </c>
      <c r="CU18" s="29" t="n">
        <v>387297.6229465605</v>
      </c>
      <c r="CV18" s="29" t="n">
        <v>74709.52203085892</v>
      </c>
      <c r="CW18" s="29" t="n">
        <v>45.67981839241111</v>
      </c>
      <c r="CX18" s="29" t="n">
        <v>132.9694142324191</v>
      </c>
      <c r="CY18" s="29" t="n">
        <v>0</v>
      </c>
      <c r="CZ18" s="29" t="n">
        <v>91.94803595198285</v>
      </c>
      <c r="DA18" s="29" t="n">
        <v>0</v>
      </c>
      <c r="DB18" s="29" t="n">
        <v>57416.71836289587</v>
      </c>
      <c r="DC18" s="29" t="n">
        <v>10.9610545347689</v>
      </c>
      <c r="DD18" s="29" t="n">
        <v>0</v>
      </c>
      <c r="DE18" s="29" t="n">
        <v>0</v>
      </c>
      <c r="DF18" s="29">
        <f>SUM(C18:DE18)</f>
        <v/>
      </c>
      <c r="DG18" s="29" t="n">
        <v>0</v>
      </c>
      <c r="DH18" s="29" t="n">
        <v>0</v>
      </c>
      <c r="DI18" s="29" t="n">
        <v>4838330.583698777</v>
      </c>
      <c r="DJ18" s="29" t="n">
        <v>0</v>
      </c>
      <c r="DK18" s="29">
        <f>SUM(DG18:DJ18)</f>
        <v/>
      </c>
      <c r="DL18" s="29">
        <f>DF18+DK18</f>
        <v/>
      </c>
    </row>
    <row r="19">
      <c r="A19" s="30" t="inlineStr">
        <is>
          <t>050</t>
        </is>
      </c>
      <c r="B19" s="30" t="inlineStr">
        <is>
          <t>Pesca</t>
        </is>
      </c>
      <c r="C19" s="31" t="n">
        <v>0</v>
      </c>
      <c r="D19" s="31" t="n">
        <v>0</v>
      </c>
      <c r="E19" s="31" t="n">
        <v>0</v>
      </c>
      <c r="F19" s="31" t="n">
        <v>0</v>
      </c>
      <c r="G19" s="31" t="n">
        <v>0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499975.1315003725</v>
      </c>
      <c r="O19" s="31" t="n">
        <v>14858018.93081956</v>
      </c>
      <c r="P19" s="31" t="n">
        <v>0</v>
      </c>
      <c r="Q19" s="31" t="n">
        <v>0</v>
      </c>
      <c r="R19" s="31" t="n">
        <v>0</v>
      </c>
      <c r="S19" s="31" t="n">
        <v>2796.811205793492</v>
      </c>
      <c r="T19" s="31" t="n">
        <v>3279828.392173833</v>
      </c>
      <c r="U19" s="31" t="n">
        <v>199990.052600149</v>
      </c>
      <c r="V19" s="31" t="n">
        <v>0</v>
      </c>
      <c r="W19" s="31" t="n">
        <v>0</v>
      </c>
      <c r="X19" s="31" t="n">
        <v>0</v>
      </c>
      <c r="Y19" s="31" t="n">
        <v>1499925.394501118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0</v>
      </c>
      <c r="AE19" s="31" t="n">
        <v>0</v>
      </c>
      <c r="AF19" s="31" t="n">
        <v>0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102149.5628010831</v>
      </c>
      <c r="AR19" s="31" t="n">
        <v>0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</v>
      </c>
      <c r="AZ19" s="31" t="n">
        <v>0</v>
      </c>
      <c r="BA19" s="31" t="n">
        <v>0</v>
      </c>
      <c r="BB19" s="31" t="n">
        <v>0</v>
      </c>
      <c r="BC19" s="31" t="n">
        <v>0</v>
      </c>
      <c r="BD19" s="31" t="n">
        <v>0</v>
      </c>
      <c r="BE19" s="31" t="n">
        <v>0</v>
      </c>
      <c r="BF19" s="31" t="n">
        <v>0</v>
      </c>
      <c r="BG19" s="31" t="n">
        <v>0</v>
      </c>
      <c r="BH19" s="31" t="n">
        <v>0</v>
      </c>
      <c r="BI19" s="31" t="n">
        <v>0</v>
      </c>
      <c r="BJ19" s="31" t="n">
        <v>0</v>
      </c>
      <c r="BK19" s="31" t="n">
        <v>0</v>
      </c>
      <c r="BL19" s="31" t="n">
        <v>0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0</v>
      </c>
      <c r="BR19" s="31" t="n">
        <v>0</v>
      </c>
      <c r="BS19" s="31" t="n">
        <v>0</v>
      </c>
      <c r="BT19" s="31" t="n">
        <v>0</v>
      </c>
      <c r="BU19" s="31" t="n">
        <v>0</v>
      </c>
      <c r="BV19" s="31" t="n">
        <v>0</v>
      </c>
      <c r="BW19" s="31" t="n">
        <v>0</v>
      </c>
      <c r="BX19" s="31" t="n">
        <v>196420.2301612362</v>
      </c>
      <c r="BY19" s="31" t="n">
        <v>17112476.83441801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0</v>
      </c>
      <c r="CF19" s="31" t="n">
        <v>0</v>
      </c>
      <c r="CG19" s="31" t="n">
        <v>0</v>
      </c>
      <c r="CH19" s="31" t="n">
        <v>0</v>
      </c>
      <c r="CI19" s="31" t="n">
        <v>0</v>
      </c>
      <c r="CJ19" s="31" t="n">
        <v>0</v>
      </c>
      <c r="CK19" s="31" t="n">
        <v>0</v>
      </c>
      <c r="CL19" s="31" t="n">
        <v>0</v>
      </c>
      <c r="CM19" s="31" t="n">
        <v>0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0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0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>
        <f>SUM(C19:DE19)</f>
        <v/>
      </c>
      <c r="DG19" s="31" t="n">
        <v>0</v>
      </c>
      <c r="DH19" s="31" t="n">
        <v>0</v>
      </c>
      <c r="DI19" s="31" t="n">
        <v>45055201.35467026</v>
      </c>
      <c r="DJ19" s="31" t="n">
        <v>0</v>
      </c>
      <c r="DK19" s="31">
        <f>SUM(DG19:DJ19)</f>
        <v/>
      </c>
      <c r="DL19" s="31">
        <f>DF19+DK19</f>
        <v/>
      </c>
    </row>
    <row r="20">
      <c r="A20" s="28" t="inlineStr">
        <is>
          <t>101</t>
        </is>
      </c>
      <c r="B20" s="28" t="inlineStr">
        <is>
          <t>Extracción y aglomeración de carbón de piedra</t>
        </is>
      </c>
      <c r="C20" s="29" t="n">
        <v>0</v>
      </c>
      <c r="D20" s="29" t="n">
        <v>0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0</v>
      </c>
      <c r="S20" s="29" t="n">
        <v>0</v>
      </c>
      <c r="T20" s="29" t="n">
        <v>0</v>
      </c>
      <c r="U20" s="29" t="n">
        <v>0</v>
      </c>
      <c r="V20" s="29" t="n">
        <v>0</v>
      </c>
      <c r="W20" s="29" t="n">
        <v>0</v>
      </c>
      <c r="X20" s="29" t="n">
        <v>0</v>
      </c>
      <c r="Y20" s="29" t="n">
        <v>0</v>
      </c>
      <c r="Z20" s="29" t="n">
        <v>0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6585418.999999999</v>
      </c>
      <c r="AW20" s="29" t="n">
        <v>0</v>
      </c>
      <c r="AX20" s="29" t="n">
        <v>178905.5885903723</v>
      </c>
      <c r="AY20" s="29" t="n">
        <v>0</v>
      </c>
      <c r="AZ20" s="29" t="n">
        <v>3676.701872565981</v>
      </c>
      <c r="BA20" s="29" t="n">
        <v>0</v>
      </c>
      <c r="BB20" s="29" t="n">
        <v>0</v>
      </c>
      <c r="BC20" s="29" t="n">
        <v>0</v>
      </c>
      <c r="BD20" s="29" t="n">
        <v>0</v>
      </c>
      <c r="BE20" s="29" t="n">
        <v>0</v>
      </c>
      <c r="BF20" s="29" t="n">
        <v>0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86604.97875818927</v>
      </c>
      <c r="BM20" s="29" t="n">
        <v>0</v>
      </c>
      <c r="BN20" s="29" t="n">
        <v>0</v>
      </c>
      <c r="BO20" s="29" t="n">
        <v>0</v>
      </c>
      <c r="BP20" s="29" t="n">
        <v>3739747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0</v>
      </c>
      <c r="CY20" s="29" t="n">
        <v>0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>
        <f>SUM(C20:DE20)</f>
        <v/>
      </c>
      <c r="DG20" s="29" t="n">
        <v>0</v>
      </c>
      <c r="DH20" s="29" t="n">
        <v>0</v>
      </c>
      <c r="DI20" s="29" t="n">
        <v>8731.785539618993</v>
      </c>
      <c r="DJ20" s="29" t="n">
        <v>0</v>
      </c>
      <c r="DK20" s="29">
        <f>SUM(DG20:DJ20)</f>
        <v/>
      </c>
      <c r="DL20" s="29">
        <f>DF20+DK20</f>
        <v/>
      </c>
    </row>
    <row r="21">
      <c r="A21" s="30" t="inlineStr">
        <is>
          <t>111</t>
        </is>
      </c>
      <c r="B21" s="30" t="inlineStr">
        <is>
          <t>Extracción de petróleo crudo y gas natural.</t>
        </is>
      </c>
      <c r="C21" s="31" t="n">
        <v>86229.32049825869</v>
      </c>
      <c r="D21" s="31" t="n">
        <v>9276.839009077703</v>
      </c>
      <c r="E21" s="31" t="n">
        <v>0</v>
      </c>
      <c r="F21" s="31" t="n">
        <v>0</v>
      </c>
      <c r="G21" s="31" t="n">
        <v>0</v>
      </c>
      <c r="H21" s="31" t="n">
        <v>5934.608133851047</v>
      </c>
      <c r="I21" s="31" t="n">
        <v>2005.322316246622</v>
      </c>
      <c r="J21" s="31" t="n">
        <v>256950.0002430793</v>
      </c>
      <c r="K21" s="31" t="n">
        <v>60543.52025738882</v>
      </c>
      <c r="L21" s="31" t="n">
        <v>8915.157264697926</v>
      </c>
      <c r="M21" s="31" t="n">
        <v>18566.59000793778</v>
      </c>
      <c r="N21" s="31" t="n">
        <v>7265.94230375177</v>
      </c>
      <c r="O21" s="31" t="n">
        <v>4480.413674369216</v>
      </c>
      <c r="P21" s="31" t="n">
        <v>1745.934755651481</v>
      </c>
      <c r="Q21" s="31" t="n">
        <v>15108.65373364904</v>
      </c>
      <c r="R21" s="31" t="n">
        <v>5731.083858057129</v>
      </c>
      <c r="S21" s="31" t="n">
        <v>3017.730259526574</v>
      </c>
      <c r="T21" s="31" t="n">
        <v>4851.582002510695</v>
      </c>
      <c r="U21" s="31" t="n">
        <v>2429.910633233501</v>
      </c>
      <c r="V21" s="31" t="n">
        <v>568.4393617652836</v>
      </c>
      <c r="W21" s="31" t="n">
        <v>1209.121760981855</v>
      </c>
      <c r="X21" s="31" t="n">
        <v>692.1236618005973</v>
      </c>
      <c r="Y21" s="31" t="n">
        <v>11232.55195010239</v>
      </c>
      <c r="Z21" s="31" t="n">
        <v>1864.777707282665</v>
      </c>
      <c r="AA21" s="31" t="n">
        <v>3248.574415376164</v>
      </c>
      <c r="AB21" s="31" t="n">
        <v>977.0966597899671</v>
      </c>
      <c r="AC21" s="31" t="n">
        <v>3101.401533857332</v>
      </c>
      <c r="AD21" s="31" t="n">
        <v>235.4276939613707</v>
      </c>
      <c r="AE21" s="31" t="n">
        <v>1798.011791047345</v>
      </c>
      <c r="AF21" s="31" t="n">
        <v>1819.095559872367</v>
      </c>
      <c r="AG21" s="31" t="n">
        <v>997.3823856603012</v>
      </c>
      <c r="AH21" s="31" t="n">
        <v>174.570540533048</v>
      </c>
      <c r="AI21" s="31" t="n">
        <v>1305.767285696486</v>
      </c>
      <c r="AJ21" s="31" t="n">
        <v>2998.050287833558</v>
      </c>
      <c r="AK21" s="31" t="n">
        <v>2264.859588800132</v>
      </c>
      <c r="AL21" s="31" t="n">
        <v>2369.520123364958</v>
      </c>
      <c r="AM21" s="31" t="n">
        <v>346090796.1396703</v>
      </c>
      <c r="AN21" s="31" t="n">
        <v>5358931.500913387</v>
      </c>
      <c r="AO21" s="31" t="n">
        <v>6266283.428728145</v>
      </c>
      <c r="AP21" s="31" t="n">
        <v>1603656.727577419</v>
      </c>
      <c r="AQ21" s="31" t="n">
        <v>18973.73009648287</v>
      </c>
      <c r="AR21" s="31" t="n">
        <v>1247.747256724741</v>
      </c>
      <c r="AS21" s="31" t="n">
        <v>752.2894865639109</v>
      </c>
      <c r="AT21" s="31" t="n">
        <v>10888.79732546333</v>
      </c>
      <c r="AU21" s="31" t="n">
        <v>839024.0376328926</v>
      </c>
      <c r="AV21" s="31" t="n">
        <v>4730.020014321752</v>
      </c>
      <c r="AW21" s="31" t="n">
        <v>951569.0340472423</v>
      </c>
      <c r="AX21" s="31" t="n">
        <v>347.2379251363136</v>
      </c>
      <c r="AY21" s="31" t="n">
        <v>20700.92607752278</v>
      </c>
      <c r="AZ21" s="31" t="n">
        <v>28982.77545138153</v>
      </c>
      <c r="BA21" s="31" t="n">
        <v>2923.554719652608</v>
      </c>
      <c r="BB21" s="31" t="n">
        <v>21593.87502446152</v>
      </c>
      <c r="BC21" s="31" t="n">
        <v>3122.928153510386</v>
      </c>
      <c r="BD21" s="31" t="n">
        <v>63.18304899142294</v>
      </c>
      <c r="BE21" s="31" t="n">
        <v>398.5035683229553</v>
      </c>
      <c r="BF21" s="31" t="n">
        <v>247.2390489250862</v>
      </c>
      <c r="BG21" s="31" t="n">
        <v>4058.862135039598</v>
      </c>
      <c r="BH21" s="31" t="n">
        <v>1491.416468288942</v>
      </c>
      <c r="BI21" s="31" t="n">
        <v>19.95876139575628</v>
      </c>
      <c r="BJ21" s="31" t="n">
        <v>419.0813390216542</v>
      </c>
      <c r="BK21" s="31" t="n">
        <v>16585.10861415224</v>
      </c>
      <c r="BL21" s="31" t="n">
        <v>1205.200152294688</v>
      </c>
      <c r="BM21" s="31" t="n">
        <v>575.3368976096375</v>
      </c>
      <c r="BN21" s="31" t="n">
        <v>220637.1989322763</v>
      </c>
      <c r="BO21" s="31" t="n">
        <v>6199.070416549754</v>
      </c>
      <c r="BP21" s="31" t="n">
        <v>64957233.88719019</v>
      </c>
      <c r="BQ21" s="31" t="n">
        <v>64768457.03047048</v>
      </c>
      <c r="BR21" s="31" t="n">
        <v>385858.3231450222</v>
      </c>
      <c r="BS21" s="31" t="n">
        <v>100320.9409130994</v>
      </c>
      <c r="BT21" s="31" t="n">
        <v>305142.1411452676</v>
      </c>
      <c r="BU21" s="31" t="n">
        <v>960017.2989943179</v>
      </c>
      <c r="BV21" s="31" t="n">
        <v>1516312.003049402</v>
      </c>
      <c r="BW21" s="31" t="n">
        <v>0</v>
      </c>
      <c r="BX21" s="31" t="n">
        <v>275853.9165762765</v>
      </c>
      <c r="BY21" s="31" t="n">
        <v>310949.9291353113</v>
      </c>
      <c r="BZ21" s="31" t="n">
        <v>93673.18031636511</v>
      </c>
      <c r="CA21" s="31" t="n">
        <v>1706763.328638135</v>
      </c>
      <c r="CB21" s="31" t="n">
        <v>311877.5919045957</v>
      </c>
      <c r="CC21" s="31" t="n">
        <v>7066.828408425517</v>
      </c>
      <c r="CD21" s="31" t="n">
        <v>68000.0701194545</v>
      </c>
      <c r="CE21" s="31" t="n">
        <v>910911.5894768815</v>
      </c>
      <c r="CF21" s="31" t="n">
        <v>44707.18644426105</v>
      </c>
      <c r="CG21" s="31" t="n">
        <v>82452.55879553902</v>
      </c>
      <c r="CH21" s="31" t="n">
        <v>2141894.306034689</v>
      </c>
      <c r="CI21" s="31" t="n">
        <v>36077.52455644064</v>
      </c>
      <c r="CJ21" s="31" t="n">
        <v>444.9394137426723</v>
      </c>
      <c r="CK21" s="31" t="n">
        <v>34260.08632459516</v>
      </c>
      <c r="CL21" s="31" t="n">
        <v>235003.6355195035</v>
      </c>
      <c r="CM21" s="31" t="n">
        <v>23396.60867757955</v>
      </c>
      <c r="CN21" s="31" t="n">
        <v>4489719.269479443</v>
      </c>
      <c r="CO21" s="31" t="n">
        <v>2016627.201365714</v>
      </c>
      <c r="CP21" s="31" t="n">
        <v>35014.45294540653</v>
      </c>
      <c r="CQ21" s="31" t="n">
        <v>51767.16825438215</v>
      </c>
      <c r="CR21" s="31" t="n">
        <v>131428.5568879714</v>
      </c>
      <c r="CS21" s="31" t="n">
        <v>63747.52633431141</v>
      </c>
      <c r="CT21" s="31" t="n">
        <v>58208.50180960441</v>
      </c>
      <c r="CU21" s="31" t="n">
        <v>941267.5590170885</v>
      </c>
      <c r="CV21" s="31" t="n">
        <v>3105455.328533308</v>
      </c>
      <c r="CW21" s="31" t="n">
        <v>1089270.533775493</v>
      </c>
      <c r="CX21" s="31" t="n">
        <v>155034.0023085461</v>
      </c>
      <c r="CY21" s="31" t="n">
        <v>1295479.77712978</v>
      </c>
      <c r="CZ21" s="31" t="n">
        <v>522397.1909740956</v>
      </c>
      <c r="DA21" s="31" t="n">
        <v>112873.2140035892</v>
      </c>
      <c r="DB21" s="31" t="n">
        <v>380485.9075673894</v>
      </c>
      <c r="DC21" s="31" t="n">
        <v>56003.52562982871</v>
      </c>
      <c r="DD21" s="31" t="n">
        <v>61896.36265016146</v>
      </c>
      <c r="DE21" s="31" t="n">
        <v>0</v>
      </c>
      <c r="DF21" s="31">
        <f>SUM(C21:DE21)</f>
        <v/>
      </c>
      <c r="DG21" s="31" t="n">
        <v>0</v>
      </c>
      <c r="DH21" s="31" t="n">
        <v>0</v>
      </c>
      <c r="DI21" s="31" t="n">
        <v>246425381.5588514</v>
      </c>
      <c r="DJ21" s="31" t="n">
        <v>0</v>
      </c>
      <c r="DK21" s="31">
        <f>SUM(DG21:DJ21)</f>
        <v/>
      </c>
      <c r="DL21" s="31">
        <f>DF21+DK21</f>
        <v/>
      </c>
    </row>
    <row r="22">
      <c r="A22" s="28" t="inlineStr">
        <is>
          <t>112</t>
        </is>
      </c>
      <c r="B22" s="28" t="inlineStr">
        <is>
          <t>Actividades de servicios relacionadas con la extracción de petróleo y gas excepto las act. de prospección</t>
        </is>
      </c>
      <c r="C22" s="29" t="n">
        <v>0</v>
      </c>
      <c r="D22" s="29" t="n">
        <v>0</v>
      </c>
      <c r="E22" s="29" t="n">
        <v>0</v>
      </c>
      <c r="F22" s="29" t="n">
        <v>0</v>
      </c>
      <c r="G22" s="29" t="n">
        <v>0</v>
      </c>
      <c r="H22" s="29" t="n">
        <v>0</v>
      </c>
      <c r="I22" s="29" t="n">
        <v>30765.7204855903</v>
      </c>
      <c r="J22" s="29" t="n">
        <v>151492081</v>
      </c>
      <c r="K22" s="29" t="n">
        <v>0</v>
      </c>
      <c r="L22" s="29" t="n">
        <v>0</v>
      </c>
      <c r="M22" s="29" t="n">
        <v>1049686.368723943</v>
      </c>
      <c r="N22" s="29" t="n">
        <v>0</v>
      </c>
      <c r="O22" s="29" t="n">
        <v>0</v>
      </c>
      <c r="P22" s="29" t="n">
        <v>0</v>
      </c>
      <c r="Q22" s="29" t="n">
        <v>0</v>
      </c>
      <c r="R22" s="29" t="n">
        <v>0</v>
      </c>
      <c r="S22" s="29" t="n">
        <v>0</v>
      </c>
      <c r="T22" s="29" t="n">
        <v>0</v>
      </c>
      <c r="U22" s="29" t="n">
        <v>0</v>
      </c>
      <c r="V22" s="29" t="n">
        <v>0</v>
      </c>
      <c r="W22" s="29" t="n">
        <v>0</v>
      </c>
      <c r="X22" s="29" t="n">
        <v>0</v>
      </c>
      <c r="Y22" s="29" t="n">
        <v>0</v>
      </c>
      <c r="Z22" s="29" t="n">
        <v>0</v>
      </c>
      <c r="AA22" s="29" t="n">
        <v>0</v>
      </c>
      <c r="AB22" s="29" t="n">
        <v>0</v>
      </c>
      <c r="AC22" s="29" t="n">
        <v>0</v>
      </c>
      <c r="AD22" s="29" t="n">
        <v>0</v>
      </c>
      <c r="AE22" s="29" t="n">
        <v>0</v>
      </c>
      <c r="AF22" s="29" t="n">
        <v>0</v>
      </c>
      <c r="AG22" s="29" t="n">
        <v>0</v>
      </c>
      <c r="AH22" s="29" t="n">
        <v>0</v>
      </c>
      <c r="AI22" s="29" t="n">
        <v>0</v>
      </c>
      <c r="AJ22" s="29" t="n">
        <v>0</v>
      </c>
      <c r="AK22" s="29" t="n">
        <v>0</v>
      </c>
      <c r="AL22" s="29" t="n">
        <v>0</v>
      </c>
      <c r="AM22" s="29" t="n">
        <v>0</v>
      </c>
      <c r="AN22" s="29" t="n">
        <v>0</v>
      </c>
      <c r="AO22" s="29" t="n">
        <v>0</v>
      </c>
      <c r="AP22" s="29" t="n">
        <v>0</v>
      </c>
      <c r="AQ22" s="29" t="n">
        <v>0</v>
      </c>
      <c r="AR22" s="29" t="n">
        <v>0</v>
      </c>
      <c r="AS22" s="29" t="n">
        <v>0</v>
      </c>
      <c r="AT22" s="29" t="n">
        <v>0</v>
      </c>
      <c r="AU22" s="29" t="n">
        <v>0</v>
      </c>
      <c r="AV22" s="29" t="n">
        <v>0</v>
      </c>
      <c r="AW22" s="29" t="n">
        <v>0</v>
      </c>
      <c r="AX22" s="29" t="n">
        <v>0</v>
      </c>
      <c r="AY22" s="29" t="n">
        <v>0</v>
      </c>
      <c r="AZ22" s="29" t="n">
        <v>0</v>
      </c>
      <c r="BA22" s="29" t="n">
        <v>0</v>
      </c>
      <c r="BB22" s="29" t="n">
        <v>0</v>
      </c>
      <c r="BC22" s="29" t="n">
        <v>0</v>
      </c>
      <c r="BD22" s="29" t="n">
        <v>0</v>
      </c>
      <c r="BE22" s="29" t="n">
        <v>0</v>
      </c>
      <c r="BF22" s="29" t="n">
        <v>0</v>
      </c>
      <c r="BG22" s="29" t="n">
        <v>0</v>
      </c>
      <c r="BH22" s="29" t="n">
        <v>0</v>
      </c>
      <c r="BI22" s="29" t="n">
        <v>0</v>
      </c>
      <c r="BJ22" s="29" t="n">
        <v>0</v>
      </c>
      <c r="BK22" s="29" t="n">
        <v>0</v>
      </c>
      <c r="BL22" s="29" t="n">
        <v>0</v>
      </c>
      <c r="BM22" s="29" t="n">
        <v>0</v>
      </c>
      <c r="BN22" s="29" t="n">
        <v>0</v>
      </c>
      <c r="BO22" s="29" t="n">
        <v>0</v>
      </c>
      <c r="BP22" s="29" t="n">
        <v>0</v>
      </c>
      <c r="BQ22" s="29" t="n">
        <v>0</v>
      </c>
      <c r="BR22" s="29" t="n">
        <v>0</v>
      </c>
      <c r="BS22" s="29" t="n">
        <v>802955.4769064991</v>
      </c>
      <c r="BT22" s="29" t="n">
        <v>0</v>
      </c>
      <c r="BU22" s="29" t="n">
        <v>0</v>
      </c>
      <c r="BV22" s="29" t="n">
        <v>0</v>
      </c>
      <c r="BW22" s="29" t="n">
        <v>0</v>
      </c>
      <c r="BX22" s="29" t="n">
        <v>0</v>
      </c>
      <c r="BY22" s="29" t="n">
        <v>0</v>
      </c>
      <c r="BZ22" s="29" t="n">
        <v>0</v>
      </c>
      <c r="CA22" s="29" t="n">
        <v>0</v>
      </c>
      <c r="CB22" s="29" t="n">
        <v>0</v>
      </c>
      <c r="CC22" s="29" t="n">
        <v>0</v>
      </c>
      <c r="CD22" s="29" t="n">
        <v>0</v>
      </c>
      <c r="CE22" s="29" t="n">
        <v>0</v>
      </c>
      <c r="CF22" s="29" t="n">
        <v>0</v>
      </c>
      <c r="CG22" s="29" t="n">
        <v>0</v>
      </c>
      <c r="CH22" s="29" t="n">
        <v>0</v>
      </c>
      <c r="CI22" s="29" t="n">
        <v>0</v>
      </c>
      <c r="CJ22" s="29" t="n">
        <v>0</v>
      </c>
      <c r="CK22" s="29" t="n">
        <v>0</v>
      </c>
      <c r="CL22" s="29" t="n">
        <v>0</v>
      </c>
      <c r="CM22" s="29" t="n">
        <v>0</v>
      </c>
      <c r="CN22" s="29" t="n">
        <v>0</v>
      </c>
      <c r="CO22" s="29" t="n">
        <v>0</v>
      </c>
      <c r="CP22" s="29" t="n">
        <v>0</v>
      </c>
      <c r="CQ22" s="29" t="n">
        <v>0</v>
      </c>
      <c r="CR22" s="29" t="n">
        <v>0</v>
      </c>
      <c r="CS22" s="29" t="n">
        <v>0</v>
      </c>
      <c r="CT22" s="29" t="n">
        <v>0</v>
      </c>
      <c r="CU22" s="29" t="n">
        <v>6013336</v>
      </c>
      <c r="CV22" s="29" t="n">
        <v>0</v>
      </c>
      <c r="CW22" s="29" t="n">
        <v>0</v>
      </c>
      <c r="CX22" s="29" t="n">
        <v>0</v>
      </c>
      <c r="CY22" s="29" t="n">
        <v>0</v>
      </c>
      <c r="CZ22" s="29" t="n">
        <v>0</v>
      </c>
      <c r="DA22" s="29" t="n">
        <v>0</v>
      </c>
      <c r="DB22" s="29" t="n">
        <v>0</v>
      </c>
      <c r="DC22" s="29" t="n">
        <v>0</v>
      </c>
      <c r="DD22" s="29" t="n">
        <v>0</v>
      </c>
      <c r="DE22" s="29" t="n">
        <v>0</v>
      </c>
      <c r="DF22" s="29">
        <f>SUM(C22:DE22)</f>
        <v/>
      </c>
      <c r="DG22" s="29" t="n">
        <v>0</v>
      </c>
      <c r="DH22" s="29" t="n">
        <v>0</v>
      </c>
      <c r="DI22" s="29" t="n">
        <v>2090832.848253884</v>
      </c>
      <c r="DJ22" s="29" t="n">
        <v>0</v>
      </c>
      <c r="DK22" s="29">
        <f>SUM(DG22:DJ22)</f>
        <v/>
      </c>
      <c r="DL22" s="29">
        <f>DF22+DK22</f>
        <v/>
      </c>
    </row>
    <row r="23">
      <c r="A23" s="30" t="inlineStr">
        <is>
          <t>132</t>
        </is>
      </c>
      <c r="B23" s="30" t="inlineStr">
        <is>
          <t>Extracción de minerales metalíferos no ferrosos, excepto los minerales de uranio y torio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0</v>
      </c>
      <c r="K23" s="31" t="n">
        <v>0</v>
      </c>
      <c r="L23" s="31" t="n">
        <v>5197762.75490815</v>
      </c>
      <c r="M23" s="31" t="n">
        <v>0</v>
      </c>
      <c r="N23" s="31" t="n">
        <v>0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5810.122658509501</v>
      </c>
      <c r="AK23" s="31" t="n">
        <v>0</v>
      </c>
      <c r="AL23" s="31" t="n">
        <v>0</v>
      </c>
      <c r="AM23" s="31" t="n">
        <v>2317182</v>
      </c>
      <c r="AN23" s="31" t="n">
        <v>88607.6829461853</v>
      </c>
      <c r="AO23" s="31" t="n">
        <v>0</v>
      </c>
      <c r="AP23" s="31" t="n">
        <v>0</v>
      </c>
      <c r="AQ23" s="31" t="n">
        <v>1213617.679115454</v>
      </c>
      <c r="AR23" s="31" t="n">
        <v>0</v>
      </c>
      <c r="AS23" s="31" t="n">
        <v>0</v>
      </c>
      <c r="AT23" s="31" t="n">
        <v>8196.897521802008</v>
      </c>
      <c r="AU23" s="31" t="n">
        <v>375707</v>
      </c>
      <c r="AV23" s="31" t="n">
        <v>375600.0000000001</v>
      </c>
      <c r="AW23" s="31" t="n">
        <v>5406329.69977712</v>
      </c>
      <c r="AX23" s="31" t="n">
        <v>1173388</v>
      </c>
      <c r="AY23" s="31" t="n">
        <v>4.727297045536</v>
      </c>
      <c r="AZ23" s="31" t="n">
        <v>138344.9189907196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1317.13362055874</v>
      </c>
      <c r="BH23" s="31" t="n">
        <v>0</v>
      </c>
      <c r="BI23" s="31" t="n">
        <v>0</v>
      </c>
      <c r="BJ23" s="31" t="n">
        <v>2924.13936688747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78939.7215227703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294647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0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>
        <f>SUM(C23:DE23)</f>
        <v/>
      </c>
      <c r="DG23" s="31" t="n">
        <v>0</v>
      </c>
      <c r="DH23" s="31" t="n">
        <v>0</v>
      </c>
      <c r="DI23" s="31" t="n">
        <v>76818149.1865346</v>
      </c>
      <c r="DJ23" s="31" t="n">
        <v>0</v>
      </c>
      <c r="DK23" s="31">
        <f>SUM(DG23:DJ23)</f>
        <v/>
      </c>
      <c r="DL23" s="31">
        <f>DF23+DK23</f>
        <v/>
      </c>
    </row>
    <row r="24">
      <c r="A24" s="28" t="inlineStr">
        <is>
          <t>141/142</t>
        </is>
      </c>
      <c r="B24" s="28" t="inlineStr">
        <is>
          <t>Extracción de piedra arena y arcilla. Explotación de minas y canteras n.c.p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23.11805735104006</v>
      </c>
      <c r="I24" s="29" t="n">
        <v>0</v>
      </c>
      <c r="J24" s="29" t="n">
        <v>3449968.828123095</v>
      </c>
      <c r="K24" s="29" t="n">
        <v>0</v>
      </c>
      <c r="L24" s="29" t="n">
        <v>571.6258637355591</v>
      </c>
      <c r="M24" s="29" t="n">
        <v>585767.4723155417</v>
      </c>
      <c r="N24" s="29" t="n">
        <v>15955.52837579711</v>
      </c>
      <c r="O24" s="29" t="n">
        <v>2114.663249184855</v>
      </c>
      <c r="P24" s="29" t="n">
        <v>20022.66163596131</v>
      </c>
      <c r="Q24" s="29" t="n">
        <v>70664.70067348861</v>
      </c>
      <c r="R24" s="29" t="n">
        <v>421161.6271405266</v>
      </c>
      <c r="S24" s="29" t="n">
        <v>303875.4274551124</v>
      </c>
      <c r="T24" s="29" t="n">
        <v>1726006.739176173</v>
      </c>
      <c r="U24" s="29" t="n">
        <v>41646.88309531202</v>
      </c>
      <c r="V24" s="29" t="n">
        <v>33077.53062079365</v>
      </c>
      <c r="W24" s="29" t="n">
        <v>147946.1657092754</v>
      </c>
      <c r="X24" s="29" t="n">
        <v>7264.317319118606</v>
      </c>
      <c r="Y24" s="29" t="n">
        <v>1304983.125329326</v>
      </c>
      <c r="Z24" s="29" t="n">
        <v>0</v>
      </c>
      <c r="AA24" s="29" t="n">
        <v>302305.1300923724</v>
      </c>
      <c r="AB24" s="29" t="n">
        <v>0</v>
      </c>
      <c r="AC24" s="29" t="n">
        <v>1288.827988601823</v>
      </c>
      <c r="AD24" s="29" t="n">
        <v>0</v>
      </c>
      <c r="AE24" s="29" t="n">
        <v>125443.9335417415</v>
      </c>
      <c r="AF24" s="29" t="n">
        <v>31721.80451646039</v>
      </c>
      <c r="AG24" s="29" t="n">
        <v>50265.05711306027</v>
      </c>
      <c r="AH24" s="29" t="n">
        <v>291.7664765021058</v>
      </c>
      <c r="AI24" s="29" t="n">
        <v>0</v>
      </c>
      <c r="AJ24" s="29" t="n">
        <v>213044.8456084473</v>
      </c>
      <c r="AK24" s="29" t="n">
        <v>0</v>
      </c>
      <c r="AL24" s="29" t="n">
        <v>0</v>
      </c>
      <c r="AM24" s="29" t="n">
        <v>698.065255872696</v>
      </c>
      <c r="AN24" s="29" t="n">
        <v>1220284.257806551</v>
      </c>
      <c r="AO24" s="29" t="n">
        <v>4988.166155506847</v>
      </c>
      <c r="AP24" s="29" t="n">
        <v>2727.981450458753</v>
      </c>
      <c r="AQ24" s="29" t="n">
        <v>1688374.401977803</v>
      </c>
      <c r="AR24" s="29" t="n">
        <v>11795.50038527692</v>
      </c>
      <c r="AS24" s="29" t="n">
        <v>18987.96293230936</v>
      </c>
      <c r="AT24" s="29" t="n">
        <v>606902.7916152163</v>
      </c>
      <c r="AU24" s="29" t="n">
        <v>23074295.90005037</v>
      </c>
      <c r="AV24" s="29" t="n">
        <v>734517.9179982083</v>
      </c>
      <c r="AW24" s="29" t="n">
        <v>106367.2260303632</v>
      </c>
      <c r="AX24" s="29" t="n">
        <v>682520.5024097122</v>
      </c>
      <c r="AY24" s="29" t="n">
        <v>2168.451175343529</v>
      </c>
      <c r="AZ24" s="29" t="n">
        <v>40511.43118612079</v>
      </c>
      <c r="BA24" s="29" t="n">
        <v>17.62241398689244</v>
      </c>
      <c r="BB24" s="29" t="n">
        <v>142.6466604813847</v>
      </c>
      <c r="BC24" s="29" t="n">
        <v>0</v>
      </c>
      <c r="BD24" s="29" t="n">
        <v>0</v>
      </c>
      <c r="BE24" s="29" t="n">
        <v>3900.993157663289</v>
      </c>
      <c r="BF24" s="29" t="n">
        <v>3053.955439459899</v>
      </c>
      <c r="BG24" s="29" t="n">
        <v>134.2668333605646</v>
      </c>
      <c r="BH24" s="29" t="n">
        <v>0</v>
      </c>
      <c r="BI24" s="29" t="n">
        <v>0</v>
      </c>
      <c r="BJ24" s="29" t="n">
        <v>851.4641389431082</v>
      </c>
      <c r="BK24" s="29" t="n">
        <v>20.46762018800796</v>
      </c>
      <c r="BL24" s="29" t="n">
        <v>509172.9493515913</v>
      </c>
      <c r="BM24" s="29" t="n">
        <v>31176.00510042904</v>
      </c>
      <c r="BN24" s="29" t="n">
        <v>36602.05972843729</v>
      </c>
      <c r="BO24" s="29" t="n">
        <v>22035.28624023031</v>
      </c>
      <c r="BP24" s="29" t="n">
        <v>42.06663413158302</v>
      </c>
      <c r="BQ24" s="29" t="n">
        <v>0</v>
      </c>
      <c r="BR24" s="29" t="n">
        <v>0</v>
      </c>
      <c r="BS24" s="29" t="n">
        <v>29370576.14517988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2485.823775598636</v>
      </c>
      <c r="BY24" s="29" t="n">
        <v>451813.3390073905</v>
      </c>
      <c r="BZ24" s="29" t="n">
        <v>0</v>
      </c>
      <c r="CA24" s="29" t="n">
        <v>0</v>
      </c>
      <c r="CB24" s="29" t="n">
        <v>0</v>
      </c>
      <c r="CC24" s="29" t="n">
        <v>0</v>
      </c>
      <c r="CD24" s="29" t="n">
        <v>0</v>
      </c>
      <c r="CE24" s="29" t="n">
        <v>0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2288390.827920872</v>
      </c>
      <c r="CO24" s="29" t="n">
        <v>1430043.149726869</v>
      </c>
      <c r="CP24" s="29" t="n">
        <v>0</v>
      </c>
      <c r="CQ24" s="29" t="n">
        <v>0</v>
      </c>
      <c r="CR24" s="29" t="n">
        <v>0</v>
      </c>
      <c r="CS24" s="29" t="n">
        <v>20571.70199103812</v>
      </c>
      <c r="CT24" s="29" t="n">
        <v>18784.22617204319</v>
      </c>
      <c r="CU24" s="29" t="n">
        <v>0</v>
      </c>
      <c r="CV24" s="29" t="n">
        <v>1002148.714446406</v>
      </c>
      <c r="CW24" s="29" t="n">
        <v>28.52482577944721</v>
      </c>
      <c r="CX24" s="29" t="n">
        <v>7445.221435097541</v>
      </c>
      <c r="CY24" s="29" t="n">
        <v>85.92384232364037</v>
      </c>
      <c r="CZ24" s="29" t="n">
        <v>11101.1511551609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>
        <f>SUM(C24:DE24)</f>
        <v/>
      </c>
      <c r="DG24" s="29" t="n">
        <v>0</v>
      </c>
      <c r="DH24" s="29" t="n">
        <v>0</v>
      </c>
      <c r="DI24" s="29" t="n">
        <v>3359825.269437989</v>
      </c>
      <c r="DJ24" s="29" t="n">
        <v>0</v>
      </c>
      <c r="DK24" s="29">
        <f>SUM(DG24:DJ24)</f>
        <v/>
      </c>
      <c r="DL24" s="29">
        <f>DF24+DK24</f>
        <v/>
      </c>
    </row>
    <row r="25">
      <c r="A25" s="30" t="inlineStr">
        <is>
          <t>1511</t>
        </is>
      </c>
      <c r="B25" s="30" t="inlineStr">
        <is>
          <t>Producción, procesamiento y conservación de carne y productos cárnicos</t>
        </is>
      </c>
      <c r="C25" s="31" t="n">
        <v>22855.93208460789</v>
      </c>
      <c r="D25" s="31" t="n">
        <v>373601.2447914731</v>
      </c>
      <c r="E25" s="31" t="n">
        <v>0</v>
      </c>
      <c r="F25" s="31" t="n">
        <v>0</v>
      </c>
      <c r="G25" s="31" t="n">
        <v>0</v>
      </c>
      <c r="H25" s="31" t="n">
        <v>373.845762542107</v>
      </c>
      <c r="I25" s="31" t="n">
        <v>0.9145209716423941</v>
      </c>
      <c r="J25" s="31" t="n">
        <v>1263.149382986318</v>
      </c>
      <c r="K25" s="31" t="n">
        <v>4231.574894961229</v>
      </c>
      <c r="L25" s="31" t="n">
        <v>63.07416378183772</v>
      </c>
      <c r="M25" s="31" t="n">
        <v>40.21477156569078</v>
      </c>
      <c r="N25" s="31" t="n">
        <v>19315842.38179007</v>
      </c>
      <c r="O25" s="31" t="n">
        <v>48913.50129100123</v>
      </c>
      <c r="P25" s="31" t="n">
        <v>21043.89305804795</v>
      </c>
      <c r="Q25" s="31" t="n">
        <v>1905136.937203839</v>
      </c>
      <c r="R25" s="31" t="n">
        <v>29415211.53605774</v>
      </c>
      <c r="S25" s="31" t="n">
        <v>10117.12440702429</v>
      </c>
      <c r="T25" s="31" t="n">
        <v>5500173.961991354</v>
      </c>
      <c r="U25" s="31" t="n">
        <v>627540.8691130033</v>
      </c>
      <c r="V25" s="31" t="n">
        <v>133673.3041764942</v>
      </c>
      <c r="W25" s="31" t="n">
        <v>84457.56845173246</v>
      </c>
      <c r="X25" s="31" t="n">
        <v>545064.526840996</v>
      </c>
      <c r="Y25" s="31" t="n">
        <v>1616270.306360349</v>
      </c>
      <c r="Z25" s="31" t="n">
        <v>1018.880705693243</v>
      </c>
      <c r="AA25" s="31" t="n">
        <v>18618.03540198183</v>
      </c>
      <c r="AB25" s="31" t="n">
        <v>999.8991818376701</v>
      </c>
      <c r="AC25" s="31" t="n">
        <v>34745.95195685545</v>
      </c>
      <c r="AD25" s="31" t="n">
        <v>8850.535784361266</v>
      </c>
      <c r="AE25" s="31" t="n">
        <v>635576.9453464897</v>
      </c>
      <c r="AF25" s="31" t="n">
        <v>121599.154372828</v>
      </c>
      <c r="AG25" s="31" t="n">
        <v>4663846.212966934</v>
      </c>
      <c r="AH25" s="31" t="n">
        <v>24119.67261058031</v>
      </c>
      <c r="AI25" s="31" t="n">
        <v>4479.854070745629</v>
      </c>
      <c r="AJ25" s="31" t="n">
        <v>876114.6665204191</v>
      </c>
      <c r="AK25" s="31" t="n">
        <v>86928.7896127851</v>
      </c>
      <c r="AL25" s="31" t="n">
        <v>53105.54679076467</v>
      </c>
      <c r="AM25" s="31" t="n">
        <v>12154.4736424716</v>
      </c>
      <c r="AN25" s="31" t="n">
        <v>104200.2650388392</v>
      </c>
      <c r="AO25" s="31" t="n">
        <v>5907.825631349571</v>
      </c>
      <c r="AP25" s="31" t="n">
        <v>13867.3110156785</v>
      </c>
      <c r="AQ25" s="31" t="n">
        <v>898257.9937880922</v>
      </c>
      <c r="AR25" s="31" t="n">
        <v>16324.00270502075</v>
      </c>
      <c r="AS25" s="31" t="n">
        <v>63709.91037926885</v>
      </c>
      <c r="AT25" s="31" t="n">
        <v>3279.626865363006</v>
      </c>
      <c r="AU25" s="31" t="n">
        <v>36930.12600587174</v>
      </c>
      <c r="AV25" s="31" t="n">
        <v>1111659.543191405</v>
      </c>
      <c r="AW25" s="31" t="n">
        <v>636473.1709459013</v>
      </c>
      <c r="AX25" s="31" t="n">
        <v>1115841.737342536</v>
      </c>
      <c r="AY25" s="31" t="n">
        <v>27595.58289519683</v>
      </c>
      <c r="AZ25" s="31" t="n">
        <v>268671.0496802572</v>
      </c>
      <c r="BA25" s="31" t="n">
        <v>39377.83347032419</v>
      </c>
      <c r="BB25" s="31" t="n">
        <v>136018.4449275861</v>
      </c>
      <c r="BC25" s="31" t="n">
        <v>31209.26161003189</v>
      </c>
      <c r="BD25" s="31" t="n">
        <v>1805.888092760649</v>
      </c>
      <c r="BE25" s="31" t="n">
        <v>32558.74994511075</v>
      </c>
      <c r="BF25" s="31" t="n">
        <v>116777.5187343545</v>
      </c>
      <c r="BG25" s="31" t="n">
        <v>14768.54237465805</v>
      </c>
      <c r="BH25" s="31" t="n">
        <v>275985.6884272193</v>
      </c>
      <c r="BI25" s="31" t="n">
        <v>1841.931483195362</v>
      </c>
      <c r="BJ25" s="31" t="n">
        <v>12211.65006867118</v>
      </c>
      <c r="BK25" s="31" t="n">
        <v>22333.50557468311</v>
      </c>
      <c r="BL25" s="31" t="n">
        <v>59774.59348641014</v>
      </c>
      <c r="BM25" s="31" t="n">
        <v>16399.22288164443</v>
      </c>
      <c r="BN25" s="31" t="n">
        <v>25485.66263638609</v>
      </c>
      <c r="BO25" s="31" t="n">
        <v>840505.8941629804</v>
      </c>
      <c r="BP25" s="31" t="n">
        <v>5124.371647949957</v>
      </c>
      <c r="BQ25" s="31" t="n">
        <v>953.634474064972</v>
      </c>
      <c r="BR25" s="31" t="n">
        <v>245.9079608055853</v>
      </c>
      <c r="BS25" s="31" t="n">
        <v>510.4980487172974</v>
      </c>
      <c r="BT25" s="31" t="n">
        <v>6252.287533534194</v>
      </c>
      <c r="BU25" s="31" t="n">
        <v>81754.65847149453</v>
      </c>
      <c r="BV25" s="31" t="n">
        <v>571822.1788398905</v>
      </c>
      <c r="BW25" s="31" t="n">
        <v>0.3831133257602432</v>
      </c>
      <c r="BX25" s="31" t="n">
        <v>478962.101611143</v>
      </c>
      <c r="BY25" s="31" t="n">
        <v>90840364.31480122</v>
      </c>
      <c r="BZ25" s="31" t="n">
        <v>137.1261283028712</v>
      </c>
      <c r="CA25" s="31" t="n">
        <v>1259.416389944012</v>
      </c>
      <c r="CB25" s="31" t="n">
        <v>22353.53224090184</v>
      </c>
      <c r="CC25" s="31" t="n">
        <v>13.60902778308487</v>
      </c>
      <c r="CD25" s="31" t="n">
        <v>776.7388580495843</v>
      </c>
      <c r="CE25" s="31" t="n">
        <v>1559.468852175011</v>
      </c>
      <c r="CF25" s="31" t="n">
        <v>353.6135128506278</v>
      </c>
      <c r="CG25" s="31" t="n">
        <v>42338.40131264957</v>
      </c>
      <c r="CH25" s="31" t="n">
        <v>64944.20808129321</v>
      </c>
      <c r="CI25" s="31" t="n">
        <v>14443.14621178729</v>
      </c>
      <c r="CJ25" s="31" t="n">
        <v>10475.46054755142</v>
      </c>
      <c r="CK25" s="31" t="n">
        <v>1441.496769826379</v>
      </c>
      <c r="CL25" s="31" t="n">
        <v>6145.349574623717</v>
      </c>
      <c r="CM25" s="31" t="n">
        <v>1149.017944890684</v>
      </c>
      <c r="CN25" s="31" t="n">
        <v>144.5527456943778</v>
      </c>
      <c r="CO25" s="31" t="n">
        <v>64.92811276219982</v>
      </c>
      <c r="CP25" s="31" t="n">
        <v>731.7530111567679</v>
      </c>
      <c r="CQ25" s="31" t="n">
        <v>712.184086637468</v>
      </c>
      <c r="CR25" s="31" t="n">
        <v>64975.51793823705</v>
      </c>
      <c r="CS25" s="31" t="n">
        <v>172517.0444596316</v>
      </c>
      <c r="CT25" s="31" t="n">
        <v>157527.0331581652</v>
      </c>
      <c r="CU25" s="31" t="n">
        <v>38097.47412530487</v>
      </c>
      <c r="CV25" s="31" t="n">
        <v>8406878.457364924</v>
      </c>
      <c r="CW25" s="31" t="n">
        <v>22973.03482355919</v>
      </c>
      <c r="CX25" s="31" t="n">
        <v>1070004.264781911</v>
      </c>
      <c r="CY25" s="31" t="n">
        <v>685152.8641646318</v>
      </c>
      <c r="CZ25" s="31" t="n">
        <v>1827146.419922269</v>
      </c>
      <c r="DA25" s="31" t="n">
        <v>860.1721188836548</v>
      </c>
      <c r="DB25" s="31" t="n">
        <v>323245.2955944048</v>
      </c>
      <c r="DC25" s="31" t="n">
        <v>54595.92670114299</v>
      </c>
      <c r="DD25" s="31" t="n">
        <v>431.0987500370686</v>
      </c>
      <c r="DE25" s="31" t="n">
        <v>0</v>
      </c>
      <c r="DF25" s="31">
        <f>SUM(C25:DE25)</f>
        <v/>
      </c>
      <c r="DG25" s="31" t="n">
        <v>0</v>
      </c>
      <c r="DH25" s="31" t="n">
        <v>0</v>
      </c>
      <c r="DI25" s="31" t="n">
        <v>261129287.4420656</v>
      </c>
      <c r="DJ25" s="31" t="n">
        <v>0</v>
      </c>
      <c r="DK25" s="31">
        <f>SUM(DG25:DJ25)</f>
        <v/>
      </c>
      <c r="DL25" s="31">
        <f>DF25+DK25</f>
        <v/>
      </c>
    </row>
    <row r="26">
      <c r="A26" s="28" t="inlineStr">
        <is>
          <t>1512</t>
        </is>
      </c>
      <c r="B26" s="28" t="inlineStr">
        <is>
          <t>Elaboración de pescado y productos de pescado</t>
        </is>
      </c>
      <c r="C26" s="29" t="n">
        <v>17245.94428505164</v>
      </c>
      <c r="D26" s="29" t="n">
        <v>1908.362655714585</v>
      </c>
      <c r="E26" s="29" t="n">
        <v>0</v>
      </c>
      <c r="F26" s="29" t="n">
        <v>0</v>
      </c>
      <c r="G26" s="29" t="n">
        <v>0</v>
      </c>
      <c r="H26" s="29" t="n">
        <v>17439.08105175547</v>
      </c>
      <c r="I26" s="29" t="n">
        <v>282.3672806453618</v>
      </c>
      <c r="J26" s="29" t="n">
        <v>48531.42037348926</v>
      </c>
      <c r="K26" s="29" t="n">
        <v>151764.8426240903</v>
      </c>
      <c r="L26" s="29" t="n">
        <v>25360.38668852685</v>
      </c>
      <c r="M26" s="29" t="n">
        <v>9421.294812015592</v>
      </c>
      <c r="N26" s="29" t="n">
        <v>9118.329525996889</v>
      </c>
      <c r="O26" s="29" t="n">
        <v>1156097.73552311</v>
      </c>
      <c r="P26" s="29" t="n">
        <v>3612.067555949322</v>
      </c>
      <c r="Q26" s="29" t="n">
        <v>7108.435588552355</v>
      </c>
      <c r="R26" s="29" t="n">
        <v>11002.77746334249</v>
      </c>
      <c r="S26" s="29" t="n">
        <v>2165.82895099568</v>
      </c>
      <c r="T26" s="29" t="n">
        <v>211155.6582379714</v>
      </c>
      <c r="U26" s="29" t="n">
        <v>4481.69485168178</v>
      </c>
      <c r="V26" s="29" t="n">
        <v>931.8495337731167</v>
      </c>
      <c r="W26" s="29" t="n">
        <v>1077.917011708172</v>
      </c>
      <c r="X26" s="29" t="n">
        <v>784.6726312886196</v>
      </c>
      <c r="Y26" s="29" t="n">
        <v>13343.37090823077</v>
      </c>
      <c r="Z26" s="29" t="n">
        <v>2523.437661323307</v>
      </c>
      <c r="AA26" s="29" t="n">
        <v>3208.594164601878</v>
      </c>
      <c r="AB26" s="29" t="n">
        <v>2060.251280189315</v>
      </c>
      <c r="AC26" s="29" t="n">
        <v>7991.461991721484</v>
      </c>
      <c r="AD26" s="29" t="n">
        <v>801.8893037326814</v>
      </c>
      <c r="AE26" s="29" t="n">
        <v>4381.976777672007</v>
      </c>
      <c r="AF26" s="29" t="n">
        <v>1752.082090649132</v>
      </c>
      <c r="AG26" s="29" t="n">
        <v>1217.802292742783</v>
      </c>
      <c r="AH26" s="29" t="n">
        <v>471.5877742690657</v>
      </c>
      <c r="AI26" s="29" t="n">
        <v>3343.136268464687</v>
      </c>
      <c r="AJ26" s="29" t="n">
        <v>6194.713294708245</v>
      </c>
      <c r="AK26" s="29" t="n">
        <v>4016.686324214627</v>
      </c>
      <c r="AL26" s="29" t="n">
        <v>6292.624239435828</v>
      </c>
      <c r="AM26" s="29" t="n">
        <v>19255.34750506867</v>
      </c>
      <c r="AN26" s="29" t="n">
        <v>5226.245158925551</v>
      </c>
      <c r="AO26" s="29" t="n">
        <v>1634.773685084851</v>
      </c>
      <c r="AP26" s="29" t="n">
        <v>6560.782258225126</v>
      </c>
      <c r="AQ26" s="29" t="n">
        <v>13862.27185535945</v>
      </c>
      <c r="AR26" s="29" t="n">
        <v>1704.785990670778</v>
      </c>
      <c r="AS26" s="29" t="n">
        <v>1044.727267286238</v>
      </c>
      <c r="AT26" s="29" t="n">
        <v>1268.230024661033</v>
      </c>
      <c r="AU26" s="29" t="n">
        <v>16870.84172998581</v>
      </c>
      <c r="AV26" s="29" t="n">
        <v>9067.338438632552</v>
      </c>
      <c r="AW26" s="29" t="n">
        <v>608.8604334934186</v>
      </c>
      <c r="AX26" s="29" t="n">
        <v>1177.799496771074</v>
      </c>
      <c r="AY26" s="29" t="n">
        <v>5135.968741919617</v>
      </c>
      <c r="AZ26" s="29" t="n">
        <v>4352.892306386662</v>
      </c>
      <c r="BA26" s="29" t="n">
        <v>3143.782373931843</v>
      </c>
      <c r="BB26" s="29" t="n">
        <v>15638.60321440369</v>
      </c>
      <c r="BC26" s="29" t="n">
        <v>932.8428990432242</v>
      </c>
      <c r="BD26" s="29" t="n">
        <v>84.3079280121228</v>
      </c>
      <c r="BE26" s="29" t="n">
        <v>706.9071016990134</v>
      </c>
      <c r="BF26" s="29" t="n">
        <v>390.5828029516754</v>
      </c>
      <c r="BG26" s="29" t="n">
        <v>852.7054726719479</v>
      </c>
      <c r="BH26" s="29" t="n">
        <v>5760.895520872852</v>
      </c>
      <c r="BI26" s="29" t="n">
        <v>69.16262269588664</v>
      </c>
      <c r="BJ26" s="29" t="n">
        <v>610.8042009056655</v>
      </c>
      <c r="BK26" s="29" t="n">
        <v>17973.9661356057</v>
      </c>
      <c r="BL26" s="29" t="n">
        <v>2583.290487569712</v>
      </c>
      <c r="BM26" s="29" t="n">
        <v>1460.675545841859</v>
      </c>
      <c r="BN26" s="29" t="n">
        <v>1838.540117171739</v>
      </c>
      <c r="BO26" s="29" t="n">
        <v>3355.481368844802</v>
      </c>
      <c r="BP26" s="29" t="n">
        <v>46440.98135582673</v>
      </c>
      <c r="BQ26" s="29" t="n">
        <v>17368.06280131103</v>
      </c>
      <c r="BR26" s="29" t="n">
        <v>4652.939517092922</v>
      </c>
      <c r="BS26" s="29" t="n">
        <v>257294.4121453397</v>
      </c>
      <c r="BT26" s="29" t="n">
        <v>85053.32628419381</v>
      </c>
      <c r="BU26" s="29" t="n">
        <v>125649.2764070906</v>
      </c>
      <c r="BV26" s="29" t="n">
        <v>111657.8271147757</v>
      </c>
      <c r="BW26" s="29" t="n">
        <v>0.2375259617175118</v>
      </c>
      <c r="BX26" s="29" t="n">
        <v>156197.2145420399</v>
      </c>
      <c r="BY26" s="29" t="n">
        <v>4563655.734297149</v>
      </c>
      <c r="BZ26" s="29" t="n">
        <v>1969.418255069331</v>
      </c>
      <c r="CA26" s="29" t="n">
        <v>58519.38471369921</v>
      </c>
      <c r="CB26" s="29" t="n">
        <v>482.0209864939304</v>
      </c>
      <c r="CC26" s="29" t="n">
        <v>1743.675832005614</v>
      </c>
      <c r="CD26" s="29" t="n">
        <v>196496.1007574496</v>
      </c>
      <c r="CE26" s="29" t="n">
        <v>60469.90502605348</v>
      </c>
      <c r="CF26" s="29" t="n">
        <v>3942.318474465259</v>
      </c>
      <c r="CG26" s="29" t="n">
        <v>65802.65939889572</v>
      </c>
      <c r="CH26" s="29" t="n">
        <v>597979.5480896786</v>
      </c>
      <c r="CI26" s="29" t="n">
        <v>20021.0403651346</v>
      </c>
      <c r="CJ26" s="29" t="n">
        <v>7475.894095202296</v>
      </c>
      <c r="CK26" s="29" t="n">
        <v>65555.92280094104</v>
      </c>
      <c r="CL26" s="29" t="n">
        <v>27803.09526644429</v>
      </c>
      <c r="CM26" s="29" t="n">
        <v>8507.542277120683</v>
      </c>
      <c r="CN26" s="29" t="n">
        <v>0</v>
      </c>
      <c r="CO26" s="29" t="n">
        <v>0</v>
      </c>
      <c r="CP26" s="29" t="n">
        <v>4937.187058052627</v>
      </c>
      <c r="CQ26" s="29" t="n">
        <v>3788.075796335867</v>
      </c>
      <c r="CR26" s="29" t="n">
        <v>92476.75409035748</v>
      </c>
      <c r="CS26" s="29" t="n">
        <v>2602.461918172935</v>
      </c>
      <c r="CT26" s="29" t="n">
        <v>2376.333922024842</v>
      </c>
      <c r="CU26" s="29" t="n">
        <v>103734.7607886349</v>
      </c>
      <c r="CV26" s="29" t="n">
        <v>126778.7112038135</v>
      </c>
      <c r="CW26" s="29" t="n">
        <v>10709.29315389629</v>
      </c>
      <c r="CX26" s="29" t="n">
        <v>17679.14840495209</v>
      </c>
      <c r="CY26" s="29" t="n">
        <v>218727.8165677721</v>
      </c>
      <c r="CZ26" s="29" t="n">
        <v>338313.7845206889</v>
      </c>
      <c r="DA26" s="29" t="n">
        <v>52433.5145187892</v>
      </c>
      <c r="DB26" s="29" t="n">
        <v>6087.619660821572</v>
      </c>
      <c r="DC26" s="29" t="n">
        <v>67925.98004791205</v>
      </c>
      <c r="DD26" s="29" t="n">
        <v>339.6874046841321</v>
      </c>
      <c r="DE26" s="29" t="n">
        <v>0</v>
      </c>
      <c r="DF26" s="29">
        <f>SUM(C26:DE26)</f>
        <v/>
      </c>
      <c r="DG26" s="29" t="n">
        <v>0</v>
      </c>
      <c r="DH26" s="29" t="n">
        <v>0</v>
      </c>
      <c r="DI26" s="29" t="n">
        <v>34135741.61977052</v>
      </c>
      <c r="DJ26" s="29" t="n">
        <v>0</v>
      </c>
      <c r="DK26" s="29">
        <f>SUM(DG26:DJ26)</f>
        <v/>
      </c>
      <c r="DL26" s="29">
        <f>DF26+DK26</f>
        <v/>
      </c>
    </row>
    <row r="27">
      <c r="A27" s="30" t="inlineStr">
        <is>
          <t>1513</t>
        </is>
      </c>
      <c r="B27" s="30" t="inlineStr">
        <is>
          <t>Preparación de frutas, hortalizas y legumbres</t>
        </is>
      </c>
      <c r="C27" s="31" t="n">
        <v>26609.22920583107</v>
      </c>
      <c r="D27" s="31" t="n">
        <v>4045.206668712905</v>
      </c>
      <c r="E27" s="31" t="n">
        <v>0</v>
      </c>
      <c r="F27" s="31" t="n">
        <v>0</v>
      </c>
      <c r="G27" s="31" t="n">
        <v>0</v>
      </c>
      <c r="H27" s="31" t="n">
        <v>10259.87128399933</v>
      </c>
      <c r="I27" s="31" t="n">
        <v>2.766313485836538</v>
      </c>
      <c r="J27" s="31" t="n">
        <v>457.9843445044266</v>
      </c>
      <c r="K27" s="31" t="n">
        <v>1341.189287380944</v>
      </c>
      <c r="L27" s="31" t="n">
        <v>57936.85997660684</v>
      </c>
      <c r="M27" s="31" t="n">
        <v>10223.4764662937</v>
      </c>
      <c r="N27" s="31" t="n">
        <v>45006.85924590716</v>
      </c>
      <c r="O27" s="31" t="n">
        <v>7556.128954425394</v>
      </c>
      <c r="P27" s="31" t="n">
        <v>937404.9091933672</v>
      </c>
      <c r="Q27" s="31" t="n">
        <v>255338.2975468424</v>
      </c>
      <c r="R27" s="31" t="n">
        <v>106057.7023457995</v>
      </c>
      <c r="S27" s="31" t="n">
        <v>18071.89058241484</v>
      </c>
      <c r="T27" s="31" t="n">
        <v>841382.1762241997</v>
      </c>
      <c r="U27" s="31" t="n">
        <v>255318.5322869204</v>
      </c>
      <c r="V27" s="31" t="n">
        <v>21504.05730061302</v>
      </c>
      <c r="W27" s="31" t="n">
        <v>46111.38430078418</v>
      </c>
      <c r="X27" s="31" t="n">
        <v>35990.10192942494</v>
      </c>
      <c r="Y27" s="31" t="n">
        <v>3214766.779882138</v>
      </c>
      <c r="Z27" s="31" t="n">
        <v>4888.768806584945</v>
      </c>
      <c r="AA27" s="31" t="n">
        <v>327214.572411635</v>
      </c>
      <c r="AB27" s="31" t="n">
        <v>315.7262907720882</v>
      </c>
      <c r="AC27" s="31" t="n">
        <v>1848155.168683425</v>
      </c>
      <c r="AD27" s="31" t="n">
        <v>10176.29358560484</v>
      </c>
      <c r="AE27" s="31" t="n">
        <v>27731.3689547273</v>
      </c>
      <c r="AF27" s="31" t="n">
        <v>18615.05115779705</v>
      </c>
      <c r="AG27" s="31" t="n">
        <v>4291.98852326275</v>
      </c>
      <c r="AH27" s="31" t="n">
        <v>11307.72716005522</v>
      </c>
      <c r="AI27" s="31" t="n">
        <v>24048.0305546776</v>
      </c>
      <c r="AJ27" s="31" t="n">
        <v>253769.2940079099</v>
      </c>
      <c r="AK27" s="31" t="n">
        <v>17085.70063255726</v>
      </c>
      <c r="AL27" s="31" t="n">
        <v>19031.09679341588</v>
      </c>
      <c r="AM27" s="31" t="n">
        <v>87724.63879344962</v>
      </c>
      <c r="AN27" s="31" t="n">
        <v>70768.34971900767</v>
      </c>
      <c r="AO27" s="31" t="n">
        <v>4265.824619485529</v>
      </c>
      <c r="AP27" s="31" t="n">
        <v>49289.8119526461</v>
      </c>
      <c r="AQ27" s="31" t="n">
        <v>327091.2998718486</v>
      </c>
      <c r="AR27" s="31" t="n">
        <v>14184.00866374846</v>
      </c>
      <c r="AS27" s="31" t="n">
        <v>19354.16594314903</v>
      </c>
      <c r="AT27" s="31" t="n">
        <v>1533.727292453392</v>
      </c>
      <c r="AU27" s="31" t="n">
        <v>15873.28198178744</v>
      </c>
      <c r="AV27" s="31" t="n">
        <v>240625.2856427157</v>
      </c>
      <c r="AW27" s="31" t="n">
        <v>125821.2661709213</v>
      </c>
      <c r="AX27" s="31" t="n">
        <v>221856.6588888594</v>
      </c>
      <c r="AY27" s="31" t="n">
        <v>4619.731681158783</v>
      </c>
      <c r="AZ27" s="31" t="n">
        <v>66664.9325402266</v>
      </c>
      <c r="BA27" s="31" t="n">
        <v>9780.055157767983</v>
      </c>
      <c r="BB27" s="31" t="n">
        <v>23531.30322680675</v>
      </c>
      <c r="BC27" s="31" t="n">
        <v>5472.652245573483</v>
      </c>
      <c r="BD27" s="31" t="n">
        <v>299.8823203070934</v>
      </c>
      <c r="BE27" s="31" t="n">
        <v>5913.004232839538</v>
      </c>
      <c r="BF27" s="31" t="n">
        <v>22879.48840247368</v>
      </c>
      <c r="BG27" s="31" t="n">
        <v>3221.196738013042</v>
      </c>
      <c r="BH27" s="31" t="n">
        <v>44484.71698757591</v>
      </c>
      <c r="BI27" s="31" t="n">
        <v>368.7654301857143</v>
      </c>
      <c r="BJ27" s="31" t="n">
        <v>2341.848192868583</v>
      </c>
      <c r="BK27" s="31" t="n">
        <v>8554.107358585807</v>
      </c>
      <c r="BL27" s="31" t="n">
        <v>21815.26997112614</v>
      </c>
      <c r="BM27" s="31" t="n">
        <v>2760.028299396488</v>
      </c>
      <c r="BN27" s="31" t="n">
        <v>14639.84990666421</v>
      </c>
      <c r="BO27" s="31" t="n">
        <v>165583.5461935484</v>
      </c>
      <c r="BP27" s="31" t="n">
        <v>1480.042306414929</v>
      </c>
      <c r="BQ27" s="31" t="n">
        <v>361.0874422272785</v>
      </c>
      <c r="BR27" s="31" t="n">
        <v>177.749102321998</v>
      </c>
      <c r="BS27" s="31" t="n">
        <v>2199.533553510846</v>
      </c>
      <c r="BT27" s="31" t="n">
        <v>1144.225778304493</v>
      </c>
      <c r="BU27" s="31" t="n">
        <v>8613.627128509757</v>
      </c>
      <c r="BV27" s="31" t="n">
        <v>23246.85330452299</v>
      </c>
      <c r="BW27" s="31" t="n">
        <v>20.88448971709293</v>
      </c>
      <c r="BX27" s="31" t="n">
        <v>23333.94117183778</v>
      </c>
      <c r="BY27" s="31" t="n">
        <v>976725.5070646522</v>
      </c>
      <c r="BZ27" s="31" t="n">
        <v>63.01057305394308</v>
      </c>
      <c r="CA27" s="31" t="n">
        <v>1164.588307758861</v>
      </c>
      <c r="CB27" s="31" t="n">
        <v>3600.400339584429</v>
      </c>
      <c r="CC27" s="31" t="n">
        <v>17.06471775723984</v>
      </c>
      <c r="CD27" s="31" t="n">
        <v>1512.755149363001</v>
      </c>
      <c r="CE27" s="31" t="n">
        <v>1034.980828763363</v>
      </c>
      <c r="CF27" s="31" t="n">
        <v>452.0037348602787</v>
      </c>
      <c r="CG27" s="31" t="n">
        <v>2777.205401191113</v>
      </c>
      <c r="CH27" s="31" t="n">
        <v>40043.82626243922</v>
      </c>
      <c r="CI27" s="31" t="n">
        <v>665.8678382910414</v>
      </c>
      <c r="CJ27" s="31" t="n">
        <v>1151.078041688103</v>
      </c>
      <c r="CK27" s="31" t="n">
        <v>773.7739325761271</v>
      </c>
      <c r="CL27" s="31" t="n">
        <v>1456.771360104735</v>
      </c>
      <c r="CM27" s="31" t="n">
        <v>361.0200809743535</v>
      </c>
      <c r="CN27" s="31" t="n">
        <v>1344.362033827965</v>
      </c>
      <c r="CO27" s="31" t="n">
        <v>629.9545229255837</v>
      </c>
      <c r="CP27" s="31" t="n">
        <v>128.0713059546429</v>
      </c>
      <c r="CQ27" s="31" t="n">
        <v>232.6421969739457</v>
      </c>
      <c r="CR27" s="31" t="n">
        <v>6341.654069078144</v>
      </c>
      <c r="CS27" s="31" t="n">
        <v>6818.291067471035</v>
      </c>
      <c r="CT27" s="31" t="n">
        <v>6225.849546818876</v>
      </c>
      <c r="CU27" s="31" t="n">
        <v>7505.455207801562</v>
      </c>
      <c r="CV27" s="31" t="n">
        <v>332218.3825729693</v>
      </c>
      <c r="CW27" s="31" t="n">
        <v>1620.941382433241</v>
      </c>
      <c r="CX27" s="31" t="n">
        <v>9194.538666531291</v>
      </c>
      <c r="CY27" s="31" t="n">
        <v>566895.4228193747</v>
      </c>
      <c r="CZ27" s="31" t="n">
        <v>1066675.015763786</v>
      </c>
      <c r="DA27" s="31" t="n">
        <v>589.7107570599239</v>
      </c>
      <c r="DB27" s="31" t="n">
        <v>51202.89788746557</v>
      </c>
      <c r="DC27" s="31" t="n">
        <v>8905.66655193099</v>
      </c>
      <c r="DD27" s="31" t="n">
        <v>82.63902513091062</v>
      </c>
      <c r="DE27" s="31" t="n">
        <v>0</v>
      </c>
      <c r="DF27" s="31">
        <f>SUM(C27:DE27)</f>
        <v/>
      </c>
      <c r="DG27" s="31" t="n">
        <v>0</v>
      </c>
      <c r="DH27" s="31" t="n">
        <v>0</v>
      </c>
      <c r="DI27" s="31" t="n">
        <v>39819517.95987397</v>
      </c>
      <c r="DJ27" s="31" t="n">
        <v>0</v>
      </c>
      <c r="DK27" s="31">
        <f>SUM(DG27:DJ27)</f>
        <v/>
      </c>
      <c r="DL27" s="31">
        <f>DF27+DK27</f>
        <v/>
      </c>
    </row>
    <row r="28">
      <c r="A28" s="28" t="inlineStr">
        <is>
          <t>1514</t>
        </is>
      </c>
      <c r="B28" s="28" t="inlineStr">
        <is>
          <t>Elaboración de aceites y grasas de origen vegetal</t>
        </is>
      </c>
      <c r="C28" s="29" t="n">
        <v>487307.9773279727</v>
      </c>
      <c r="D28" s="29" t="n">
        <v>55733.69519283052</v>
      </c>
      <c r="E28" s="29" t="n">
        <v>0</v>
      </c>
      <c r="F28" s="29" t="n">
        <v>0</v>
      </c>
      <c r="G28" s="29" t="n">
        <v>0</v>
      </c>
      <c r="H28" s="29" t="n">
        <v>13245.31297994064</v>
      </c>
      <c r="I28" s="29" t="n">
        <v>8.983852299266585</v>
      </c>
      <c r="J28" s="29" t="n">
        <v>2011.682000300351</v>
      </c>
      <c r="K28" s="29" t="n">
        <v>8783.215995705095</v>
      </c>
      <c r="L28" s="29" t="n">
        <v>82845.33051379383</v>
      </c>
      <c r="M28" s="29" t="n">
        <v>14680.69088874527</v>
      </c>
      <c r="N28" s="29" t="n">
        <v>799483.5212567828</v>
      </c>
      <c r="O28" s="29" t="n">
        <v>220887.6704717366</v>
      </c>
      <c r="P28" s="29" t="n">
        <v>415297.5360178953</v>
      </c>
      <c r="Q28" s="29" t="n">
        <v>41842579.99676827</v>
      </c>
      <c r="R28" s="29" t="n">
        <v>214125.6371912976</v>
      </c>
      <c r="S28" s="29" t="n">
        <v>47634.25845799611</v>
      </c>
      <c r="T28" s="29" t="n">
        <v>10651454.56091676</v>
      </c>
      <c r="U28" s="29" t="n">
        <v>8204324.507366363</v>
      </c>
      <c r="V28" s="29" t="n">
        <v>211568.1030823281</v>
      </c>
      <c r="W28" s="29" t="n">
        <v>1332582.402510963</v>
      </c>
      <c r="X28" s="29" t="n">
        <v>760929.7135114563</v>
      </c>
      <c r="Y28" s="29" t="n">
        <v>4848976.988063885</v>
      </c>
      <c r="Z28" s="29" t="n">
        <v>16817.52986497115</v>
      </c>
      <c r="AA28" s="29" t="n">
        <v>63156.88808989762</v>
      </c>
      <c r="AB28" s="29" t="n">
        <v>9908.448532794206</v>
      </c>
      <c r="AC28" s="29" t="n">
        <v>109378.9931824526</v>
      </c>
      <c r="AD28" s="29" t="n">
        <v>26661.59128428837</v>
      </c>
      <c r="AE28" s="29" t="n">
        <v>156474.8262878763</v>
      </c>
      <c r="AF28" s="29" t="n">
        <v>167164.9404352873</v>
      </c>
      <c r="AG28" s="29" t="n">
        <v>142958.2620105701</v>
      </c>
      <c r="AH28" s="29" t="n">
        <v>34476.00860998545</v>
      </c>
      <c r="AI28" s="29" t="n">
        <v>50741.96838477181</v>
      </c>
      <c r="AJ28" s="29" t="n">
        <v>189464.3036009855</v>
      </c>
      <c r="AK28" s="29" t="n">
        <v>145522.1413286169</v>
      </c>
      <c r="AL28" s="29" t="n">
        <v>102005.3048242232</v>
      </c>
      <c r="AM28" s="29" t="n">
        <v>314208.8204370573</v>
      </c>
      <c r="AN28" s="29" t="n">
        <v>115826.0693184518</v>
      </c>
      <c r="AO28" s="29" t="n">
        <v>22308.76790322134</v>
      </c>
      <c r="AP28" s="29" t="n">
        <v>197793.6090400818</v>
      </c>
      <c r="AQ28" s="29" t="n">
        <v>6275852.093659052</v>
      </c>
      <c r="AR28" s="29" t="n">
        <v>52778.08113802048</v>
      </c>
      <c r="AS28" s="29" t="n">
        <v>86606.90960272765</v>
      </c>
      <c r="AT28" s="29" t="n">
        <v>5769.497796471091</v>
      </c>
      <c r="AU28" s="29" t="n">
        <v>42031.36702118708</v>
      </c>
      <c r="AV28" s="29" t="n">
        <v>282539.5815504669</v>
      </c>
      <c r="AW28" s="29" t="n">
        <v>70584.86769131762</v>
      </c>
      <c r="AX28" s="29" t="n">
        <v>302553.7163037157</v>
      </c>
      <c r="AY28" s="29" t="n">
        <v>45655.84712765267</v>
      </c>
      <c r="AZ28" s="29" t="n">
        <v>215967.3623307767</v>
      </c>
      <c r="BA28" s="29" t="n">
        <v>74273.49731737041</v>
      </c>
      <c r="BB28" s="29" t="n">
        <v>226943.9933368466</v>
      </c>
      <c r="BC28" s="29" t="n">
        <v>52050.4826371696</v>
      </c>
      <c r="BD28" s="29" t="n">
        <v>3382.527786853206</v>
      </c>
      <c r="BE28" s="29" t="n">
        <v>54234.3748569937</v>
      </c>
      <c r="BF28" s="29" t="n">
        <v>14411.88737055537</v>
      </c>
      <c r="BG28" s="29" t="n">
        <v>18752.79798257604</v>
      </c>
      <c r="BH28" s="29" t="n">
        <v>458973.9515597188</v>
      </c>
      <c r="BI28" s="29" t="n">
        <v>4707.856881974537</v>
      </c>
      <c r="BJ28" s="29" t="n">
        <v>22968.56895356146</v>
      </c>
      <c r="BK28" s="29" t="n">
        <v>92363.26823771995</v>
      </c>
      <c r="BL28" s="29" t="n">
        <v>96591.14639158077</v>
      </c>
      <c r="BM28" s="29" t="n">
        <v>28905.28996645649</v>
      </c>
      <c r="BN28" s="29" t="n">
        <v>49154.04743621063</v>
      </c>
      <c r="BO28" s="29" t="n">
        <v>84006.73971962127</v>
      </c>
      <c r="BP28" s="29" t="n">
        <v>121658.4712275937</v>
      </c>
      <c r="BQ28" s="29" t="n">
        <v>32973.76792560299</v>
      </c>
      <c r="BR28" s="29" t="n">
        <v>7611.142626947058</v>
      </c>
      <c r="BS28" s="29" t="n">
        <v>1199.071181220482</v>
      </c>
      <c r="BT28" s="29" t="n">
        <v>18860.30834676716</v>
      </c>
      <c r="BU28" s="29" t="n">
        <v>138769.7118548677</v>
      </c>
      <c r="BV28" s="29" t="n">
        <v>399337.1058719493</v>
      </c>
      <c r="BW28" s="29" t="n">
        <v>44.26249308682024</v>
      </c>
      <c r="BX28" s="29" t="n">
        <v>49832.41423195024</v>
      </c>
      <c r="BY28" s="29" t="n">
        <v>5642552.566145616</v>
      </c>
      <c r="BZ28" s="29" t="n">
        <v>1085.185689317891</v>
      </c>
      <c r="CA28" s="29" t="n">
        <v>14415.70548386392</v>
      </c>
      <c r="CB28" s="29" t="n">
        <v>35226.08756636534</v>
      </c>
      <c r="CC28" s="29" t="n">
        <v>190.7009257858428</v>
      </c>
      <c r="CD28" s="29" t="n">
        <v>1243.146280544352</v>
      </c>
      <c r="CE28" s="29" t="n">
        <v>8767.976640927463</v>
      </c>
      <c r="CF28" s="29" t="n">
        <v>7377.86616376098</v>
      </c>
      <c r="CG28" s="29" t="n">
        <v>104872.4439295146</v>
      </c>
      <c r="CH28" s="29" t="n">
        <v>775858.1443613325</v>
      </c>
      <c r="CI28" s="29" t="n">
        <v>12978.91872826154</v>
      </c>
      <c r="CJ28" s="29" t="n">
        <v>126883.7095200469</v>
      </c>
      <c r="CK28" s="29" t="n">
        <v>16055.23784692981</v>
      </c>
      <c r="CL28" s="29" t="n">
        <v>77749.61837307031</v>
      </c>
      <c r="CM28" s="29" t="n">
        <v>22990.32475546415</v>
      </c>
      <c r="CN28" s="29" t="n">
        <v>15455.21231939522</v>
      </c>
      <c r="CO28" s="29" t="n">
        <v>6941.948860376868</v>
      </c>
      <c r="CP28" s="29" t="n">
        <v>16270.83753604155</v>
      </c>
      <c r="CQ28" s="29" t="n">
        <v>8038.964895470086</v>
      </c>
      <c r="CR28" s="29" t="n">
        <v>377917.9187528004</v>
      </c>
      <c r="CS28" s="29" t="n">
        <v>8862.047359327655</v>
      </c>
      <c r="CT28" s="29" t="n">
        <v>8092.023791589459</v>
      </c>
      <c r="CU28" s="29" t="n">
        <v>312731.8342912442</v>
      </c>
      <c r="CV28" s="29" t="n">
        <v>432989.8163780909</v>
      </c>
      <c r="CW28" s="29" t="n">
        <v>47532.94679461909</v>
      </c>
      <c r="CX28" s="29" t="n">
        <v>20128.09793216461</v>
      </c>
      <c r="CY28" s="29" t="n">
        <v>633946.0860848192</v>
      </c>
      <c r="CZ28" s="29" t="n">
        <v>1566838.516719703</v>
      </c>
      <c r="DA28" s="29" t="n">
        <v>18500.941701423</v>
      </c>
      <c r="DB28" s="29" t="n">
        <v>88053.86767939727</v>
      </c>
      <c r="DC28" s="29" t="n">
        <v>202960.1334651954</v>
      </c>
      <c r="DD28" s="29" t="n">
        <v>1350.142555870174</v>
      </c>
      <c r="DE28" s="29" t="n">
        <v>0</v>
      </c>
      <c r="DF28" s="29">
        <f>SUM(C28:DE28)</f>
        <v/>
      </c>
      <c r="DG28" s="29" t="n">
        <v>0</v>
      </c>
      <c r="DH28" s="29" t="n">
        <v>0</v>
      </c>
      <c r="DI28" s="29" t="n">
        <v>528677814.0745137</v>
      </c>
      <c r="DJ28" s="29" t="n">
        <v>0</v>
      </c>
      <c r="DK28" s="29">
        <f>SUM(DG28:DJ28)</f>
        <v/>
      </c>
      <c r="DL28" s="29">
        <f>DF28+DK28</f>
        <v/>
      </c>
    </row>
    <row r="29">
      <c r="A29" s="30" t="inlineStr">
        <is>
          <t>1520</t>
        </is>
      </c>
      <c r="B29" s="30" t="inlineStr">
        <is>
          <t>Elaboración de productos lácteos</t>
        </is>
      </c>
      <c r="C29" s="31" t="n">
        <v>40751.23024039244</v>
      </c>
      <c r="D29" s="31" t="n">
        <v>5345.464912736035</v>
      </c>
      <c r="E29" s="31" t="n">
        <v>0</v>
      </c>
      <c r="F29" s="31" t="n">
        <v>0</v>
      </c>
      <c r="G29" s="31" t="n">
        <v>0</v>
      </c>
      <c r="H29" s="31" t="n">
        <v>54225.35220400442</v>
      </c>
      <c r="I29" s="31" t="n">
        <v>7.46787710786569</v>
      </c>
      <c r="J29" s="31" t="n">
        <v>5985.32666940379</v>
      </c>
      <c r="K29" s="31" t="n">
        <v>17010.0067369668</v>
      </c>
      <c r="L29" s="31" t="n">
        <v>1388.305013586478</v>
      </c>
      <c r="M29" s="31" t="n">
        <v>625.8904975535288</v>
      </c>
      <c r="N29" s="31" t="n">
        <v>62441.92643299099</v>
      </c>
      <c r="O29" s="31" t="n">
        <v>22418.92838992367</v>
      </c>
      <c r="P29" s="31" t="n">
        <v>8081.500813035545</v>
      </c>
      <c r="Q29" s="31" t="n">
        <v>251405.0380978038</v>
      </c>
      <c r="R29" s="31" t="n">
        <v>9588633.134370722</v>
      </c>
      <c r="S29" s="31" t="n">
        <v>80762.24701404986</v>
      </c>
      <c r="T29" s="31" t="n">
        <v>935836.6826581922</v>
      </c>
      <c r="U29" s="31" t="n">
        <v>1480138.994740391</v>
      </c>
      <c r="V29" s="31" t="n">
        <v>59014.79488199641</v>
      </c>
      <c r="W29" s="31" t="n">
        <v>2739090.292060526</v>
      </c>
      <c r="X29" s="31" t="n">
        <v>644882.9905127635</v>
      </c>
      <c r="Y29" s="31" t="n">
        <v>713122.8818271623</v>
      </c>
      <c r="Z29" s="31" t="n">
        <v>8459.176812961228</v>
      </c>
      <c r="AA29" s="31" t="n">
        <v>23065.48293140269</v>
      </c>
      <c r="AB29" s="31" t="n">
        <v>4083.451000718233</v>
      </c>
      <c r="AC29" s="31" t="n">
        <v>1110102.851462306</v>
      </c>
      <c r="AD29" s="31" t="n">
        <v>30709.16702811427</v>
      </c>
      <c r="AE29" s="31" t="n">
        <v>39603.8656308532</v>
      </c>
      <c r="AF29" s="31" t="n">
        <v>47330.58997073157</v>
      </c>
      <c r="AG29" s="31" t="n">
        <v>6178.182485807569</v>
      </c>
      <c r="AH29" s="31" t="n">
        <v>8829.656202065125</v>
      </c>
      <c r="AI29" s="31" t="n">
        <v>5354.139766026299</v>
      </c>
      <c r="AJ29" s="31" t="n">
        <v>72486.50765780963</v>
      </c>
      <c r="AK29" s="31" t="n">
        <v>60890.04652905902</v>
      </c>
      <c r="AL29" s="31" t="n">
        <v>26303.38679362128</v>
      </c>
      <c r="AM29" s="31" t="n">
        <v>26276.63468149642</v>
      </c>
      <c r="AN29" s="31" t="n">
        <v>19523.10987198578</v>
      </c>
      <c r="AO29" s="31" t="n">
        <v>14561.29333618277</v>
      </c>
      <c r="AP29" s="31" t="n">
        <v>17610.0499759044</v>
      </c>
      <c r="AQ29" s="31" t="n">
        <v>662953.5170542758</v>
      </c>
      <c r="AR29" s="31" t="n">
        <v>16530.25002886048</v>
      </c>
      <c r="AS29" s="31" t="n">
        <v>26251.39242068987</v>
      </c>
      <c r="AT29" s="31" t="n">
        <v>2536.392415580648</v>
      </c>
      <c r="AU29" s="31" t="n">
        <v>9027.256016233472</v>
      </c>
      <c r="AV29" s="31" t="n">
        <v>94458.36522830924</v>
      </c>
      <c r="AW29" s="31" t="n">
        <v>33487.80457029006</v>
      </c>
      <c r="AX29" s="31" t="n">
        <v>104577.3208061356</v>
      </c>
      <c r="AY29" s="31" t="n">
        <v>13416.48098352144</v>
      </c>
      <c r="AZ29" s="31" t="n">
        <v>57066.85086890815</v>
      </c>
      <c r="BA29" s="31" t="n">
        <v>19855.42651968954</v>
      </c>
      <c r="BB29" s="31" t="n">
        <v>60592.2392030998</v>
      </c>
      <c r="BC29" s="31" t="n">
        <v>15466.90250348606</v>
      </c>
      <c r="BD29" s="31" t="n">
        <v>992.0518990645514</v>
      </c>
      <c r="BE29" s="31" t="n">
        <v>15935.24724616886</v>
      </c>
      <c r="BF29" s="31" t="n">
        <v>7863.811337761596</v>
      </c>
      <c r="BG29" s="31" t="n">
        <v>5325.601845161497</v>
      </c>
      <c r="BH29" s="31" t="n">
        <v>128820.955468118</v>
      </c>
      <c r="BI29" s="31" t="n">
        <v>1291.008553109275</v>
      </c>
      <c r="BJ29" s="31" t="n">
        <v>7218.507347520865</v>
      </c>
      <c r="BK29" s="31" t="n">
        <v>45662.6084439668</v>
      </c>
      <c r="BL29" s="31" t="n">
        <v>25484.17697132736</v>
      </c>
      <c r="BM29" s="31" t="n">
        <v>9188.85685367079</v>
      </c>
      <c r="BN29" s="31" t="n">
        <v>11208.4236382549</v>
      </c>
      <c r="BO29" s="31" t="n">
        <v>42211.72511010067</v>
      </c>
      <c r="BP29" s="31" t="n">
        <v>29687.8346362634</v>
      </c>
      <c r="BQ29" s="31" t="n">
        <v>9334.011090631522</v>
      </c>
      <c r="BR29" s="31" t="n">
        <v>2200.499019681156</v>
      </c>
      <c r="BS29" s="31" t="n">
        <v>1817.071470789036</v>
      </c>
      <c r="BT29" s="31" t="n">
        <v>31277.15904259425</v>
      </c>
      <c r="BU29" s="31" t="n">
        <v>76489.50285655976</v>
      </c>
      <c r="BV29" s="31" t="n">
        <v>348129.2043251956</v>
      </c>
      <c r="BW29" s="31" t="n">
        <v>4.038118937595108</v>
      </c>
      <c r="BX29" s="31" t="n">
        <v>287189.3596710241</v>
      </c>
      <c r="BY29" s="31" t="n">
        <v>35022606.91661603</v>
      </c>
      <c r="BZ29" s="31" t="n">
        <v>1015.812498190612</v>
      </c>
      <c r="CA29" s="31" t="n">
        <v>14183.04689185063</v>
      </c>
      <c r="CB29" s="31" t="n">
        <v>12423.11387315957</v>
      </c>
      <c r="CC29" s="31" t="n">
        <v>104.8368532355225</v>
      </c>
      <c r="CD29" s="31" t="n">
        <v>3590.992919309135</v>
      </c>
      <c r="CE29" s="31" t="n">
        <v>19874.95781640464</v>
      </c>
      <c r="CF29" s="31" t="n">
        <v>2889.406465333463</v>
      </c>
      <c r="CG29" s="31" t="n">
        <v>158943.7390083549</v>
      </c>
      <c r="CH29" s="31" t="n">
        <v>200025.0459138676</v>
      </c>
      <c r="CI29" s="31" t="n">
        <v>53608.38098629458</v>
      </c>
      <c r="CJ29" s="31" t="n">
        <v>47923.03260879754</v>
      </c>
      <c r="CK29" s="31" t="n">
        <v>10299.7732545161</v>
      </c>
      <c r="CL29" s="31" t="n">
        <v>52760.19958053494</v>
      </c>
      <c r="CM29" s="31" t="n">
        <v>10341.77006124676</v>
      </c>
      <c r="CN29" s="31" t="n">
        <v>206.3314299186277</v>
      </c>
      <c r="CO29" s="31" t="n">
        <v>92.67696911455927</v>
      </c>
      <c r="CP29" s="31" t="n">
        <v>4691.801650472974</v>
      </c>
      <c r="CQ29" s="31" t="n">
        <v>4386.706584599401</v>
      </c>
      <c r="CR29" s="31" t="n">
        <v>272788.9903258311</v>
      </c>
      <c r="CS29" s="31" t="n">
        <v>55704.52938382229</v>
      </c>
      <c r="CT29" s="31" t="n">
        <v>50864.36111162712</v>
      </c>
      <c r="CU29" s="31" t="n">
        <v>174722.7953166146</v>
      </c>
      <c r="CV29" s="31" t="n">
        <v>2723116.744937957</v>
      </c>
      <c r="CW29" s="31" t="n">
        <v>567231.4806954334</v>
      </c>
      <c r="CX29" s="31" t="n">
        <v>1124873.832593269</v>
      </c>
      <c r="CY29" s="31" t="n">
        <v>1538844.804933112</v>
      </c>
      <c r="CZ29" s="31" t="n">
        <v>3627805.722982578</v>
      </c>
      <c r="DA29" s="31" t="n">
        <v>7879.557203919006</v>
      </c>
      <c r="DB29" s="31" t="n">
        <v>1193880.364660377</v>
      </c>
      <c r="DC29" s="31" t="n">
        <v>192346.6564388621</v>
      </c>
      <c r="DD29" s="31" t="n">
        <v>2718.478160637342</v>
      </c>
      <c r="DE29" s="31" t="n">
        <v>0</v>
      </c>
      <c r="DF29" s="31">
        <f>SUM(C29:DE29)</f>
        <v/>
      </c>
      <c r="DG29" s="31" t="n">
        <v>0</v>
      </c>
      <c r="DH29" s="31" t="n">
        <v>0</v>
      </c>
      <c r="DI29" s="31" t="n">
        <v>166634166.1142854</v>
      </c>
      <c r="DJ29" s="31" t="n">
        <v>0</v>
      </c>
      <c r="DK29" s="31">
        <f>SUM(DG29:DJ29)</f>
        <v/>
      </c>
      <c r="DL29" s="31">
        <f>DF29+DK29</f>
        <v/>
      </c>
    </row>
    <row r="30">
      <c r="A30" s="28" t="inlineStr">
        <is>
          <t>1531/2</t>
        </is>
      </c>
      <c r="B30" s="28" t="inlineStr">
        <is>
          <t>Elaboración de productos de molinería. Elaboración de almidones y productos derivados del almidón</t>
        </is>
      </c>
      <c r="C30" s="29" t="n">
        <v>95601.49940858583</v>
      </c>
      <c r="D30" s="29" t="n">
        <v>167879.9491607777</v>
      </c>
      <c r="E30" s="29" t="n">
        <v>0</v>
      </c>
      <c r="F30" s="29" t="n">
        <v>0</v>
      </c>
      <c r="G30" s="29" t="n">
        <v>0</v>
      </c>
      <c r="H30" s="29" t="n">
        <v>50306.08114368279</v>
      </c>
      <c r="I30" s="29" t="n">
        <v>2.936465613125167</v>
      </c>
      <c r="J30" s="29" t="n">
        <v>746.7012407439026</v>
      </c>
      <c r="K30" s="29" t="n">
        <v>4265.906930119781</v>
      </c>
      <c r="L30" s="29" t="n">
        <v>4476.67450831634</v>
      </c>
      <c r="M30" s="29" t="n">
        <v>893.439951101903</v>
      </c>
      <c r="N30" s="29" t="n">
        <v>238539.2850878463</v>
      </c>
      <c r="O30" s="29" t="n">
        <v>30114.00737578409</v>
      </c>
      <c r="P30" s="29" t="n">
        <v>838396.1732464929</v>
      </c>
      <c r="Q30" s="29" t="n">
        <v>1121023.606997608</v>
      </c>
      <c r="R30" s="29" t="n">
        <v>856145.2636999557</v>
      </c>
      <c r="S30" s="29" t="n">
        <v>1188229.397668113</v>
      </c>
      <c r="T30" s="29" t="n">
        <v>1330167.866202419</v>
      </c>
      <c r="U30" s="29" t="n">
        <v>34175135.14375885</v>
      </c>
      <c r="V30" s="29" t="n">
        <v>287251.7865786231</v>
      </c>
      <c r="W30" s="29" t="n">
        <v>2450039.9680263</v>
      </c>
      <c r="X30" s="29" t="n">
        <v>6719185.937565593</v>
      </c>
      <c r="Y30" s="29" t="n">
        <v>1846531.290313252</v>
      </c>
      <c r="Z30" s="29" t="n">
        <v>294613.4671329032</v>
      </c>
      <c r="AA30" s="29" t="n">
        <v>118624.9970960836</v>
      </c>
      <c r="AB30" s="29" t="n">
        <v>1874500.827774284</v>
      </c>
      <c r="AC30" s="29" t="n">
        <v>4461425.006188933</v>
      </c>
      <c r="AD30" s="29" t="n">
        <v>5717.975904173962</v>
      </c>
      <c r="AE30" s="29" t="n">
        <v>94177.72365077671</v>
      </c>
      <c r="AF30" s="29" t="n">
        <v>52692.04794494624</v>
      </c>
      <c r="AG30" s="29" t="n">
        <v>9092.944230268109</v>
      </c>
      <c r="AH30" s="29" t="n">
        <v>15098.98688887234</v>
      </c>
      <c r="AI30" s="29" t="n">
        <v>9663.000817357381</v>
      </c>
      <c r="AJ30" s="29" t="n">
        <v>817831.6167986598</v>
      </c>
      <c r="AK30" s="29" t="n">
        <v>46888.68686901176</v>
      </c>
      <c r="AL30" s="29" t="n">
        <v>189309.438811052</v>
      </c>
      <c r="AM30" s="29" t="n">
        <v>47771.3271111041</v>
      </c>
      <c r="AN30" s="29" t="n">
        <v>270777.4114957126</v>
      </c>
      <c r="AO30" s="29" t="n">
        <v>16378.51831420807</v>
      </c>
      <c r="AP30" s="29" t="n">
        <v>18149.5433601295</v>
      </c>
      <c r="AQ30" s="29" t="n">
        <v>750362.8931497915</v>
      </c>
      <c r="AR30" s="29" t="n">
        <v>49762.39826883359</v>
      </c>
      <c r="AS30" s="29" t="n">
        <v>47949.48362479309</v>
      </c>
      <c r="AT30" s="29" t="n">
        <v>6071.649708817989</v>
      </c>
      <c r="AU30" s="29" t="n">
        <v>173629.85239549</v>
      </c>
      <c r="AV30" s="29" t="n">
        <v>645890.8085323018</v>
      </c>
      <c r="AW30" s="29" t="n">
        <v>396743.9391328673</v>
      </c>
      <c r="AX30" s="29" t="n">
        <v>617331.5782785077</v>
      </c>
      <c r="AY30" s="29" t="n">
        <v>17989.72049542488</v>
      </c>
      <c r="AZ30" s="29" t="n">
        <v>162017.0528625265</v>
      </c>
      <c r="BA30" s="29" t="n">
        <v>86005.328585589</v>
      </c>
      <c r="BB30" s="29" t="n">
        <v>75115.6116749693</v>
      </c>
      <c r="BC30" s="29" t="n">
        <v>16807.60786894171</v>
      </c>
      <c r="BD30" s="29" t="n">
        <v>1152.620118414956</v>
      </c>
      <c r="BE30" s="29" t="n">
        <v>17507.19454839497</v>
      </c>
      <c r="BF30" s="29" t="n">
        <v>66841.06400960223</v>
      </c>
      <c r="BG30" s="29" t="n">
        <v>9461.386761426886</v>
      </c>
      <c r="BH30" s="29" t="n">
        <v>155572.7275042895</v>
      </c>
      <c r="BI30" s="29" t="n">
        <v>99783.55502312744</v>
      </c>
      <c r="BJ30" s="29" t="n">
        <v>7660.758828105126</v>
      </c>
      <c r="BK30" s="29" t="n">
        <v>70530.10856295002</v>
      </c>
      <c r="BL30" s="29" t="n">
        <v>36695.7571959313</v>
      </c>
      <c r="BM30" s="29" t="n">
        <v>36330.9071940377</v>
      </c>
      <c r="BN30" s="29" t="n">
        <v>17983.016454105</v>
      </c>
      <c r="BO30" s="29" t="n">
        <v>471296.8455933179</v>
      </c>
      <c r="BP30" s="29" t="n">
        <v>61771.82968172536</v>
      </c>
      <c r="BQ30" s="29" t="n">
        <v>18077.89542669815</v>
      </c>
      <c r="BR30" s="29" t="n">
        <v>3607.136222706703</v>
      </c>
      <c r="BS30" s="29" t="n">
        <v>1324.886273868675</v>
      </c>
      <c r="BT30" s="29" t="n">
        <v>12204.72633108361</v>
      </c>
      <c r="BU30" s="29" t="n">
        <v>62700.92881001691</v>
      </c>
      <c r="BV30" s="29" t="n">
        <v>697943.549839412</v>
      </c>
      <c r="BW30" s="29" t="n">
        <v>406.6176510022131</v>
      </c>
      <c r="BX30" s="29" t="n">
        <v>42706.59708838475</v>
      </c>
      <c r="BY30" s="29" t="n">
        <v>6877833.35406037</v>
      </c>
      <c r="BZ30" s="29" t="n">
        <v>480.5337934204077</v>
      </c>
      <c r="CA30" s="29" t="n">
        <v>6166.157463974027</v>
      </c>
      <c r="CB30" s="29" t="n">
        <v>11192.39100307036</v>
      </c>
      <c r="CC30" s="29" t="n">
        <v>104.553993443997</v>
      </c>
      <c r="CD30" s="29" t="n">
        <v>1514.994341906979</v>
      </c>
      <c r="CE30" s="29" t="n">
        <v>5004.031817338194</v>
      </c>
      <c r="CF30" s="29" t="n">
        <v>2972.963852413273</v>
      </c>
      <c r="CG30" s="29" t="n">
        <v>41586.33731591395</v>
      </c>
      <c r="CH30" s="29" t="n">
        <v>181688.2344010773</v>
      </c>
      <c r="CI30" s="29" t="n">
        <v>3277.781921004959</v>
      </c>
      <c r="CJ30" s="29" t="n">
        <v>71834.63650906582</v>
      </c>
      <c r="CK30" s="29" t="n">
        <v>9228.112787522623</v>
      </c>
      <c r="CL30" s="29" t="n">
        <v>43967.48694664914</v>
      </c>
      <c r="CM30" s="29" t="n">
        <v>12890.94392462645</v>
      </c>
      <c r="CN30" s="29" t="n">
        <v>551.941537471596</v>
      </c>
      <c r="CO30" s="29" t="n">
        <v>247.9131213381826</v>
      </c>
      <c r="CP30" s="29" t="n">
        <v>9053.061753765047</v>
      </c>
      <c r="CQ30" s="29" t="n">
        <v>3746.646988334733</v>
      </c>
      <c r="CR30" s="29" t="n">
        <v>176341.6649836202</v>
      </c>
      <c r="CS30" s="29" t="n">
        <v>18723.51659551863</v>
      </c>
      <c r="CT30" s="29" t="n">
        <v>17096.62966240925</v>
      </c>
      <c r="CU30" s="29" t="n">
        <v>145294.6976990047</v>
      </c>
      <c r="CV30" s="29" t="n">
        <v>912113.4712490526</v>
      </c>
      <c r="CW30" s="29" t="n">
        <v>1230310.999050453</v>
      </c>
      <c r="CX30" s="29" t="n">
        <v>6764.576524946746</v>
      </c>
      <c r="CY30" s="29" t="n">
        <v>293885.6685915875</v>
      </c>
      <c r="CZ30" s="29" t="n">
        <v>2279168.14825077</v>
      </c>
      <c r="DA30" s="29" t="n">
        <v>10231.5083282543</v>
      </c>
      <c r="DB30" s="29" t="n">
        <v>543625.6155475972</v>
      </c>
      <c r="DC30" s="29" t="n">
        <v>58907.47445447257</v>
      </c>
      <c r="DD30" s="29" t="n">
        <v>678.3130308147321</v>
      </c>
      <c r="DE30" s="29" t="n">
        <v>0</v>
      </c>
      <c r="DF30" s="29">
        <f>SUM(C30:DE30)</f>
        <v/>
      </c>
      <c r="DG30" s="29" t="n">
        <v>0</v>
      </c>
      <c r="DH30" s="29" t="n">
        <v>0</v>
      </c>
      <c r="DI30" s="29" t="n">
        <v>67397986.65458839</v>
      </c>
      <c r="DJ30" s="29" t="n">
        <v>0</v>
      </c>
      <c r="DK30" s="29">
        <f>SUM(DG30:DJ30)</f>
        <v/>
      </c>
      <c r="DL30" s="29">
        <f>DF30+DK30</f>
        <v/>
      </c>
    </row>
    <row r="31">
      <c r="A31" s="30" t="inlineStr">
        <is>
          <t>15330</t>
        </is>
      </c>
      <c r="B31" s="30" t="inlineStr">
        <is>
          <t>15330 - Elaboración de alimentos preparados para animales</t>
        </is>
      </c>
      <c r="C31" s="31" t="n">
        <v>64790.08578037383</v>
      </c>
      <c r="D31" s="31" t="n">
        <v>84307101.87468876</v>
      </c>
      <c r="E31" s="31" t="n">
        <v>0</v>
      </c>
      <c r="F31" s="31" t="n">
        <v>0</v>
      </c>
      <c r="G31" s="31" t="n">
        <v>0</v>
      </c>
      <c r="H31" s="31" t="n">
        <v>2576.240884215666</v>
      </c>
      <c r="I31" s="31" t="n">
        <v>0.8680457311721383</v>
      </c>
      <c r="J31" s="31" t="n">
        <v>269.8636189654148</v>
      </c>
      <c r="K31" s="31" t="n">
        <v>1567.54764821853</v>
      </c>
      <c r="L31" s="31" t="n">
        <v>49.90620102880328</v>
      </c>
      <c r="M31" s="31" t="n">
        <v>52.38744439011906</v>
      </c>
      <c r="N31" s="31" t="n">
        <v>3945591.405967796</v>
      </c>
      <c r="O31" s="31" t="n">
        <v>13126.31642193379</v>
      </c>
      <c r="P31" s="31" t="n">
        <v>3429.644142851364</v>
      </c>
      <c r="Q31" s="31" t="n">
        <v>159327.067311578</v>
      </c>
      <c r="R31" s="31" t="n">
        <v>12466.88014078879</v>
      </c>
      <c r="S31" s="31" t="n">
        <v>7167.957224458742</v>
      </c>
      <c r="T31" s="31" t="n">
        <v>6829872.101616045</v>
      </c>
      <c r="U31" s="31" t="n">
        <v>67727.05559358548</v>
      </c>
      <c r="V31" s="31" t="n">
        <v>30016.87200269777</v>
      </c>
      <c r="W31" s="31" t="n">
        <v>4844.903742594183</v>
      </c>
      <c r="X31" s="31" t="n">
        <v>11517.14197284589</v>
      </c>
      <c r="Y31" s="31" t="n">
        <v>20187.23366810761</v>
      </c>
      <c r="Z31" s="31" t="n">
        <v>1897.684855391639</v>
      </c>
      <c r="AA31" s="31" t="n">
        <v>6853.190996478826</v>
      </c>
      <c r="AB31" s="31" t="n">
        <v>2951.342366315872</v>
      </c>
      <c r="AC31" s="31" t="n">
        <v>11391.19487606555</v>
      </c>
      <c r="AD31" s="31" t="n">
        <v>1920.879158913413</v>
      </c>
      <c r="AE31" s="31" t="n">
        <v>20416.48314931022</v>
      </c>
      <c r="AF31" s="31" t="n">
        <v>23330.32524091828</v>
      </c>
      <c r="AG31" s="31" t="n">
        <v>3404.84511407533</v>
      </c>
      <c r="AH31" s="31" t="n">
        <v>3832.778175978449</v>
      </c>
      <c r="AI31" s="31" t="n">
        <v>3211.598467364961</v>
      </c>
      <c r="AJ31" s="31" t="n">
        <v>22034.16471983369</v>
      </c>
      <c r="AK31" s="31" t="n">
        <v>20520.06504505471</v>
      </c>
      <c r="AL31" s="31" t="n">
        <v>13397.55758779698</v>
      </c>
      <c r="AM31" s="31" t="n">
        <v>26230.57103522938</v>
      </c>
      <c r="AN31" s="31" t="n">
        <v>8229.672164840216</v>
      </c>
      <c r="AO31" s="31" t="n">
        <v>2044.538241164811</v>
      </c>
      <c r="AP31" s="31" t="n">
        <v>5605.311422542173</v>
      </c>
      <c r="AQ31" s="31" t="n">
        <v>229493.3285994682</v>
      </c>
      <c r="AR31" s="31" t="n">
        <v>5436.470029308003</v>
      </c>
      <c r="AS31" s="31" t="n">
        <v>11631.45195785047</v>
      </c>
      <c r="AT31" s="31" t="n">
        <v>907.2211067544602</v>
      </c>
      <c r="AU31" s="31" t="n">
        <v>5639.487499552452</v>
      </c>
      <c r="AV31" s="31" t="n">
        <v>49800.43720650685</v>
      </c>
      <c r="AW31" s="31" t="n">
        <v>17418.82006059991</v>
      </c>
      <c r="AX31" s="31" t="n">
        <v>52463.49217011209</v>
      </c>
      <c r="AY31" s="31" t="n">
        <v>6716.852328262699</v>
      </c>
      <c r="AZ31" s="31" t="n">
        <v>54583.65423952236</v>
      </c>
      <c r="BA31" s="31" t="n">
        <v>10238.19358155419</v>
      </c>
      <c r="BB31" s="31" t="n">
        <v>32337.51162042029</v>
      </c>
      <c r="BC31" s="31" t="n">
        <v>7369.901660996068</v>
      </c>
      <c r="BD31" s="31" t="n">
        <v>504.4202710124049</v>
      </c>
      <c r="BE31" s="31" t="n">
        <v>7647.020712502788</v>
      </c>
      <c r="BF31" s="31" t="n">
        <v>3531.886427088972</v>
      </c>
      <c r="BG31" s="31" t="n">
        <v>2753.663561126672</v>
      </c>
      <c r="BH31" s="31" t="n">
        <v>66959.73077715452</v>
      </c>
      <c r="BI31" s="31" t="n">
        <v>785.9386102003015</v>
      </c>
      <c r="BJ31" s="31" t="n">
        <v>3344.335865583985</v>
      </c>
      <c r="BK31" s="31" t="n">
        <v>11811.19946480382</v>
      </c>
      <c r="BL31" s="31" t="n">
        <v>12028.70955223734</v>
      </c>
      <c r="BM31" s="31" t="n">
        <v>4250.560301996349</v>
      </c>
      <c r="BN31" s="31" t="n">
        <v>5426.347768925621</v>
      </c>
      <c r="BO31" s="31" t="n">
        <v>21416.1220716313</v>
      </c>
      <c r="BP31" s="31" t="n">
        <v>23049.31303183144</v>
      </c>
      <c r="BQ31" s="31" t="n">
        <v>6851.133129143777</v>
      </c>
      <c r="BR31" s="31" t="n">
        <v>1358.67083526857</v>
      </c>
      <c r="BS31" s="31" t="n">
        <v>238.1915690332475</v>
      </c>
      <c r="BT31" s="31" t="n">
        <v>3798.328335037114</v>
      </c>
      <c r="BU31" s="31" t="n">
        <v>25132.05215908534</v>
      </c>
      <c r="BV31" s="31" t="n">
        <v>80845.1531523579</v>
      </c>
      <c r="BW31" s="31" t="n">
        <v>3.105299764159209</v>
      </c>
      <c r="BX31" s="31" t="n">
        <v>2973.327384446757</v>
      </c>
      <c r="BY31" s="31" t="n">
        <v>118293.3193378017</v>
      </c>
      <c r="BZ31" s="31" t="n">
        <v>191.0298434759666</v>
      </c>
      <c r="CA31" s="31" t="n">
        <v>2486.03802997084</v>
      </c>
      <c r="CB31" s="31" t="n">
        <v>4901.388067200171</v>
      </c>
      <c r="CC31" s="31" t="n">
        <v>38.86274298140346</v>
      </c>
      <c r="CD31" s="31" t="n">
        <v>430.2311758234226</v>
      </c>
      <c r="CE31" s="31" t="n">
        <v>2239.900965776473</v>
      </c>
      <c r="CF31" s="31" t="n">
        <v>1373.174496016983</v>
      </c>
      <c r="CG31" s="31" t="n">
        <v>16978.66454747356</v>
      </c>
      <c r="CH31" s="31" t="n">
        <v>111264.5659332034</v>
      </c>
      <c r="CI31" s="31" t="n">
        <v>1406.994611243927</v>
      </c>
      <c r="CJ31" s="31" t="n">
        <v>27601.27121349817</v>
      </c>
      <c r="CK31" s="31" t="n">
        <v>3527.642286958628</v>
      </c>
      <c r="CL31" s="31" t="n">
        <v>16558.66963949076</v>
      </c>
      <c r="CM31" s="31" t="n">
        <v>4977.152971715072</v>
      </c>
      <c r="CN31" s="31" t="n">
        <v>0</v>
      </c>
      <c r="CO31" s="31" t="n">
        <v>0</v>
      </c>
      <c r="CP31" s="31" t="n">
        <v>3439.268208432277</v>
      </c>
      <c r="CQ31" s="31" t="n">
        <v>1563.749551903162</v>
      </c>
      <c r="CR31" s="31" t="n">
        <v>70403.55551228486</v>
      </c>
      <c r="CS31" s="31" t="n">
        <v>1702.645118650956</v>
      </c>
      <c r="CT31" s="31" t="n">
        <v>1554.702231900789</v>
      </c>
      <c r="CU31" s="31" t="n">
        <v>58841.06784043818</v>
      </c>
      <c r="CV31" s="31" t="n">
        <v>82944.21227557342</v>
      </c>
      <c r="CW31" s="31" t="n">
        <v>14940.52906361589</v>
      </c>
      <c r="CX31" s="31" t="n">
        <v>4861.592301614184</v>
      </c>
      <c r="CY31" s="31" t="n">
        <v>25667.24055831388</v>
      </c>
      <c r="CZ31" s="31" t="n">
        <v>27650.80810188963</v>
      </c>
      <c r="DA31" s="31" t="n">
        <v>3927.767128891227</v>
      </c>
      <c r="DB31" s="31" t="n">
        <v>13664.56791727465</v>
      </c>
      <c r="DC31" s="31" t="n">
        <v>413746.8881664344</v>
      </c>
      <c r="DD31" s="31" t="n">
        <v>275.6409804249562</v>
      </c>
      <c r="DE31" s="31" t="n">
        <v>0</v>
      </c>
      <c r="DF31" s="31">
        <f>SUM(C31:DE31)</f>
        <v/>
      </c>
      <c r="DG31" s="31" t="n">
        <v>0</v>
      </c>
      <c r="DH31" s="31" t="n">
        <v>0</v>
      </c>
      <c r="DI31" s="31" t="n">
        <v>44227302.4221135</v>
      </c>
      <c r="DJ31" s="31" t="n">
        <v>0</v>
      </c>
      <c r="DK31" s="31">
        <f>SUM(DG31:DJ31)</f>
        <v/>
      </c>
      <c r="DL31" s="31">
        <f>DF31+DK31</f>
        <v/>
      </c>
    </row>
    <row r="32">
      <c r="A32" s="28" t="inlineStr">
        <is>
          <t>1541</t>
        </is>
      </c>
      <c r="B32" s="28" t="inlineStr">
        <is>
          <t>Elaboración de productos de panadería</t>
        </is>
      </c>
      <c r="C32" s="29" t="n">
        <v>92241.94890374329</v>
      </c>
      <c r="D32" s="29" t="n">
        <v>10355.43674561982</v>
      </c>
      <c r="E32" s="29" t="n">
        <v>0</v>
      </c>
      <c r="F32" s="29" t="n">
        <v>0</v>
      </c>
      <c r="G32" s="29" t="n">
        <v>0</v>
      </c>
      <c r="H32" s="29" t="n">
        <v>2275.197486647103</v>
      </c>
      <c r="I32" s="29" t="n">
        <v>1.460590673447844</v>
      </c>
      <c r="J32" s="29" t="n">
        <v>661.8390080507592</v>
      </c>
      <c r="K32" s="29" t="n">
        <v>2087.52939908816</v>
      </c>
      <c r="L32" s="29" t="n">
        <v>65.58026160249935</v>
      </c>
      <c r="M32" s="29" t="n">
        <v>83.07448474347673</v>
      </c>
      <c r="N32" s="29" t="n">
        <v>98517.98377806791</v>
      </c>
      <c r="O32" s="29" t="n">
        <v>26253.60854409719</v>
      </c>
      <c r="P32" s="29" t="n">
        <v>4644.303827076964</v>
      </c>
      <c r="Q32" s="29" t="n">
        <v>203702.1590171047</v>
      </c>
      <c r="R32" s="29" t="n">
        <v>28624.60090173597</v>
      </c>
      <c r="S32" s="29" t="n">
        <v>22027.67010430147</v>
      </c>
      <c r="T32" s="29" t="n">
        <v>85722.25701405267</v>
      </c>
      <c r="U32" s="29" t="n">
        <v>439586.0764713711</v>
      </c>
      <c r="V32" s="29" t="n">
        <v>71979.11667846971</v>
      </c>
      <c r="W32" s="29" t="n">
        <v>16237.91044146293</v>
      </c>
      <c r="X32" s="29" t="n">
        <v>180803.8280583212</v>
      </c>
      <c r="Y32" s="29" t="n">
        <v>38970.37951753403</v>
      </c>
      <c r="Z32" s="29" t="n">
        <v>2003.144643014362</v>
      </c>
      <c r="AA32" s="29" t="n">
        <v>12821.03475851255</v>
      </c>
      <c r="AB32" s="29" t="n">
        <v>19317.2888270897</v>
      </c>
      <c r="AC32" s="29" t="n">
        <v>33724.55417345394</v>
      </c>
      <c r="AD32" s="29" t="n">
        <v>3092.6879391747</v>
      </c>
      <c r="AE32" s="29" t="n">
        <v>46602.79549142409</v>
      </c>
      <c r="AF32" s="29" t="n">
        <v>54524.28744245627</v>
      </c>
      <c r="AG32" s="29" t="n">
        <v>6454.790440382128</v>
      </c>
      <c r="AH32" s="29" t="n">
        <v>8661.602588391648</v>
      </c>
      <c r="AI32" s="29" t="n">
        <v>3862.319218907907</v>
      </c>
      <c r="AJ32" s="29" t="n">
        <v>98747.90534086901</v>
      </c>
      <c r="AK32" s="29" t="n">
        <v>46644.90672836647</v>
      </c>
      <c r="AL32" s="29" t="n">
        <v>29590.16021464376</v>
      </c>
      <c r="AM32" s="29" t="n">
        <v>34171.39410221527</v>
      </c>
      <c r="AN32" s="29" t="n">
        <v>17142.98724049056</v>
      </c>
      <c r="AO32" s="29" t="n">
        <v>3513.087132766724</v>
      </c>
      <c r="AP32" s="29" t="n">
        <v>7586.904578888712</v>
      </c>
      <c r="AQ32" s="29" t="n">
        <v>138694.9051840063</v>
      </c>
      <c r="AR32" s="29" t="n">
        <v>9509.754600244067</v>
      </c>
      <c r="AS32" s="29" t="n">
        <v>24958.51343840562</v>
      </c>
      <c r="AT32" s="29" t="n">
        <v>990.9739034359883</v>
      </c>
      <c r="AU32" s="29" t="n">
        <v>9487.819869656851</v>
      </c>
      <c r="AV32" s="29" t="n">
        <v>160462.3808721427</v>
      </c>
      <c r="AW32" s="29" t="n">
        <v>74525.07535417286</v>
      </c>
      <c r="AX32" s="29" t="n">
        <v>181578.3247190762</v>
      </c>
      <c r="AY32" s="29" t="n">
        <v>14745.15503957662</v>
      </c>
      <c r="AZ32" s="29" t="n">
        <v>74664.58530860195</v>
      </c>
      <c r="BA32" s="29" t="n">
        <v>22113.33954597331</v>
      </c>
      <c r="BB32" s="29" t="n">
        <v>74042.18184745184</v>
      </c>
      <c r="BC32" s="29" t="n">
        <v>17063.82576469266</v>
      </c>
      <c r="BD32" s="29" t="n">
        <v>1055.276877255832</v>
      </c>
      <c r="BE32" s="29" t="n">
        <v>17754.17164928025</v>
      </c>
      <c r="BF32" s="29" t="n">
        <v>13861.1054244391</v>
      </c>
      <c r="BG32" s="29" t="n">
        <v>6065.279900819965</v>
      </c>
      <c r="BH32" s="29" t="n">
        <v>151047.1194415348</v>
      </c>
      <c r="BI32" s="29" t="n">
        <v>1210.62316181291</v>
      </c>
      <c r="BJ32" s="29" t="n">
        <v>7008.547794558451</v>
      </c>
      <c r="BK32" s="29" t="n">
        <v>19594.9329696794</v>
      </c>
      <c r="BL32" s="29" t="n">
        <v>26755.9035245325</v>
      </c>
      <c r="BM32" s="29" t="n">
        <v>9224.131990361924</v>
      </c>
      <c r="BN32" s="29" t="n">
        <v>10987.19721643029</v>
      </c>
      <c r="BO32" s="29" t="n">
        <v>97066.14910011503</v>
      </c>
      <c r="BP32" s="29" t="n">
        <v>14921.36972102471</v>
      </c>
      <c r="BQ32" s="29" t="n">
        <v>4448.340676172949</v>
      </c>
      <c r="BR32" s="29" t="n">
        <v>963.7125303098597</v>
      </c>
      <c r="BS32" s="29" t="n">
        <v>211.7378399502195</v>
      </c>
      <c r="BT32" s="29" t="n">
        <v>259818.0005876821</v>
      </c>
      <c r="BU32" s="29" t="n">
        <v>34106.76143636246</v>
      </c>
      <c r="BV32" s="29" t="n">
        <v>122743.8599082968</v>
      </c>
      <c r="BW32" s="29" t="n">
        <v>1.93539408781358</v>
      </c>
      <c r="BX32" s="29" t="n">
        <v>160815.5732857334</v>
      </c>
      <c r="BY32" s="29" t="n">
        <v>20257654.8564627</v>
      </c>
      <c r="BZ32" s="29" t="n">
        <v>221.0024983396497</v>
      </c>
      <c r="CA32" s="29" t="n">
        <v>3241.90772439564</v>
      </c>
      <c r="CB32" s="29" t="n">
        <v>12051.58744322196</v>
      </c>
      <c r="CC32" s="29" t="n">
        <v>31.99708962215331</v>
      </c>
      <c r="CD32" s="29" t="n">
        <v>581.8008099548013</v>
      </c>
      <c r="CE32" s="29" t="n">
        <v>3838.725412409981</v>
      </c>
      <c r="CF32" s="29" t="n">
        <v>1395.775961208673</v>
      </c>
      <c r="CG32" s="29" t="n">
        <v>21032.47814912247</v>
      </c>
      <c r="CH32" s="29" t="n">
        <v>143220.4755331619</v>
      </c>
      <c r="CI32" s="29" t="n">
        <v>4388.836321401912</v>
      </c>
      <c r="CJ32" s="29" t="n">
        <v>19253.4535106051</v>
      </c>
      <c r="CK32" s="29" t="n">
        <v>2837.183316761409</v>
      </c>
      <c r="CL32" s="29" t="n">
        <v>75466.74364157883</v>
      </c>
      <c r="CM32" s="29" t="n">
        <v>3649.934879443186</v>
      </c>
      <c r="CN32" s="29" t="n">
        <v>475.2525436844319</v>
      </c>
      <c r="CO32" s="29" t="n">
        <v>213.4670676688867</v>
      </c>
      <c r="CP32" s="29" t="n">
        <v>2228.090656308606</v>
      </c>
      <c r="CQ32" s="29" t="n">
        <v>1418.332991638023</v>
      </c>
      <c r="CR32" s="29" t="n">
        <v>61226.40312897356</v>
      </c>
      <c r="CS32" s="29" t="n">
        <v>29020.04180881547</v>
      </c>
      <c r="CT32" s="29" t="n">
        <v>26498.48948309756</v>
      </c>
      <c r="CU32" s="29" t="n">
        <v>49901.95534162773</v>
      </c>
      <c r="CV32" s="29" t="n">
        <v>1414273.906637146</v>
      </c>
      <c r="CW32" s="29" t="n">
        <v>194594.7990853237</v>
      </c>
      <c r="CX32" s="29" t="n">
        <v>118985.1182578707</v>
      </c>
      <c r="CY32" s="29" t="n">
        <v>1094196.358897247</v>
      </c>
      <c r="CZ32" s="29" t="n">
        <v>101241.8260239507</v>
      </c>
      <c r="DA32" s="29" t="n">
        <v>2913.36105089909</v>
      </c>
      <c r="DB32" s="29" t="n">
        <v>299413.6347215393</v>
      </c>
      <c r="DC32" s="29" t="n">
        <v>41809.9340797659</v>
      </c>
      <c r="DD32" s="29" t="n">
        <v>404.6368925737338</v>
      </c>
      <c r="DE32" s="29" t="n">
        <v>0</v>
      </c>
      <c r="DF32" s="29">
        <f>SUM(C32:DE32)</f>
        <v/>
      </c>
      <c r="DG32" s="29" t="n">
        <v>0</v>
      </c>
      <c r="DH32" s="29" t="n">
        <v>0</v>
      </c>
      <c r="DI32" s="29" t="n">
        <v>150149846.3221436</v>
      </c>
      <c r="DJ32" s="29" t="n">
        <v>0</v>
      </c>
      <c r="DK32" s="29">
        <f>SUM(DG32:DJ32)</f>
        <v/>
      </c>
      <c r="DL32" s="29">
        <f>DF32+DK32</f>
        <v/>
      </c>
    </row>
    <row r="33">
      <c r="A33" s="30" t="inlineStr">
        <is>
          <t>15420</t>
        </is>
      </c>
      <c r="B33" s="30" t="inlineStr">
        <is>
          <t>15420 - Elaboración de azúcar</t>
        </is>
      </c>
      <c r="C33" s="31" t="n">
        <v>30466.76681382081</v>
      </c>
      <c r="D33" s="31" t="n">
        <v>3277.71678155152</v>
      </c>
      <c r="E33" s="31" t="n">
        <v>0</v>
      </c>
      <c r="F33" s="31" t="n">
        <v>0</v>
      </c>
      <c r="G33" s="31" t="n">
        <v>0</v>
      </c>
      <c r="H33" s="31" t="n">
        <v>55503.50487742</v>
      </c>
      <c r="I33" s="31" t="n">
        <v>0.01110312205461948</v>
      </c>
      <c r="J33" s="31" t="n">
        <v>5.915508787428101</v>
      </c>
      <c r="K33" s="31" t="n">
        <v>55.32600351144953</v>
      </c>
      <c r="L33" s="31" t="n">
        <v>0.03409573577648424</v>
      </c>
      <c r="M33" s="31" t="n">
        <v>0.2741601135004502</v>
      </c>
      <c r="N33" s="31" t="n">
        <v>108505.0050510585</v>
      </c>
      <c r="O33" s="31" t="n">
        <v>51066.41971854048</v>
      </c>
      <c r="P33" s="31" t="n">
        <v>526716.4194677748</v>
      </c>
      <c r="Q33" s="31" t="n">
        <v>401859.1602071534</v>
      </c>
      <c r="R33" s="31" t="n">
        <v>2943256.057658995</v>
      </c>
      <c r="S33" s="31" t="n">
        <v>60366.63687998813</v>
      </c>
      <c r="T33" s="31" t="n">
        <v>23836.36689374335</v>
      </c>
      <c r="U33" s="31" t="n">
        <v>3246364.061878536</v>
      </c>
      <c r="V33" s="31" t="n">
        <v>322421.2897628369</v>
      </c>
      <c r="W33" s="31" t="n">
        <v>3670929.06030771</v>
      </c>
      <c r="X33" s="31" t="n">
        <v>524.1777389659675</v>
      </c>
      <c r="Y33" s="31" t="n">
        <v>1857546.810421959</v>
      </c>
      <c r="Z33" s="31" t="n">
        <v>694148.6983096801</v>
      </c>
      <c r="AA33" s="31" t="n">
        <v>76864.55976810219</v>
      </c>
      <c r="AB33" s="31" t="n">
        <v>116.2313074276752</v>
      </c>
      <c r="AC33" s="31" t="n">
        <v>3446060.026204966</v>
      </c>
      <c r="AD33" s="31" t="n">
        <v>610.1471599808483</v>
      </c>
      <c r="AE33" s="31" t="n">
        <v>95441.0588504085</v>
      </c>
      <c r="AF33" s="31" t="n">
        <v>114642.2668671458</v>
      </c>
      <c r="AG33" s="31" t="n">
        <v>12044.9373378245</v>
      </c>
      <c r="AH33" s="31" t="n">
        <v>15101.23297542182</v>
      </c>
      <c r="AI33" s="31" t="n">
        <v>4893.815478943417</v>
      </c>
      <c r="AJ33" s="31" t="n">
        <v>28300.6266792278</v>
      </c>
      <c r="AK33" s="31" t="n">
        <v>93915.41033478791</v>
      </c>
      <c r="AL33" s="31" t="n">
        <v>64734.75553987257</v>
      </c>
      <c r="AM33" s="31" t="n">
        <v>12357.55034167417</v>
      </c>
      <c r="AN33" s="31" t="n">
        <v>45393.16884272804</v>
      </c>
      <c r="AO33" s="31" t="n">
        <v>4377.644240399579</v>
      </c>
      <c r="AP33" s="31" t="n">
        <v>8341.286876066348</v>
      </c>
      <c r="AQ33" s="31" t="n">
        <v>1011873.966658165</v>
      </c>
      <c r="AR33" s="31" t="n">
        <v>16278.5566348603</v>
      </c>
      <c r="AS33" s="31" t="n">
        <v>43549.52713426964</v>
      </c>
      <c r="AT33" s="31" t="n">
        <v>283.6002470204771</v>
      </c>
      <c r="AU33" s="31" t="n">
        <v>8152.509510579719</v>
      </c>
      <c r="AV33" s="31" t="n">
        <v>111066.7007341496</v>
      </c>
      <c r="AW33" s="31" t="n">
        <v>25342.49027078787</v>
      </c>
      <c r="AX33" s="31" t="n">
        <v>187357.3919170227</v>
      </c>
      <c r="AY33" s="31" t="n">
        <v>29546.36053542255</v>
      </c>
      <c r="AZ33" s="31" t="n">
        <v>123243.2228816755</v>
      </c>
      <c r="BA33" s="31" t="n">
        <v>44864.24418522853</v>
      </c>
      <c r="BB33" s="31" t="n">
        <v>152882.4403462745</v>
      </c>
      <c r="BC33" s="31" t="n">
        <v>36011.83324379248</v>
      </c>
      <c r="BD33" s="31" t="n">
        <v>2094.307368027241</v>
      </c>
      <c r="BE33" s="31" t="n">
        <v>37660.5401981027</v>
      </c>
      <c r="BF33" s="31" t="n">
        <v>4278.508426546337</v>
      </c>
      <c r="BG33" s="31" t="n">
        <v>11365.09584565597</v>
      </c>
      <c r="BH33" s="31" t="n">
        <v>321769.6777515385</v>
      </c>
      <c r="BI33" s="31" t="n">
        <v>2091.30603507873</v>
      </c>
      <c r="BJ33" s="31" t="n">
        <v>13846.23929353921</v>
      </c>
      <c r="BK33" s="31" t="n">
        <v>18023.70544177248</v>
      </c>
      <c r="BL33" s="31" t="n">
        <v>52896.99117076813</v>
      </c>
      <c r="BM33" s="31" t="n">
        <v>19169.99458981494</v>
      </c>
      <c r="BN33" s="31" t="n">
        <v>18738.2202297613</v>
      </c>
      <c r="BO33" s="31" t="n">
        <v>31730.26106465057</v>
      </c>
      <c r="BP33" s="31" t="n">
        <v>37.94010245483669</v>
      </c>
      <c r="BQ33" s="31" t="n">
        <v>1.322029606221498</v>
      </c>
      <c r="BR33" s="31" t="n">
        <v>2.41136901474559</v>
      </c>
      <c r="BS33" s="31" t="n">
        <v>2577.920268383195</v>
      </c>
      <c r="BT33" s="31" t="n">
        <v>393.7067736459045</v>
      </c>
      <c r="BU33" s="31" t="n">
        <v>42903.20557911467</v>
      </c>
      <c r="BV33" s="31" t="n">
        <v>112207.433582906</v>
      </c>
      <c r="BW33" s="31" t="n">
        <v>4.763811996651047</v>
      </c>
      <c r="BX33" s="31" t="n">
        <v>21250.63016508349</v>
      </c>
      <c r="BY33" s="31" t="n">
        <v>848440.5401826276</v>
      </c>
      <c r="BZ33" s="31" t="n">
        <v>0.5415421916040323</v>
      </c>
      <c r="CA33" s="31" t="n">
        <v>9.821427392631996</v>
      </c>
      <c r="CB33" s="31" t="n">
        <v>25696.44148770204</v>
      </c>
      <c r="CC33" s="31" t="n">
        <v>0.03763912380352676</v>
      </c>
      <c r="CD33" s="31" t="n">
        <v>0</v>
      </c>
      <c r="CE33" s="31" t="n">
        <v>5.189111985687507</v>
      </c>
      <c r="CF33" s="31" t="n">
        <v>195.2349089522354</v>
      </c>
      <c r="CG33" s="31" t="n">
        <v>1108.755067717177</v>
      </c>
      <c r="CH33" s="31" t="n">
        <v>39129.93969519585</v>
      </c>
      <c r="CI33" s="31" t="n">
        <v>96.4403952172363</v>
      </c>
      <c r="CJ33" s="31" t="n">
        <v>6.075115200127299</v>
      </c>
      <c r="CK33" s="31" t="n">
        <v>6.563159724728262</v>
      </c>
      <c r="CL33" s="31" t="n">
        <v>52.57900467819373</v>
      </c>
      <c r="CM33" s="31" t="n">
        <v>17.62327295476358</v>
      </c>
      <c r="CN33" s="31" t="n">
        <v>26.12953016910668</v>
      </c>
      <c r="CO33" s="31" t="n">
        <v>11.73648465197605</v>
      </c>
      <c r="CP33" s="31" t="n">
        <v>0.1946641636966678</v>
      </c>
      <c r="CQ33" s="31" t="n">
        <v>119.6057250003048</v>
      </c>
      <c r="CR33" s="31" t="n">
        <v>3292.353072635753</v>
      </c>
      <c r="CS33" s="31" t="n">
        <v>2138.293402348547</v>
      </c>
      <c r="CT33" s="31" t="n">
        <v>1952.497022822954</v>
      </c>
      <c r="CU33" s="31" t="n">
        <v>3454.092994529285</v>
      </c>
      <c r="CV33" s="31" t="n">
        <v>104119.431976517</v>
      </c>
      <c r="CW33" s="31" t="n">
        <v>92084.79761990174</v>
      </c>
      <c r="CX33" s="31" t="n">
        <v>5215.260844055458</v>
      </c>
      <c r="CY33" s="31" t="n">
        <v>270961.3658093539</v>
      </c>
      <c r="CZ33" s="31" t="n">
        <v>1116131.55277522</v>
      </c>
      <c r="DA33" s="31" t="n">
        <v>43.39069635328232</v>
      </c>
      <c r="DB33" s="31" t="n">
        <v>87637.12460127538</v>
      </c>
      <c r="DC33" s="31" t="n">
        <v>19829.94894978621</v>
      </c>
      <c r="DD33" s="31" t="n">
        <v>0.4661040425339045</v>
      </c>
      <c r="DE33" s="31" t="n">
        <v>0</v>
      </c>
      <c r="DF33" s="31">
        <f>SUM(C33:DE33)</f>
        <v/>
      </c>
      <c r="DG33" s="31" t="n">
        <v>0</v>
      </c>
      <c r="DH33" s="31" t="n">
        <v>0</v>
      </c>
      <c r="DI33" s="31" t="n">
        <v>20880396.6364698</v>
      </c>
      <c r="DJ33" s="31" t="n">
        <v>0</v>
      </c>
      <c r="DK33" s="31">
        <f>SUM(DG33:DJ33)</f>
        <v/>
      </c>
      <c r="DL33" s="31">
        <f>DF33+DK33</f>
        <v/>
      </c>
    </row>
    <row r="34">
      <c r="A34" s="28" t="inlineStr">
        <is>
          <t>15430</t>
        </is>
      </c>
      <c r="B34" s="28" t="inlineStr">
        <is>
          <t>15430 - Elaboración de cacao y chocolate y de productos de confitería</t>
        </is>
      </c>
      <c r="C34" s="29" t="n">
        <v>0.6226783799196436</v>
      </c>
      <c r="D34" s="29" t="n">
        <v>0.1494866416059378</v>
      </c>
      <c r="E34" s="29" t="n">
        <v>0</v>
      </c>
      <c r="F34" s="29" t="n">
        <v>0</v>
      </c>
      <c r="G34" s="29" t="n">
        <v>0</v>
      </c>
      <c r="H34" s="29" t="n">
        <v>56.66589809191088</v>
      </c>
      <c r="I34" s="29" t="n">
        <v>0.3808604511724145</v>
      </c>
      <c r="J34" s="29" t="n">
        <v>182.2462967324345</v>
      </c>
      <c r="K34" s="29" t="n">
        <v>316.5376062827168</v>
      </c>
      <c r="L34" s="29" t="n">
        <v>2004.306835555134</v>
      </c>
      <c r="M34" s="29" t="n">
        <v>373.7195107251787</v>
      </c>
      <c r="N34" s="29" t="n">
        <v>8062.048399782989</v>
      </c>
      <c r="O34" s="29" t="n">
        <v>997.2445116872021</v>
      </c>
      <c r="P34" s="29" t="n">
        <v>1119.043510064545</v>
      </c>
      <c r="Q34" s="29" t="n">
        <v>8018.749379514904</v>
      </c>
      <c r="R34" s="29" t="n">
        <v>1570119.395420197</v>
      </c>
      <c r="S34" s="29" t="n">
        <v>599.1613284134686</v>
      </c>
      <c r="T34" s="29" t="n">
        <v>28648.84616892638</v>
      </c>
      <c r="U34" s="29" t="n">
        <v>1531661.058203869</v>
      </c>
      <c r="V34" s="29" t="n">
        <v>3187.521978577845</v>
      </c>
      <c r="W34" s="29" t="n">
        <v>5127954.071034553</v>
      </c>
      <c r="X34" s="29" t="n">
        <v>3044.514410886407</v>
      </c>
      <c r="Y34" s="29" t="n">
        <v>271597.4108819666</v>
      </c>
      <c r="Z34" s="29" t="n">
        <v>162.0333100488562</v>
      </c>
      <c r="AA34" s="29" t="n">
        <v>6476.518743671939</v>
      </c>
      <c r="AB34" s="29" t="n">
        <v>652.5108622942736</v>
      </c>
      <c r="AC34" s="29" t="n">
        <v>4621.782604872782</v>
      </c>
      <c r="AD34" s="29" t="n">
        <v>724.2731424973124</v>
      </c>
      <c r="AE34" s="29" t="n">
        <v>2833.463248330719</v>
      </c>
      <c r="AF34" s="29" t="n">
        <v>2422.525535329139</v>
      </c>
      <c r="AG34" s="29" t="n">
        <v>332.0989129252421</v>
      </c>
      <c r="AH34" s="29" t="n">
        <v>1018.551361368603</v>
      </c>
      <c r="AI34" s="29" t="n">
        <v>919.6513743663613</v>
      </c>
      <c r="AJ34" s="29" t="n">
        <v>36866.16358826117</v>
      </c>
      <c r="AK34" s="29" t="n">
        <v>2213.652304708924</v>
      </c>
      <c r="AL34" s="29" t="n">
        <v>1637.215359970652</v>
      </c>
      <c r="AM34" s="29" t="n">
        <v>2865.170373198821</v>
      </c>
      <c r="AN34" s="29" t="n">
        <v>5850.732261037663</v>
      </c>
      <c r="AO34" s="29" t="n">
        <v>194.0115774181563</v>
      </c>
      <c r="AP34" s="29" t="n">
        <v>1927.691675865791</v>
      </c>
      <c r="AQ34" s="29" t="n">
        <v>60411.26111018621</v>
      </c>
      <c r="AR34" s="29" t="n">
        <v>856.5733473162076</v>
      </c>
      <c r="AS34" s="29" t="n">
        <v>2235.151090012603</v>
      </c>
      <c r="AT34" s="29" t="n">
        <v>160.2381701812673</v>
      </c>
      <c r="AU34" s="29" t="n">
        <v>1747.798469451338</v>
      </c>
      <c r="AV34" s="29" t="n">
        <v>42940.97205233106</v>
      </c>
      <c r="AW34" s="29" t="n">
        <v>24721.71237091411</v>
      </c>
      <c r="AX34" s="29" t="n">
        <v>41479.64160370584</v>
      </c>
      <c r="AY34" s="29" t="n">
        <v>692.9198582020708</v>
      </c>
      <c r="AZ34" s="29" t="n">
        <v>8952.06003657134</v>
      </c>
      <c r="BA34" s="29" t="n">
        <v>1087.444044507748</v>
      </c>
      <c r="BB34" s="29" t="n">
        <v>3197.572502454798</v>
      </c>
      <c r="BC34" s="29" t="n">
        <v>734.8473583565813</v>
      </c>
      <c r="BD34" s="29" t="n">
        <v>44.80930341584322</v>
      </c>
      <c r="BE34" s="29" t="n">
        <v>779.1249073527181</v>
      </c>
      <c r="BF34" s="29" t="n">
        <v>4535.617641969445</v>
      </c>
      <c r="BG34" s="29" t="n">
        <v>451.1256231631728</v>
      </c>
      <c r="BH34" s="29" t="n">
        <v>6283.499960603966</v>
      </c>
      <c r="BI34" s="29" t="n">
        <v>118.3399943062065</v>
      </c>
      <c r="BJ34" s="29" t="n">
        <v>306.6301218421377</v>
      </c>
      <c r="BK34" s="29" t="n">
        <v>855.0158584335245</v>
      </c>
      <c r="BL34" s="29" t="n">
        <v>2039.336279788839</v>
      </c>
      <c r="BM34" s="29" t="n">
        <v>435.2834719608141</v>
      </c>
      <c r="BN34" s="29" t="n">
        <v>1139.660754453711</v>
      </c>
      <c r="BO34" s="29" t="n">
        <v>32631.60053168095</v>
      </c>
      <c r="BP34" s="29" t="n">
        <v>211.9118186343015</v>
      </c>
      <c r="BQ34" s="29" t="n">
        <v>81.43929787503232</v>
      </c>
      <c r="BR34" s="29" t="n">
        <v>39.88893169882635</v>
      </c>
      <c r="BS34" s="29" t="n">
        <v>49.55509931796816</v>
      </c>
      <c r="BT34" s="29" t="n">
        <v>5518.668520292019</v>
      </c>
      <c r="BU34" s="29" t="n">
        <v>2431.519647970146</v>
      </c>
      <c r="BV34" s="29" t="n">
        <v>15915.9202230425</v>
      </c>
      <c r="BW34" s="29" t="n">
        <v>0.7091733902545847</v>
      </c>
      <c r="BX34" s="29" t="n">
        <v>14094.39373413824</v>
      </c>
      <c r="BY34" s="29" t="n">
        <v>21833100.95664505</v>
      </c>
      <c r="BZ34" s="29" t="n">
        <v>44.49958598816374</v>
      </c>
      <c r="CA34" s="29" t="n">
        <v>788.3136703075243</v>
      </c>
      <c r="CB34" s="29" t="n">
        <v>616.4342474932237</v>
      </c>
      <c r="CC34" s="29" t="n">
        <v>3.737339976653657</v>
      </c>
      <c r="CD34" s="29" t="n">
        <v>168.5362854538641</v>
      </c>
      <c r="CE34" s="29" t="n">
        <v>1221.813018187306</v>
      </c>
      <c r="CF34" s="29" t="n">
        <v>106.2988686063527</v>
      </c>
      <c r="CG34" s="29" t="n">
        <v>2083.207567355885</v>
      </c>
      <c r="CH34" s="29" t="n">
        <v>1863.920948444197</v>
      </c>
      <c r="CI34" s="29" t="n">
        <v>896.9433870409855</v>
      </c>
      <c r="CJ34" s="29" t="n">
        <v>1060.347722738697</v>
      </c>
      <c r="CK34" s="29" t="n">
        <v>289.1374264137494</v>
      </c>
      <c r="CL34" s="29" t="n">
        <v>1678.538471519664</v>
      </c>
      <c r="CM34" s="29" t="n">
        <v>251.753589460958</v>
      </c>
      <c r="CN34" s="29" t="n">
        <v>0</v>
      </c>
      <c r="CO34" s="29" t="n">
        <v>0</v>
      </c>
      <c r="CP34" s="29" t="n">
        <v>42.62188277808279</v>
      </c>
      <c r="CQ34" s="29" t="n">
        <v>110.0190567120469</v>
      </c>
      <c r="CR34" s="29" t="n">
        <v>2870.929671254862</v>
      </c>
      <c r="CS34" s="29" t="n">
        <v>1063.535534937235</v>
      </c>
      <c r="CT34" s="29" t="n">
        <v>971.1248995814308</v>
      </c>
      <c r="CU34" s="29" t="n">
        <v>2084.302584819256</v>
      </c>
      <c r="CV34" s="29" t="n">
        <v>51939.89615796289</v>
      </c>
      <c r="CW34" s="29" t="n">
        <v>2042171.512695825</v>
      </c>
      <c r="CX34" s="29" t="n">
        <v>3087.872384253152</v>
      </c>
      <c r="CY34" s="29" t="n">
        <v>1028333.985160422</v>
      </c>
      <c r="CZ34" s="29" t="n">
        <v>26571.91431233579</v>
      </c>
      <c r="DA34" s="29" t="n">
        <v>193.4221779529057</v>
      </c>
      <c r="DB34" s="29" t="n">
        <v>834775.6638603776</v>
      </c>
      <c r="DC34" s="29" t="n">
        <v>2613.486153877854</v>
      </c>
      <c r="DD34" s="29" t="n">
        <v>97.57392313705968</v>
      </c>
      <c r="DE34" s="29" t="n">
        <v>0</v>
      </c>
      <c r="DF34" s="29">
        <f>SUM(C34:DE34)</f>
        <v/>
      </c>
      <c r="DG34" s="29" t="n">
        <v>0</v>
      </c>
      <c r="DH34" s="29" t="n">
        <v>0</v>
      </c>
      <c r="DI34" s="29" t="n">
        <v>36160960.34365574</v>
      </c>
      <c r="DJ34" s="29" t="n">
        <v>0</v>
      </c>
      <c r="DK34" s="29">
        <f>SUM(DG34:DJ34)</f>
        <v/>
      </c>
      <c r="DL34" s="29">
        <f>DF34+DK34</f>
        <v/>
      </c>
    </row>
    <row r="35">
      <c r="A35" s="30" t="inlineStr">
        <is>
          <t>1544</t>
        </is>
      </c>
      <c r="B35" s="30" t="inlineStr">
        <is>
          <t>15441 - Elaboración de pastas alimenticias frescas. 15442 - Elaboración de pastas alimenticias secas</t>
        </is>
      </c>
      <c r="C35" s="31" t="n">
        <v>4297.973940694119</v>
      </c>
      <c r="D35" s="31" t="n">
        <v>465.8037659587653</v>
      </c>
      <c r="E35" s="31" t="n">
        <v>0</v>
      </c>
      <c r="F35" s="31" t="n">
        <v>0</v>
      </c>
      <c r="G35" s="31" t="n">
        <v>0</v>
      </c>
      <c r="H35" s="31" t="n">
        <v>1083.41769374157</v>
      </c>
      <c r="I35" s="31" t="n">
        <v>1.21433501714402</v>
      </c>
      <c r="J35" s="31" t="n">
        <v>225.2631677482928</v>
      </c>
      <c r="K35" s="31" t="n">
        <v>649.7804421118423</v>
      </c>
      <c r="L35" s="31" t="n">
        <v>105.2154289150805</v>
      </c>
      <c r="M35" s="31" t="n">
        <v>43.72975090967256</v>
      </c>
      <c r="N35" s="31" t="n">
        <v>3044.386506525026</v>
      </c>
      <c r="O35" s="31" t="n">
        <v>1116.738116064954</v>
      </c>
      <c r="P35" s="31" t="n">
        <v>236.5899399274617</v>
      </c>
      <c r="Q35" s="31" t="n">
        <v>8567.56421041945</v>
      </c>
      <c r="R35" s="31" t="n">
        <v>1868.064089451352</v>
      </c>
      <c r="S35" s="31" t="n">
        <v>1982.651923228367</v>
      </c>
      <c r="T35" s="31" t="n">
        <v>2881.308340857217</v>
      </c>
      <c r="U35" s="31" t="n">
        <v>11708.81398417655</v>
      </c>
      <c r="V35" s="31" t="n">
        <v>3064.091710589486</v>
      </c>
      <c r="W35" s="31" t="n">
        <v>172.8283522647754</v>
      </c>
      <c r="X35" s="31" t="n">
        <v>2272.242101946865</v>
      </c>
      <c r="Y35" s="31" t="n">
        <v>23452.8501895598</v>
      </c>
      <c r="Z35" s="31" t="n">
        <v>134.5247566526959</v>
      </c>
      <c r="AA35" s="31" t="n">
        <v>755.4514984281582</v>
      </c>
      <c r="AB35" s="31" t="n">
        <v>429.0829091433308</v>
      </c>
      <c r="AC35" s="31" t="n">
        <v>22235.6021962171</v>
      </c>
      <c r="AD35" s="31" t="n">
        <v>24.51974256507082</v>
      </c>
      <c r="AE35" s="31" t="n">
        <v>1952.145008694592</v>
      </c>
      <c r="AF35" s="31" t="n">
        <v>2332.420994079494</v>
      </c>
      <c r="AG35" s="31" t="n">
        <v>271.3323533518246</v>
      </c>
      <c r="AH35" s="31" t="n">
        <v>347.3462831333907</v>
      </c>
      <c r="AI35" s="31" t="n">
        <v>137.7220784041235</v>
      </c>
      <c r="AJ35" s="31" t="n">
        <v>3697.740102360798</v>
      </c>
      <c r="AK35" s="31" t="n">
        <v>1913.089342997376</v>
      </c>
      <c r="AL35" s="31" t="n">
        <v>1260.877179950508</v>
      </c>
      <c r="AM35" s="31" t="n">
        <v>1516.136550159707</v>
      </c>
      <c r="AN35" s="31" t="n">
        <v>628.6993736085797</v>
      </c>
      <c r="AO35" s="31" t="n">
        <v>345.4246661248971</v>
      </c>
      <c r="AP35" s="31" t="n">
        <v>270.8531558661354</v>
      </c>
      <c r="AQ35" s="31" t="n">
        <v>6054.153287702915</v>
      </c>
      <c r="AR35" s="31" t="n">
        <v>348.9157234526962</v>
      </c>
      <c r="AS35" s="31" t="n">
        <v>985.2529615451175</v>
      </c>
      <c r="AT35" s="31" t="n">
        <v>24.96122396761535</v>
      </c>
      <c r="AU35" s="31" t="n">
        <v>386.4729378124062</v>
      </c>
      <c r="AV35" s="31" t="n">
        <v>5569.799415673692</v>
      </c>
      <c r="AW35" s="31" t="n">
        <v>2486.634322511569</v>
      </c>
      <c r="AX35" s="31" t="n">
        <v>6708.132578082404</v>
      </c>
      <c r="AY35" s="31" t="n">
        <v>634.4236962581706</v>
      </c>
      <c r="AZ35" s="31" t="n">
        <v>2975.939642922169</v>
      </c>
      <c r="BA35" s="31" t="n">
        <v>930.1289485119078</v>
      </c>
      <c r="BB35" s="31" t="n">
        <v>3194.908839916811</v>
      </c>
      <c r="BC35" s="31" t="n">
        <v>721.2563034591577</v>
      </c>
      <c r="BD35" s="31" t="n">
        <v>44.24628596067814</v>
      </c>
      <c r="BE35" s="31" t="n">
        <v>750.5505489699375</v>
      </c>
      <c r="BF35" s="31" t="n">
        <v>454.7747572825348</v>
      </c>
      <c r="BG35" s="31" t="n">
        <v>247.4756653520085</v>
      </c>
      <c r="BH35" s="31" t="n">
        <v>6320.825823482361</v>
      </c>
      <c r="BI35" s="31" t="n">
        <v>43.75204938964551</v>
      </c>
      <c r="BJ35" s="31" t="n">
        <v>289.4931082134714</v>
      </c>
      <c r="BK35" s="31" t="n">
        <v>826.2342091877322</v>
      </c>
      <c r="BL35" s="31" t="n">
        <v>1093.827535609744</v>
      </c>
      <c r="BM35" s="31" t="n">
        <v>389.6628983652438</v>
      </c>
      <c r="BN35" s="31" t="n">
        <v>446.6544500306696</v>
      </c>
      <c r="BO35" s="31" t="n">
        <v>3267.340939228708</v>
      </c>
      <c r="BP35" s="31" t="n">
        <v>331.3127099888653</v>
      </c>
      <c r="BQ35" s="31" t="n">
        <v>119.7868053924573</v>
      </c>
      <c r="BR35" s="31" t="n">
        <v>34.21542776634477</v>
      </c>
      <c r="BS35" s="31" t="n">
        <v>1030.687783274363</v>
      </c>
      <c r="BT35" s="31" t="n">
        <v>1136.148646522949</v>
      </c>
      <c r="BU35" s="31" t="n">
        <v>1722.710212450053</v>
      </c>
      <c r="BV35" s="31" t="n">
        <v>6107.78450993686</v>
      </c>
      <c r="BW35" s="31" t="n">
        <v>0.01530127155037165</v>
      </c>
      <c r="BX35" s="31" t="n">
        <v>29152.68664833633</v>
      </c>
      <c r="BY35" s="31" t="n">
        <v>10332930.37181322</v>
      </c>
      <c r="BZ35" s="31" t="n">
        <v>18.66456999855142</v>
      </c>
      <c r="CA35" s="31" t="n">
        <v>431.6646383271059</v>
      </c>
      <c r="CB35" s="31" t="n">
        <v>524.956706715783</v>
      </c>
      <c r="CC35" s="31" t="n">
        <v>7.983583002070856</v>
      </c>
      <c r="CD35" s="31" t="n">
        <v>821.1984736874317</v>
      </c>
      <c r="CE35" s="31" t="n">
        <v>541.7856113802504</v>
      </c>
      <c r="CF35" s="31" t="n">
        <v>72.43126767141854</v>
      </c>
      <c r="CG35" s="31" t="n">
        <v>530.9065904927896</v>
      </c>
      <c r="CH35" s="31" t="n">
        <v>8026.659120842378</v>
      </c>
      <c r="CI35" s="31" t="n">
        <v>152.4553685406288</v>
      </c>
      <c r="CJ35" s="31" t="n">
        <v>407.904633611018</v>
      </c>
      <c r="CK35" s="31" t="n">
        <v>338.2749228152567</v>
      </c>
      <c r="CL35" s="31" t="n">
        <v>452.3500329804793</v>
      </c>
      <c r="CM35" s="31" t="n">
        <v>114.8236315250072</v>
      </c>
      <c r="CN35" s="31" t="n">
        <v>0</v>
      </c>
      <c r="CO35" s="31" t="n">
        <v>0</v>
      </c>
      <c r="CP35" s="31" t="n">
        <v>45.5569110670487</v>
      </c>
      <c r="CQ35" s="31" t="n">
        <v>57.71577777557658</v>
      </c>
      <c r="CR35" s="31" t="n">
        <v>1178.457214091871</v>
      </c>
      <c r="CS35" s="31" t="n">
        <v>1455.315490479672</v>
      </c>
      <c r="CT35" s="31" t="n">
        <v>1328.86308273167</v>
      </c>
      <c r="CU35" s="31" t="n">
        <v>1299.935854413874</v>
      </c>
      <c r="CV35" s="31" t="n">
        <v>70895.57045564357</v>
      </c>
      <c r="CW35" s="31" t="n">
        <v>167083.8607090212</v>
      </c>
      <c r="CX35" s="31" t="n">
        <v>6144.09449916146</v>
      </c>
      <c r="CY35" s="31" t="n">
        <v>203853.6120016895</v>
      </c>
      <c r="CZ35" s="31" t="n">
        <v>304285.9421040295</v>
      </c>
      <c r="DA35" s="31" t="n">
        <v>275.9314529716336</v>
      </c>
      <c r="DB35" s="31" t="n">
        <v>1144205.942706589</v>
      </c>
      <c r="DC35" s="31" t="n">
        <v>1519.04720250123</v>
      </c>
      <c r="DD35" s="31" t="n">
        <v>22.1182351522296</v>
      </c>
      <c r="DE35" s="31" t="n">
        <v>0</v>
      </c>
      <c r="DF35" s="31">
        <f>SUM(C35:DE35)</f>
        <v/>
      </c>
      <c r="DG35" s="31" t="n">
        <v>0</v>
      </c>
      <c r="DH35" s="31" t="n">
        <v>0</v>
      </c>
      <c r="DI35" s="31" t="n">
        <v>22356221.09497267</v>
      </c>
      <c r="DJ35" s="31" t="n">
        <v>0</v>
      </c>
      <c r="DK35" s="31">
        <f>SUM(DG35:DJ35)</f>
        <v/>
      </c>
      <c r="DL35" s="31">
        <f>DF35+DK35</f>
        <v/>
      </c>
    </row>
    <row r="36">
      <c r="A36" s="28" t="inlineStr">
        <is>
          <t>1549</t>
        </is>
      </c>
      <c r="B36" s="28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36" s="29" t="n">
        <v>109931.7879817402</v>
      </c>
      <c r="D36" s="29" t="n">
        <v>13886.46568664287</v>
      </c>
      <c r="E36" s="29" t="n">
        <v>0</v>
      </c>
      <c r="F36" s="29" t="n">
        <v>1829.61876182569</v>
      </c>
      <c r="G36" s="29" t="n">
        <v>0</v>
      </c>
      <c r="H36" s="29" t="n">
        <v>647723.0937507087</v>
      </c>
      <c r="I36" s="29" t="n">
        <v>1.216461738379139</v>
      </c>
      <c r="J36" s="29" t="n">
        <v>910711.8252567432</v>
      </c>
      <c r="K36" s="29" t="n">
        <v>3838.16154344043</v>
      </c>
      <c r="L36" s="29" t="n">
        <v>4708.044615705046</v>
      </c>
      <c r="M36" s="29" t="n">
        <v>143676.1268770729</v>
      </c>
      <c r="N36" s="29" t="n">
        <v>126864.6742129608</v>
      </c>
      <c r="O36" s="29" t="n">
        <v>8028.689514457747</v>
      </c>
      <c r="P36" s="29" t="n">
        <v>129472.1392600405</v>
      </c>
      <c r="Q36" s="29" t="n">
        <v>71636.85382704639</v>
      </c>
      <c r="R36" s="29" t="n">
        <v>852900.5265601401</v>
      </c>
      <c r="S36" s="29" t="n">
        <v>943340.4002516919</v>
      </c>
      <c r="T36" s="29" t="n">
        <v>583586.2488535207</v>
      </c>
      <c r="U36" s="29" t="n">
        <v>1566786.181627738</v>
      </c>
      <c r="V36" s="29" t="n">
        <v>16609.14172893878</v>
      </c>
      <c r="W36" s="29" t="n">
        <v>492173.0779321066</v>
      </c>
      <c r="X36" s="29" t="n">
        <v>111428.9279840913</v>
      </c>
      <c r="Y36" s="29" t="n">
        <v>2002180.802253952</v>
      </c>
      <c r="Z36" s="29" t="n">
        <v>45461.15899692084</v>
      </c>
      <c r="AA36" s="29" t="n">
        <v>158073.1219992721</v>
      </c>
      <c r="AB36" s="29" t="n">
        <v>4367.925588304744</v>
      </c>
      <c r="AC36" s="29" t="n">
        <v>13994413.0264113</v>
      </c>
      <c r="AD36" s="29" t="n">
        <v>7998.141948321158</v>
      </c>
      <c r="AE36" s="29" t="n">
        <v>51823.9931907274</v>
      </c>
      <c r="AF36" s="29" t="n">
        <v>24498.6519894846</v>
      </c>
      <c r="AG36" s="29" t="n">
        <v>22496.16135738669</v>
      </c>
      <c r="AH36" s="29" t="n">
        <v>2743.09389060699</v>
      </c>
      <c r="AI36" s="29" t="n">
        <v>5946.521653973798</v>
      </c>
      <c r="AJ36" s="29" t="n">
        <v>325578.2082745752</v>
      </c>
      <c r="AK36" s="29" t="n">
        <v>16492.31980298659</v>
      </c>
      <c r="AL36" s="29" t="n">
        <v>8115.169987772154</v>
      </c>
      <c r="AM36" s="29" t="n">
        <v>43607.22682930509</v>
      </c>
      <c r="AN36" s="29" t="n">
        <v>446820.2890986432</v>
      </c>
      <c r="AO36" s="29" t="n">
        <v>140392.2942577837</v>
      </c>
      <c r="AP36" s="29" t="n">
        <v>13849.42875901012</v>
      </c>
      <c r="AQ36" s="29" t="n">
        <v>921082.9009463993</v>
      </c>
      <c r="AR36" s="29" t="n">
        <v>5823.932538657578</v>
      </c>
      <c r="AS36" s="29" t="n">
        <v>7811.638816472067</v>
      </c>
      <c r="AT36" s="29" t="n">
        <v>33307.90599941631</v>
      </c>
      <c r="AU36" s="29" t="n">
        <v>640933.7210652579</v>
      </c>
      <c r="AV36" s="29" t="n">
        <v>127630.3186666498</v>
      </c>
      <c r="AW36" s="29" t="n">
        <v>41370.82078692002</v>
      </c>
      <c r="AX36" s="29" t="n">
        <v>88403.11040620568</v>
      </c>
      <c r="AY36" s="29" t="n">
        <v>3816.192643067309</v>
      </c>
      <c r="AZ36" s="29" t="n">
        <v>21028.37332445572</v>
      </c>
      <c r="BA36" s="29" t="n">
        <v>6245.497774727643</v>
      </c>
      <c r="BB36" s="29" t="n">
        <v>18951.97564037079</v>
      </c>
      <c r="BC36" s="29" t="n">
        <v>4282.948870161125</v>
      </c>
      <c r="BD36" s="29" t="n">
        <v>284.3770201824639</v>
      </c>
      <c r="BE36" s="29" t="n">
        <v>5565.240048983544</v>
      </c>
      <c r="BF36" s="29" t="n">
        <v>2604.622775340448</v>
      </c>
      <c r="BG36" s="29" t="n">
        <v>1363.403280940272</v>
      </c>
      <c r="BH36" s="29" t="n">
        <v>31721.33152630283</v>
      </c>
      <c r="BI36" s="29" t="n">
        <v>750.6445140768648</v>
      </c>
      <c r="BJ36" s="29" t="n">
        <v>2154.339843442836</v>
      </c>
      <c r="BK36" s="29" t="n">
        <v>24767.30973322822</v>
      </c>
      <c r="BL36" s="29" t="n">
        <v>121479.8264145966</v>
      </c>
      <c r="BM36" s="29" t="n">
        <v>2505.60679881905</v>
      </c>
      <c r="BN36" s="29" t="n">
        <v>6421.338620093666</v>
      </c>
      <c r="BO36" s="29" t="n">
        <v>15691.05981920699</v>
      </c>
      <c r="BP36" s="29" t="n">
        <v>3081.950821787231</v>
      </c>
      <c r="BQ36" s="29" t="n">
        <v>956.3492297861148</v>
      </c>
      <c r="BR36" s="29" t="n">
        <v>459.7593492520273</v>
      </c>
      <c r="BS36" s="29" t="n">
        <v>52080.11283251933</v>
      </c>
      <c r="BT36" s="29" t="n">
        <v>6358.955883449599</v>
      </c>
      <c r="BU36" s="29" t="n">
        <v>14045.66481832588</v>
      </c>
      <c r="BV36" s="29" t="n">
        <v>53245.86882251101</v>
      </c>
      <c r="BW36" s="29" t="n">
        <v>20.75579106254575</v>
      </c>
      <c r="BX36" s="29" t="n">
        <v>149311.4206729303</v>
      </c>
      <c r="BY36" s="29" t="n">
        <v>2439781.242676372</v>
      </c>
      <c r="BZ36" s="29" t="n">
        <v>157.0111292910974</v>
      </c>
      <c r="CA36" s="29" t="n">
        <v>1843.44645041794</v>
      </c>
      <c r="CB36" s="29" t="n">
        <v>2996.107405120139</v>
      </c>
      <c r="CC36" s="29" t="n">
        <v>12.71710453646885</v>
      </c>
      <c r="CD36" s="29" t="n">
        <v>483.1602635628473</v>
      </c>
      <c r="CE36" s="29" t="n">
        <v>2428.335306365848</v>
      </c>
      <c r="CF36" s="29" t="n">
        <v>1002.865867711921</v>
      </c>
      <c r="CG36" s="29" t="n">
        <v>40045.97934671806</v>
      </c>
      <c r="CH36" s="29" t="n">
        <v>171585.026862652</v>
      </c>
      <c r="CI36" s="29" t="n">
        <v>12984.48552458165</v>
      </c>
      <c r="CJ36" s="29" t="n">
        <v>4989.707865775173</v>
      </c>
      <c r="CK36" s="29" t="n">
        <v>1461.600066759798</v>
      </c>
      <c r="CL36" s="29" t="n">
        <v>3882.877747199273</v>
      </c>
      <c r="CM36" s="29" t="n">
        <v>1311.097225083211</v>
      </c>
      <c r="CN36" s="29" t="n">
        <v>700.5054906978683</v>
      </c>
      <c r="CO36" s="29" t="n">
        <v>314.6429303164756</v>
      </c>
      <c r="CP36" s="29" t="n">
        <v>464.7992307722129</v>
      </c>
      <c r="CQ36" s="29" t="n">
        <v>1052.443340827491</v>
      </c>
      <c r="CR36" s="29" t="n">
        <v>66319.35202817307</v>
      </c>
      <c r="CS36" s="29" t="n">
        <v>5676.156906944802</v>
      </c>
      <c r="CT36" s="29" t="n">
        <v>5182.955458644378</v>
      </c>
      <c r="CU36" s="29" t="n">
        <v>45176.16686439928</v>
      </c>
      <c r="CV36" s="29" t="n">
        <v>278863.8113986029</v>
      </c>
      <c r="CW36" s="29" t="n">
        <v>167409.6824099985</v>
      </c>
      <c r="CX36" s="29" t="n">
        <v>12234.26528968952</v>
      </c>
      <c r="CY36" s="29" t="n">
        <v>589298.531693903</v>
      </c>
      <c r="CZ36" s="29" t="n">
        <v>508428.2577171763</v>
      </c>
      <c r="DA36" s="29" t="n">
        <v>1350.270040714866</v>
      </c>
      <c r="DB36" s="29" t="n">
        <v>166260.8650197341</v>
      </c>
      <c r="DC36" s="29" t="n">
        <v>70759.07672982526</v>
      </c>
      <c r="DD36" s="29" t="n">
        <v>693.5243290675312</v>
      </c>
      <c r="DE36" s="29" t="n">
        <v>0</v>
      </c>
      <c r="DF36" s="29">
        <f>SUM(C36:DE36)</f>
        <v/>
      </c>
      <c r="DG36" s="29" t="n">
        <v>0</v>
      </c>
      <c r="DH36" s="29" t="n">
        <v>0</v>
      </c>
      <c r="DI36" s="29" t="n">
        <v>108153046.7038448</v>
      </c>
      <c r="DJ36" s="29" t="n">
        <v>0</v>
      </c>
      <c r="DK36" s="29">
        <f>SUM(DG36:DJ36)</f>
        <v/>
      </c>
      <c r="DL36" s="29">
        <f>DF36+DK36</f>
        <v/>
      </c>
    </row>
    <row r="37">
      <c r="A37" s="30" t="inlineStr">
        <is>
          <t>15510</t>
        </is>
      </c>
      <c r="B37" s="30" t="inlineStr">
        <is>
          <t>15510 - Destilación, rectificación y mezcla de bebidas alcohólicas; producción de alcohol etílico</t>
        </is>
      </c>
      <c r="C37" s="31" t="n">
        <v>32440.72886245322</v>
      </c>
      <c r="D37" s="31" t="n">
        <v>3493.615134519139</v>
      </c>
      <c r="E37" s="31" t="n">
        <v>0</v>
      </c>
      <c r="F37" s="31" t="n">
        <v>0</v>
      </c>
      <c r="G37" s="31" t="n">
        <v>0</v>
      </c>
      <c r="H37" s="31" t="n">
        <v>231337.4065386095</v>
      </c>
      <c r="I37" s="31" t="n">
        <v>0.1270201969638393</v>
      </c>
      <c r="J37" s="31" t="n">
        <v>47.0973984738804</v>
      </c>
      <c r="K37" s="31" t="n">
        <v>106.3205294006224</v>
      </c>
      <c r="L37" s="31" t="n">
        <v>5.533714441686435</v>
      </c>
      <c r="M37" s="31" t="n">
        <v>9.142792191818419</v>
      </c>
      <c r="N37" s="31" t="n">
        <v>3115.141461133073</v>
      </c>
      <c r="O37" s="31" t="n">
        <v>690.3715621286892</v>
      </c>
      <c r="P37" s="31" t="n">
        <v>228.5220055418129</v>
      </c>
      <c r="Q37" s="31" t="n">
        <v>4825.486515698954</v>
      </c>
      <c r="R37" s="31" t="n">
        <v>13559.26339971966</v>
      </c>
      <c r="S37" s="31" t="n">
        <v>966.9679179403374</v>
      </c>
      <c r="T37" s="31" t="n">
        <v>8208.330052548767</v>
      </c>
      <c r="U37" s="31" t="n">
        <v>82057.16801494261</v>
      </c>
      <c r="V37" s="31" t="n">
        <v>171.1665543642318</v>
      </c>
      <c r="W37" s="31" t="n">
        <v>415658.23568114</v>
      </c>
      <c r="X37" s="31" t="n">
        <v>197.316632025965</v>
      </c>
      <c r="Y37" s="31" t="n">
        <v>22876.3199548354</v>
      </c>
      <c r="Z37" s="31" t="n">
        <v>2465493.752724505</v>
      </c>
      <c r="AA37" s="31" t="n">
        <v>90520.86815121789</v>
      </c>
      <c r="AB37" s="31" t="n">
        <v>134.0798413709314</v>
      </c>
      <c r="AC37" s="31" t="n">
        <v>261.8353170758087</v>
      </c>
      <c r="AD37" s="31" t="n">
        <v>14.12232425297318</v>
      </c>
      <c r="AE37" s="31" t="n">
        <v>336.066789645223</v>
      </c>
      <c r="AF37" s="31" t="n">
        <v>646.2616170323618</v>
      </c>
      <c r="AG37" s="31" t="n">
        <v>253.6295294263944</v>
      </c>
      <c r="AH37" s="31" t="n">
        <v>149.9143389832479</v>
      </c>
      <c r="AI37" s="31" t="n">
        <v>124.9070829564839</v>
      </c>
      <c r="AJ37" s="31" t="n">
        <v>34072.41411320056</v>
      </c>
      <c r="AK37" s="31" t="n">
        <v>469.9985086257461</v>
      </c>
      <c r="AL37" s="31" t="n">
        <v>12579.44214502426</v>
      </c>
      <c r="AM37" s="31" t="n">
        <v>10435.11122221794</v>
      </c>
      <c r="AN37" s="31" t="n">
        <v>64895.61809010792</v>
      </c>
      <c r="AO37" s="31" t="n">
        <v>327.4902305904798</v>
      </c>
      <c r="AP37" s="31" t="n">
        <v>620.3030753701664</v>
      </c>
      <c r="AQ37" s="31" t="n">
        <v>537343.5405810243</v>
      </c>
      <c r="AR37" s="31" t="n">
        <v>356.3938091912875</v>
      </c>
      <c r="AS37" s="31" t="n">
        <v>518.568500869372</v>
      </c>
      <c r="AT37" s="31" t="n">
        <v>40.47087419098153</v>
      </c>
      <c r="AU37" s="31" t="n">
        <v>678.6593568352423</v>
      </c>
      <c r="AV37" s="31" t="n">
        <v>10647.78554283403</v>
      </c>
      <c r="AW37" s="31" t="n">
        <v>6142.158190659907</v>
      </c>
      <c r="AX37" s="31" t="n">
        <v>9297.90030512225</v>
      </c>
      <c r="AY37" s="31" t="n">
        <v>225.049414802261</v>
      </c>
      <c r="AZ37" s="31" t="n">
        <v>4116.522752103941</v>
      </c>
      <c r="BA37" s="31" t="n">
        <v>301.0218902544614</v>
      </c>
      <c r="BB37" s="31" t="n">
        <v>1244.516544235599</v>
      </c>
      <c r="BC37" s="31" t="n">
        <v>125.9180683445028</v>
      </c>
      <c r="BD37" s="31" t="n">
        <v>19.72936561499233</v>
      </c>
      <c r="BE37" s="31" t="n">
        <v>97.54993692712105</v>
      </c>
      <c r="BF37" s="31" t="n">
        <v>1149.752602282077</v>
      </c>
      <c r="BG37" s="31" t="n">
        <v>70.13190164301093</v>
      </c>
      <c r="BH37" s="31" t="n">
        <v>67.76207350029168</v>
      </c>
      <c r="BI37" s="31" t="n">
        <v>7.336281764091353</v>
      </c>
      <c r="BJ37" s="31" t="n">
        <v>112.3862462549462</v>
      </c>
      <c r="BK37" s="31" t="n">
        <v>4235.213236856012</v>
      </c>
      <c r="BL37" s="31" t="n">
        <v>243.709195116475</v>
      </c>
      <c r="BM37" s="31" t="n">
        <v>79.4661643587433</v>
      </c>
      <c r="BN37" s="31" t="n">
        <v>347.8988983640763</v>
      </c>
      <c r="BO37" s="31" t="n">
        <v>8170.585166478694</v>
      </c>
      <c r="BP37" s="31" t="n">
        <v>183.9108965767292</v>
      </c>
      <c r="BQ37" s="31" t="n">
        <v>63.56824727366993</v>
      </c>
      <c r="BR37" s="31" t="n">
        <v>21.26837387556977</v>
      </c>
      <c r="BS37" s="31" t="n">
        <v>0</v>
      </c>
      <c r="BT37" s="31" t="n">
        <v>241.3572027175831</v>
      </c>
      <c r="BU37" s="31" t="n">
        <v>561.1613439067022</v>
      </c>
      <c r="BV37" s="31" t="n">
        <v>5032.437293907741</v>
      </c>
      <c r="BW37" s="31" t="n">
        <v>0.0158372672942106</v>
      </c>
      <c r="BX37" s="31" t="n">
        <v>1715.822479486131</v>
      </c>
      <c r="BY37" s="31" t="n">
        <v>71557.57277962151</v>
      </c>
      <c r="BZ37" s="31" t="n">
        <v>16.22507657169317</v>
      </c>
      <c r="CA37" s="31" t="n">
        <v>299.0878874395517</v>
      </c>
      <c r="CB37" s="31" t="n">
        <v>39.54764405756796</v>
      </c>
      <c r="CC37" s="31" t="n">
        <v>1.463853624980086</v>
      </c>
      <c r="CD37" s="31" t="n">
        <v>51.99470748518245</v>
      </c>
      <c r="CE37" s="31" t="n">
        <v>457.27288616503</v>
      </c>
      <c r="CF37" s="31" t="n">
        <v>250.9049247476544</v>
      </c>
      <c r="CG37" s="31" t="n">
        <v>1324.93947185965</v>
      </c>
      <c r="CH37" s="31" t="n">
        <v>41908.45553643128</v>
      </c>
      <c r="CI37" s="31" t="n">
        <v>189.1886106359231</v>
      </c>
      <c r="CJ37" s="31" t="n">
        <v>526.710638123045</v>
      </c>
      <c r="CK37" s="31" t="n">
        <v>113.9406711393127</v>
      </c>
      <c r="CL37" s="31" t="n">
        <v>261.5879459183834</v>
      </c>
      <c r="CM37" s="31" t="n">
        <v>126.7017601556134</v>
      </c>
      <c r="CN37" s="31" t="n">
        <v>0</v>
      </c>
      <c r="CO37" s="31" t="n">
        <v>0</v>
      </c>
      <c r="CP37" s="31" t="n">
        <v>32.78648524380927</v>
      </c>
      <c r="CQ37" s="31" t="n">
        <v>153.5005598101219</v>
      </c>
      <c r="CR37" s="31" t="n">
        <v>3891.417883845323</v>
      </c>
      <c r="CS37" s="31" t="n">
        <v>17.78042323303574</v>
      </c>
      <c r="CT37" s="31" t="n">
        <v>16.23548171121164</v>
      </c>
      <c r="CU37" s="31" t="n">
        <v>4174.028511249784</v>
      </c>
      <c r="CV37" s="31" t="n">
        <v>866.1718069347048</v>
      </c>
      <c r="CW37" s="31" t="n">
        <v>486.2947927899377</v>
      </c>
      <c r="CX37" s="31" t="n">
        <v>103.1666570630359</v>
      </c>
      <c r="CY37" s="31" t="n">
        <v>1235.485195375408</v>
      </c>
      <c r="CZ37" s="31" t="n">
        <v>18303.24488324911</v>
      </c>
      <c r="DA37" s="31" t="n">
        <v>129.3415903246595</v>
      </c>
      <c r="DB37" s="31" t="n">
        <v>15016.49960556616</v>
      </c>
      <c r="DC37" s="31" t="n">
        <v>58222.22266091063</v>
      </c>
      <c r="DD37" s="31" t="n">
        <v>51.79322168927728</v>
      </c>
      <c r="DE37" s="31" t="n">
        <v>0</v>
      </c>
      <c r="DF37" s="31">
        <f>SUM(C37:DE37)</f>
        <v/>
      </c>
      <c r="DG37" s="31" t="n">
        <v>0</v>
      </c>
      <c r="DH37" s="31" t="n">
        <v>0</v>
      </c>
      <c r="DI37" s="31" t="n">
        <v>17083846.80334194</v>
      </c>
      <c r="DJ37" s="31" t="n">
        <v>0</v>
      </c>
      <c r="DK37" s="31">
        <f>SUM(DG37:DJ37)</f>
        <v/>
      </c>
      <c r="DL37" s="31">
        <f>DF37+DK37</f>
        <v/>
      </c>
    </row>
    <row r="38">
      <c r="A38" s="28" t="inlineStr">
        <is>
          <t>1552</t>
        </is>
      </c>
      <c r="B38" s="28" t="inlineStr">
        <is>
          <t>15521 - Elaboración de vinos. 15529 - Elaboración de sidra y otras bebidas alcohólicas fermentadas a partir de frutas</t>
        </is>
      </c>
      <c r="C38" s="29" t="n">
        <v>46275.85693779238</v>
      </c>
      <c r="D38" s="29" t="n">
        <v>6883.181641208364</v>
      </c>
      <c r="E38" s="29" t="n">
        <v>0</v>
      </c>
      <c r="F38" s="29" t="n">
        <v>0</v>
      </c>
      <c r="G38" s="29" t="n">
        <v>0</v>
      </c>
      <c r="H38" s="29" t="n">
        <v>13424.67064582563</v>
      </c>
      <c r="I38" s="29" t="n">
        <v>1.90511078873451</v>
      </c>
      <c r="J38" s="29" t="n">
        <v>567.3809617819687</v>
      </c>
      <c r="K38" s="29" t="n">
        <v>4286.552882248401</v>
      </c>
      <c r="L38" s="29" t="n">
        <v>5233.708780414925</v>
      </c>
      <c r="M38" s="29" t="n">
        <v>984.4109948647455</v>
      </c>
      <c r="N38" s="29" t="n">
        <v>62906.84538402376</v>
      </c>
      <c r="O38" s="29" t="n">
        <v>28698.13779508813</v>
      </c>
      <c r="P38" s="29" t="n">
        <v>29013.75584492981</v>
      </c>
      <c r="Q38" s="29" t="n">
        <v>187102.2183471257</v>
      </c>
      <c r="R38" s="29" t="n">
        <v>33088.22136544299</v>
      </c>
      <c r="S38" s="29" t="n">
        <v>11486.49771795332</v>
      </c>
      <c r="T38" s="29" t="n">
        <v>44214.74832968146</v>
      </c>
      <c r="U38" s="29" t="n">
        <v>25655.45764247056</v>
      </c>
      <c r="V38" s="29" t="n">
        <v>69566.49545741577</v>
      </c>
      <c r="W38" s="29" t="n">
        <v>18075.1162629138</v>
      </c>
      <c r="X38" s="29" t="n">
        <v>2141.325881672854</v>
      </c>
      <c r="Y38" s="29" t="n">
        <v>43711.41032075629</v>
      </c>
      <c r="Z38" s="29" t="n">
        <v>115796.7708343458</v>
      </c>
      <c r="AA38" s="29" t="n">
        <v>22376071.59068905</v>
      </c>
      <c r="AB38" s="29" t="n">
        <v>2327.55782544548</v>
      </c>
      <c r="AC38" s="29" t="n">
        <v>266489.3272362729</v>
      </c>
      <c r="AD38" s="29" t="n">
        <v>6797.500395102208</v>
      </c>
      <c r="AE38" s="29" t="n">
        <v>48759.18834962369</v>
      </c>
      <c r="AF38" s="29" t="n">
        <v>52698.4207272152</v>
      </c>
      <c r="AG38" s="29" t="n">
        <v>7064.854557414545</v>
      </c>
      <c r="AH38" s="29" t="n">
        <v>9686.432126197624</v>
      </c>
      <c r="AI38" s="29" t="n">
        <v>9987.219646465255</v>
      </c>
      <c r="AJ38" s="29" t="n">
        <v>57278.17601501844</v>
      </c>
      <c r="AK38" s="29" t="n">
        <v>47869.94537546111</v>
      </c>
      <c r="AL38" s="29" t="n">
        <v>32375.19353798753</v>
      </c>
      <c r="AM38" s="29" t="n">
        <v>36548.5459822361</v>
      </c>
      <c r="AN38" s="29" t="n">
        <v>38701.01672627096</v>
      </c>
      <c r="AO38" s="29" t="n">
        <v>4079.173302999458</v>
      </c>
      <c r="AP38" s="29" t="n">
        <v>16335.26277774395</v>
      </c>
      <c r="AQ38" s="29" t="n">
        <v>185213.7201234236</v>
      </c>
      <c r="AR38" s="29" t="n">
        <v>14406.65701311728</v>
      </c>
      <c r="AS38" s="29" t="n">
        <v>28068.30748646191</v>
      </c>
      <c r="AT38" s="29" t="n">
        <v>2509.957799166559</v>
      </c>
      <c r="AU38" s="29" t="n">
        <v>13767.67589988388</v>
      </c>
      <c r="AV38" s="29" t="n">
        <v>119057.6767213875</v>
      </c>
      <c r="AW38" s="29" t="n">
        <v>40210.60082040155</v>
      </c>
      <c r="AX38" s="29" t="n">
        <v>122189.8944136362</v>
      </c>
      <c r="AY38" s="29" t="n">
        <v>15306.31464128479</v>
      </c>
      <c r="AZ38" s="29" t="n">
        <v>67667.8235451145</v>
      </c>
      <c r="BA38" s="29" t="n">
        <v>23752.23419967632</v>
      </c>
      <c r="BB38" s="29" t="n">
        <v>72178.54911772707</v>
      </c>
      <c r="BC38" s="29" t="n">
        <v>16999.66694029578</v>
      </c>
      <c r="BD38" s="29" t="n">
        <v>1141.628623217101</v>
      </c>
      <c r="BE38" s="29" t="n">
        <v>17753.82958663021</v>
      </c>
      <c r="BF38" s="29" t="n">
        <v>8259.294212091769</v>
      </c>
      <c r="BG38" s="29" t="n">
        <v>6599.895638478371</v>
      </c>
      <c r="BH38" s="29" t="n">
        <v>158682.1002695777</v>
      </c>
      <c r="BI38" s="29" t="n">
        <v>1975.727124871413</v>
      </c>
      <c r="BJ38" s="29" t="n">
        <v>7706.486359980142</v>
      </c>
      <c r="BK38" s="29" t="n">
        <v>15729.33556400733</v>
      </c>
      <c r="BL38" s="29" t="n">
        <v>29543.83684077536</v>
      </c>
      <c r="BM38" s="29" t="n">
        <v>9892.128958429172</v>
      </c>
      <c r="BN38" s="29" t="n">
        <v>13198.22201142061</v>
      </c>
      <c r="BO38" s="29" t="n">
        <v>48583.5030554301</v>
      </c>
      <c r="BP38" s="29" t="n">
        <v>63084.58931581573</v>
      </c>
      <c r="BQ38" s="29" t="n">
        <v>18654.33921274319</v>
      </c>
      <c r="BR38" s="29" t="n">
        <v>3651.700538930843</v>
      </c>
      <c r="BS38" s="29" t="n">
        <v>1006.333174670086</v>
      </c>
      <c r="BT38" s="29" t="n">
        <v>9916.905456040406</v>
      </c>
      <c r="BU38" s="29" t="n">
        <v>64249.62597439712</v>
      </c>
      <c r="BV38" s="29" t="n">
        <v>180750.3567705006</v>
      </c>
      <c r="BW38" s="29" t="n">
        <v>10.36040300922574</v>
      </c>
      <c r="BX38" s="29" t="n">
        <v>215343.9219176526</v>
      </c>
      <c r="BY38" s="29" t="n">
        <v>18584905.66008801</v>
      </c>
      <c r="BZ38" s="29" t="n">
        <v>422.915968574653</v>
      </c>
      <c r="CA38" s="29" t="n">
        <v>4838.062158371644</v>
      </c>
      <c r="CB38" s="29" t="n">
        <v>11222.6842089819</v>
      </c>
      <c r="CC38" s="29" t="n">
        <v>99.81689789197878</v>
      </c>
      <c r="CD38" s="29" t="n">
        <v>1052.433057766737</v>
      </c>
      <c r="CE38" s="29" t="n">
        <v>2930.965312868985</v>
      </c>
      <c r="CF38" s="29" t="n">
        <v>2648.829010901659</v>
      </c>
      <c r="CG38" s="29" t="n">
        <v>45113.35242883959</v>
      </c>
      <c r="CH38" s="29" t="n">
        <v>139425.4899182319</v>
      </c>
      <c r="CI38" s="29" t="n">
        <v>4175.604799496114</v>
      </c>
      <c r="CJ38" s="29" t="n">
        <v>73035.58912622141</v>
      </c>
      <c r="CK38" s="29" t="n">
        <v>9231.499248600396</v>
      </c>
      <c r="CL38" s="29" t="n">
        <v>45444.87486080094</v>
      </c>
      <c r="CM38" s="29" t="n">
        <v>13106.16795357318</v>
      </c>
      <c r="CN38" s="29" t="n">
        <v>208.6219123544074</v>
      </c>
      <c r="CO38" s="29" t="n">
        <v>93.70577490552344</v>
      </c>
      <c r="CP38" s="29" t="n">
        <v>9351.789948197958</v>
      </c>
      <c r="CQ38" s="29" t="n">
        <v>3632.883442177464</v>
      </c>
      <c r="CR38" s="29" t="n">
        <v>185093.7795280598</v>
      </c>
      <c r="CS38" s="29" t="n">
        <v>2000.104702607842</v>
      </c>
      <c r="CT38" s="29" t="n">
        <v>1826.315543454794</v>
      </c>
      <c r="CU38" s="29" t="n">
        <v>151932.4607802463</v>
      </c>
      <c r="CV38" s="29" t="n">
        <v>97689.01854806951</v>
      </c>
      <c r="CW38" s="29" t="n">
        <v>22274.04243546101</v>
      </c>
      <c r="CX38" s="29" t="n">
        <v>5185.371554026287</v>
      </c>
      <c r="CY38" s="29" t="n">
        <v>90161.91664537683</v>
      </c>
      <c r="CZ38" s="29" t="n">
        <v>49153.67125852441</v>
      </c>
      <c r="DA38" s="29" t="n">
        <v>10210.43041923547</v>
      </c>
      <c r="DB38" s="29" t="n">
        <v>37583.65102651333</v>
      </c>
      <c r="DC38" s="29" t="n">
        <v>49481.67181960354</v>
      </c>
      <c r="DD38" s="29" t="n">
        <v>566.9743307648325</v>
      </c>
      <c r="DE38" s="29" t="n">
        <v>0</v>
      </c>
      <c r="DF38" s="29">
        <f>SUM(C38:DE38)</f>
        <v/>
      </c>
      <c r="DG38" s="29" t="n">
        <v>0</v>
      </c>
      <c r="DH38" s="29" t="n">
        <v>0</v>
      </c>
      <c r="DI38" s="29" t="n">
        <v>79024045.17657548</v>
      </c>
      <c r="DJ38" s="29" t="n">
        <v>0</v>
      </c>
      <c r="DK38" s="29">
        <f>SUM(DG38:DJ38)</f>
        <v/>
      </c>
      <c r="DL38" s="29">
        <f>DF38+DK38</f>
        <v/>
      </c>
    </row>
    <row r="39">
      <c r="A39" s="30" t="inlineStr">
        <is>
          <t>15530</t>
        </is>
      </c>
      <c r="B39" s="30" t="inlineStr">
        <is>
          <t>15530 - Elaboración de cerveza, bebidas malteadas y de malta</t>
        </is>
      </c>
      <c r="C39" s="31" t="n">
        <v>9927.069037814115</v>
      </c>
      <c r="D39" s="31" t="n">
        <v>1067.987324539583</v>
      </c>
      <c r="E39" s="31" t="n">
        <v>0</v>
      </c>
      <c r="F39" s="31" t="n">
        <v>0</v>
      </c>
      <c r="G39" s="31" t="n">
        <v>0</v>
      </c>
      <c r="H39" s="31" t="n">
        <v>7.227914134335596</v>
      </c>
      <c r="I39" s="31" t="n">
        <v>0.06634560877251007</v>
      </c>
      <c r="J39" s="31" t="n">
        <v>24.60006871380178</v>
      </c>
      <c r="K39" s="31" t="n">
        <v>40.55175853762277</v>
      </c>
      <c r="L39" s="31" t="n">
        <v>2.890388002716102</v>
      </c>
      <c r="M39" s="31" t="n">
        <v>4.775493412432906</v>
      </c>
      <c r="N39" s="31" t="n">
        <v>40082.87490541479</v>
      </c>
      <c r="O39" s="31" t="n">
        <v>16971.45597261817</v>
      </c>
      <c r="P39" s="31" t="n">
        <v>2470.19534118461</v>
      </c>
      <c r="Q39" s="31" t="n">
        <v>149980.7923470774</v>
      </c>
      <c r="R39" s="31" t="n">
        <v>15510.04206667424</v>
      </c>
      <c r="S39" s="31" t="n">
        <v>3780.360187658266</v>
      </c>
      <c r="T39" s="31" t="n">
        <v>32017.68332225527</v>
      </c>
      <c r="U39" s="31" t="n">
        <v>8762.799466484288</v>
      </c>
      <c r="V39" s="31" t="n">
        <v>51983.7041189408</v>
      </c>
      <c r="W39" s="31" t="n">
        <v>114.1614397469527</v>
      </c>
      <c r="X39" s="31" t="n">
        <v>64.12492636822185</v>
      </c>
      <c r="Y39" s="31" t="n">
        <v>71233.26547437038</v>
      </c>
      <c r="Z39" s="31" t="n">
        <v>125.9782979139608</v>
      </c>
      <c r="AA39" s="31" t="n">
        <v>6982.760923107307</v>
      </c>
      <c r="AB39" s="31" t="n">
        <v>10440020.39736005</v>
      </c>
      <c r="AC39" s="31" t="n">
        <v>12962.58338016536</v>
      </c>
      <c r="AD39" s="31" t="n">
        <v>203.2834072815939</v>
      </c>
      <c r="AE39" s="31" t="n">
        <v>32208.98808073047</v>
      </c>
      <c r="AF39" s="31" t="n">
        <v>38142.59538526146</v>
      </c>
      <c r="AG39" s="31" t="n">
        <v>4014.678182607618</v>
      </c>
      <c r="AH39" s="31" t="n">
        <v>5414.123532652265</v>
      </c>
      <c r="AI39" s="31" t="n">
        <v>1633.24382115308</v>
      </c>
      <c r="AJ39" s="31" t="n">
        <v>37830.37417403365</v>
      </c>
      <c r="AK39" s="31" t="n">
        <v>31236.96019745896</v>
      </c>
      <c r="AL39" s="31" t="n">
        <v>20545.43889424839</v>
      </c>
      <c r="AM39" s="31" t="n">
        <v>4050.81571012273</v>
      </c>
      <c r="AN39" s="31" t="n">
        <v>4969.331843661297</v>
      </c>
      <c r="AO39" s="31" t="n">
        <v>1508.349400629554</v>
      </c>
      <c r="AP39" s="31" t="n">
        <v>2771.345452501816</v>
      </c>
      <c r="AQ39" s="31" t="n">
        <v>87299.01151029965</v>
      </c>
      <c r="AR39" s="31" t="n">
        <v>5397.408444185025</v>
      </c>
      <c r="AS39" s="31" t="n">
        <v>15375.00529074914</v>
      </c>
      <c r="AT39" s="31" t="n">
        <v>186.7368917069763</v>
      </c>
      <c r="AU39" s="31" t="n">
        <v>3768.939554415695</v>
      </c>
      <c r="AV39" s="31" t="n">
        <v>73045.39045198009</v>
      </c>
      <c r="AW39" s="31" t="n">
        <v>30308.88074593496</v>
      </c>
      <c r="AX39" s="31" t="n">
        <v>96328.61180265022</v>
      </c>
      <c r="AY39" s="31" t="n">
        <v>9902.558095063907</v>
      </c>
      <c r="AZ39" s="31" t="n">
        <v>46617.53475415481</v>
      </c>
      <c r="BA39" s="31" t="n">
        <v>14936.33192678772</v>
      </c>
      <c r="BB39" s="31" t="n">
        <v>52779.38221228408</v>
      </c>
      <c r="BC39" s="31" t="n">
        <v>11975.921551432</v>
      </c>
      <c r="BD39" s="31" t="n">
        <v>693.9742229754561</v>
      </c>
      <c r="BE39" s="31" t="n">
        <v>12525.60283631312</v>
      </c>
      <c r="BF39" s="31" t="n">
        <v>5433.959414129291</v>
      </c>
      <c r="BG39" s="31" t="n">
        <v>3958.28654342959</v>
      </c>
      <c r="BH39" s="31" t="n">
        <v>107006.8014493308</v>
      </c>
      <c r="BI39" s="31" t="n">
        <v>695.8303747805231</v>
      </c>
      <c r="BJ39" s="31" t="n">
        <v>4605.666614211527</v>
      </c>
      <c r="BK39" s="31" t="n">
        <v>4590.090683136409</v>
      </c>
      <c r="BL39" s="31" t="n">
        <v>17817.60895408235</v>
      </c>
      <c r="BM39" s="31" t="n">
        <v>6249.93829136866</v>
      </c>
      <c r="BN39" s="31" t="n">
        <v>6525.094696175125</v>
      </c>
      <c r="BO39" s="31" t="n">
        <v>39506.06757312828</v>
      </c>
      <c r="BP39" s="31" t="n">
        <v>93.03715134710919</v>
      </c>
      <c r="BQ39" s="31" t="n">
        <v>15.36842853147341</v>
      </c>
      <c r="BR39" s="31" t="n">
        <v>7.68811706654417</v>
      </c>
      <c r="BS39" s="31" t="n">
        <v>0</v>
      </c>
      <c r="BT39" s="31" t="n">
        <v>119.0573965028989</v>
      </c>
      <c r="BU39" s="31" t="n">
        <v>14513.54809502182</v>
      </c>
      <c r="BV39" s="31" t="n">
        <v>39834.09531015946</v>
      </c>
      <c r="BW39" s="31" t="n">
        <v>0</v>
      </c>
      <c r="BX39" s="31" t="n">
        <v>188964.7503775118</v>
      </c>
      <c r="BY39" s="31" t="n">
        <v>11068459.64483755</v>
      </c>
      <c r="BZ39" s="31" t="n">
        <v>8.16968404578663</v>
      </c>
      <c r="CA39" s="31" t="n">
        <v>153.4806153386527</v>
      </c>
      <c r="CB39" s="31" t="n">
        <v>8532.526019172194</v>
      </c>
      <c r="CC39" s="31" t="n">
        <v>0.6819846955523349</v>
      </c>
      <c r="CD39" s="31" t="n">
        <v>27.15804733033968</v>
      </c>
      <c r="CE39" s="31" t="n">
        <v>238.8442840819905</v>
      </c>
      <c r="CF39" s="31" t="n">
        <v>84.20048759754809</v>
      </c>
      <c r="CG39" s="31" t="n">
        <v>399.0679950224794</v>
      </c>
      <c r="CH39" s="31" t="n">
        <v>12807.45181503166</v>
      </c>
      <c r="CI39" s="31" t="n">
        <v>75.01322466647252</v>
      </c>
      <c r="CJ39" s="31" t="n">
        <v>206.6422741886155</v>
      </c>
      <c r="CK39" s="31" t="n">
        <v>50.32589170928807</v>
      </c>
      <c r="CL39" s="31" t="n">
        <v>94.86288006307048</v>
      </c>
      <c r="CM39" s="31" t="n">
        <v>50.83232480045579</v>
      </c>
      <c r="CN39" s="31" t="n">
        <v>0</v>
      </c>
      <c r="CO39" s="31" t="n">
        <v>0</v>
      </c>
      <c r="CP39" s="31" t="n">
        <v>8.173958058117931</v>
      </c>
      <c r="CQ39" s="31" t="n">
        <v>52.52343025637478</v>
      </c>
      <c r="CR39" s="31" t="n">
        <v>1113.96335650173</v>
      </c>
      <c r="CS39" s="31" t="n">
        <v>6.550598637713619</v>
      </c>
      <c r="CT39" s="31" t="n">
        <v>5.981416920520037</v>
      </c>
      <c r="CU39" s="31" t="n">
        <v>1257.375294518315</v>
      </c>
      <c r="CV39" s="31" t="n">
        <v>319.1118560097223</v>
      </c>
      <c r="CW39" s="31" t="n">
        <v>180.887453216068</v>
      </c>
      <c r="CX39" s="31" t="n">
        <v>47.54496834236407</v>
      </c>
      <c r="CY39" s="31" t="n">
        <v>330.5369772900417</v>
      </c>
      <c r="CZ39" s="31" t="n">
        <v>10.19055951130668</v>
      </c>
      <c r="DA39" s="31" t="n">
        <v>48.71802377241727</v>
      </c>
      <c r="DB39" s="31" t="n">
        <v>29.85092967818936</v>
      </c>
      <c r="DC39" s="31" t="n">
        <v>2751.815570235407</v>
      </c>
      <c r="DD39" s="31" t="n">
        <v>16.08085691319121</v>
      </c>
      <c r="DE39" s="31" t="n">
        <v>0</v>
      </c>
      <c r="DF39" s="31">
        <f>SUM(C39:DE39)</f>
        <v/>
      </c>
      <c r="DG39" s="31" t="n">
        <v>0</v>
      </c>
      <c r="DH39" s="31" t="n">
        <v>0</v>
      </c>
      <c r="DI39" s="31" t="n">
        <v>53979263.97255494</v>
      </c>
      <c r="DJ39" s="31" t="n">
        <v>0</v>
      </c>
      <c r="DK39" s="31">
        <f>SUM(DG39:DJ39)</f>
        <v/>
      </c>
      <c r="DL39" s="31">
        <f>DF39+DK39</f>
        <v/>
      </c>
    </row>
    <row r="40">
      <c r="A40" s="28" t="inlineStr">
        <is>
          <t>1554</t>
        </is>
      </c>
      <c r="B40" s="28" t="inlineStr">
        <is>
          <t>15541 - Elaboración de soda y aguas. 15542 - Elaboración de bebidas gaseosas, excepto soda. 15549 - Elaboración de hielo, jugos envasados para diluir y otras bebidas no alcohólicas</t>
        </is>
      </c>
      <c r="C40" s="29" t="n">
        <v>89283.05268099159</v>
      </c>
      <c r="D40" s="29" t="n">
        <v>9698.19078736956</v>
      </c>
      <c r="E40" s="29" t="n">
        <v>0</v>
      </c>
      <c r="F40" s="29" t="n">
        <v>0</v>
      </c>
      <c r="G40" s="29" t="n">
        <v>0</v>
      </c>
      <c r="H40" s="29" t="n">
        <v>10168.92035531839</v>
      </c>
      <c r="I40" s="29" t="n">
        <v>11.15694491508441</v>
      </c>
      <c r="J40" s="29" t="n">
        <v>3148.10676727467</v>
      </c>
      <c r="K40" s="29" t="n">
        <v>9798.493487998703</v>
      </c>
      <c r="L40" s="29" t="n">
        <v>1573.51409046023</v>
      </c>
      <c r="M40" s="29" t="n">
        <v>503.5647149585419</v>
      </c>
      <c r="N40" s="29" t="n">
        <v>17998.87140145288</v>
      </c>
      <c r="O40" s="29" t="n">
        <v>4962.394300675111</v>
      </c>
      <c r="P40" s="29" t="n">
        <v>52529.46264233469</v>
      </c>
      <c r="Q40" s="29" t="n">
        <v>34651.11274547831</v>
      </c>
      <c r="R40" s="29" t="n">
        <v>15856.17963098147</v>
      </c>
      <c r="S40" s="29" t="n">
        <v>15591.32493164563</v>
      </c>
      <c r="T40" s="29" t="n">
        <v>38044.37312159859</v>
      </c>
      <c r="U40" s="29" t="n">
        <v>23007.63255545287</v>
      </c>
      <c r="V40" s="29" t="n">
        <v>8694.244719894363</v>
      </c>
      <c r="W40" s="29" t="n">
        <v>2966.075010517794</v>
      </c>
      <c r="X40" s="29" t="n">
        <v>2142.314044327919</v>
      </c>
      <c r="Y40" s="29" t="n">
        <v>64023.79347140716</v>
      </c>
      <c r="Z40" s="29" t="n">
        <v>7156.720177052332</v>
      </c>
      <c r="AA40" s="29" t="n">
        <v>120915.606472672</v>
      </c>
      <c r="AB40" s="29" t="n">
        <v>1363.073498601124</v>
      </c>
      <c r="AC40" s="29" t="n">
        <v>755403.226826763</v>
      </c>
      <c r="AD40" s="29" t="n">
        <v>8871.712202330467</v>
      </c>
      <c r="AE40" s="29" t="n">
        <v>6718.097633421363</v>
      </c>
      <c r="AF40" s="29" t="n">
        <v>8412.680046108982</v>
      </c>
      <c r="AG40" s="29" t="n">
        <v>1830.043025518649</v>
      </c>
      <c r="AH40" s="29" t="n">
        <v>1895.380235343295</v>
      </c>
      <c r="AI40" s="29" t="n">
        <v>1195.62676242558</v>
      </c>
      <c r="AJ40" s="29" t="n">
        <v>45648.3981381394</v>
      </c>
      <c r="AK40" s="29" t="n">
        <v>13206.24914605028</v>
      </c>
      <c r="AL40" s="29" t="n">
        <v>4201.382477309609</v>
      </c>
      <c r="AM40" s="29" t="n">
        <v>32244.91557030156</v>
      </c>
      <c r="AN40" s="29" t="n">
        <v>13045.00730456932</v>
      </c>
      <c r="AO40" s="29" t="n">
        <v>3896.508162316809</v>
      </c>
      <c r="AP40" s="29" t="n">
        <v>6513.705730977412</v>
      </c>
      <c r="AQ40" s="29" t="n">
        <v>51288.58534449198</v>
      </c>
      <c r="AR40" s="29" t="n">
        <v>4974.892710604669</v>
      </c>
      <c r="AS40" s="29" t="n">
        <v>5959.055272736385</v>
      </c>
      <c r="AT40" s="29" t="n">
        <v>1231.415610108302</v>
      </c>
      <c r="AU40" s="29" t="n">
        <v>4012.085463874198</v>
      </c>
      <c r="AV40" s="29" t="n">
        <v>52833.08896324171</v>
      </c>
      <c r="AW40" s="29" t="n">
        <v>28009.28017981751</v>
      </c>
      <c r="AX40" s="29" t="n">
        <v>49428.85132158922</v>
      </c>
      <c r="AY40" s="29" t="n">
        <v>2709.097520742902</v>
      </c>
      <c r="AZ40" s="29" t="n">
        <v>14792.78924069202</v>
      </c>
      <c r="BA40" s="29" t="n">
        <v>3686.775514037948</v>
      </c>
      <c r="BB40" s="29" t="n">
        <v>12099.46073600014</v>
      </c>
      <c r="BC40" s="29" t="n">
        <v>2676.474489027331</v>
      </c>
      <c r="BD40" s="29" t="n">
        <v>189.5752185431777</v>
      </c>
      <c r="BE40" s="29" t="n">
        <v>2612.090311938889</v>
      </c>
      <c r="BF40" s="29" t="n">
        <v>5553.334734137989</v>
      </c>
      <c r="BG40" s="29" t="n">
        <v>1063.862035551634</v>
      </c>
      <c r="BH40" s="29" t="n">
        <v>17674.14062131534</v>
      </c>
      <c r="BI40" s="29" t="n">
        <v>170.9459436358418</v>
      </c>
      <c r="BJ40" s="29" t="n">
        <v>1429.55607759598</v>
      </c>
      <c r="BK40" s="29" t="n">
        <v>24078.12486202759</v>
      </c>
      <c r="BL40" s="29" t="n">
        <v>4980.688658130512</v>
      </c>
      <c r="BM40" s="29" t="n">
        <v>1628.016111009954</v>
      </c>
      <c r="BN40" s="29" t="n">
        <v>2723.77236503366</v>
      </c>
      <c r="BO40" s="29" t="n">
        <v>36310.9804594059</v>
      </c>
      <c r="BP40" s="29" t="n">
        <v>4491.821193605194</v>
      </c>
      <c r="BQ40" s="29" t="n">
        <v>1497.447310017852</v>
      </c>
      <c r="BR40" s="29" t="n">
        <v>438.3257384555513</v>
      </c>
      <c r="BS40" s="29" t="n">
        <v>9660.177272451248</v>
      </c>
      <c r="BT40" s="29" t="n">
        <v>10135.87872919813</v>
      </c>
      <c r="BU40" s="29" t="n">
        <v>17643.63617517076</v>
      </c>
      <c r="BV40" s="29" t="n">
        <v>58777.71833171415</v>
      </c>
      <c r="BW40" s="29" t="n">
        <v>94.73976515500681</v>
      </c>
      <c r="BX40" s="29" t="n">
        <v>376349.3111679697</v>
      </c>
      <c r="BY40" s="29" t="n">
        <v>18990635.77981637</v>
      </c>
      <c r="BZ40" s="29" t="n">
        <v>246.0839712737161</v>
      </c>
      <c r="CA40" s="29" t="n">
        <v>4150.018019550936</v>
      </c>
      <c r="CB40" s="29" t="n">
        <v>1991.291669802889</v>
      </c>
      <c r="CC40" s="29" t="n">
        <v>74.20024726102714</v>
      </c>
      <c r="CD40" s="29" t="n">
        <v>7354.173010353345</v>
      </c>
      <c r="CE40" s="29" t="n">
        <v>4937.709287728378</v>
      </c>
      <c r="CF40" s="29" t="n">
        <v>1019.865365815257</v>
      </c>
      <c r="CG40" s="29" t="n">
        <v>48888.97986000322</v>
      </c>
      <c r="CH40" s="29" t="n">
        <v>171134.4504426171</v>
      </c>
      <c r="CI40" s="29" t="n">
        <v>16331.55771755264</v>
      </c>
      <c r="CJ40" s="29" t="n">
        <v>5284.664436670053</v>
      </c>
      <c r="CK40" s="29" t="n">
        <v>3903.477876777938</v>
      </c>
      <c r="CL40" s="29" t="n">
        <v>3721.178062667875</v>
      </c>
      <c r="CM40" s="29" t="n">
        <v>1658.081886336098</v>
      </c>
      <c r="CN40" s="29" t="n">
        <v>677.4053301600445</v>
      </c>
      <c r="CO40" s="29" t="n">
        <v>304.2671341251267</v>
      </c>
      <c r="CP40" s="29" t="n">
        <v>608.7767156134873</v>
      </c>
      <c r="CQ40" s="29" t="n">
        <v>1183.59089602231</v>
      </c>
      <c r="CR40" s="29" t="n">
        <v>76823.143810794</v>
      </c>
      <c r="CS40" s="29" t="n">
        <v>3241.641299356743</v>
      </c>
      <c r="CT40" s="29" t="n">
        <v>2959.974987109961</v>
      </c>
      <c r="CU40" s="29" t="n">
        <v>50187.03540269072</v>
      </c>
      <c r="CV40" s="29" t="n">
        <v>160782.9960889564</v>
      </c>
      <c r="CW40" s="29" t="n">
        <v>97785.5144616274</v>
      </c>
      <c r="CX40" s="29" t="n">
        <v>12158.29341419684</v>
      </c>
      <c r="CY40" s="29" t="n">
        <v>392579.2324369393</v>
      </c>
      <c r="CZ40" s="29" t="n">
        <v>19477.27044785306</v>
      </c>
      <c r="DA40" s="29" t="n">
        <v>2898.551713659535</v>
      </c>
      <c r="DB40" s="29" t="n">
        <v>6420.076813271781</v>
      </c>
      <c r="DC40" s="29" t="n">
        <v>76743.73754056692</v>
      </c>
      <c r="DD40" s="29" t="n">
        <v>35969.08380411543</v>
      </c>
      <c r="DE40" s="29" t="n">
        <v>0</v>
      </c>
      <c r="DF40" s="29">
        <f>SUM(C40:DE40)</f>
        <v/>
      </c>
      <c r="DG40" s="29" t="n">
        <v>0</v>
      </c>
      <c r="DH40" s="29" t="n">
        <v>0</v>
      </c>
      <c r="DI40" s="29" t="n">
        <v>133570667.9432152</v>
      </c>
      <c r="DJ40" s="29" t="n">
        <v>0</v>
      </c>
      <c r="DK40" s="29">
        <f>SUM(DG40:DJ40)</f>
        <v/>
      </c>
      <c r="DL40" s="29">
        <f>DF40+DK40</f>
        <v/>
      </c>
    </row>
    <row r="41">
      <c r="A41" s="30" t="inlineStr">
        <is>
          <t>160</t>
        </is>
      </c>
      <c r="B41" s="30" t="inlineStr">
        <is>
          <t>16001 - Preparación de hojas de tabaco. 16009 - Elaboración de cigarrillos y productos de tabaco n.c.p.</t>
        </is>
      </c>
      <c r="C41" s="31" t="n">
        <v>22028.06193083795</v>
      </c>
      <c r="D41" s="31" t="n">
        <v>2369.852656075422</v>
      </c>
      <c r="E41" s="31" t="n">
        <v>0</v>
      </c>
      <c r="F41" s="31" t="n">
        <v>0</v>
      </c>
      <c r="G41" s="31" t="n">
        <v>0</v>
      </c>
      <c r="H41" s="31" t="n">
        <v>9.28369262515432</v>
      </c>
      <c r="I41" s="31" t="n">
        <v>0.2071267603986512</v>
      </c>
      <c r="J41" s="31" t="n">
        <v>47.38618770822691</v>
      </c>
      <c r="K41" s="31" t="n">
        <v>71.11326003808927</v>
      </c>
      <c r="L41" s="31" t="n">
        <v>3.71247821791073</v>
      </c>
      <c r="M41" s="31" t="n">
        <v>7.009830712491623</v>
      </c>
      <c r="N41" s="31" t="n">
        <v>9709.551188437803</v>
      </c>
      <c r="O41" s="31" t="n">
        <v>2641.745319930856</v>
      </c>
      <c r="P41" s="31" t="n">
        <v>464.363874280222</v>
      </c>
      <c r="Q41" s="31" t="n">
        <v>20455.01501939605</v>
      </c>
      <c r="R41" s="31" t="n">
        <v>2589.853122471086</v>
      </c>
      <c r="S41" s="31" t="n">
        <v>1103.246034255497</v>
      </c>
      <c r="T41" s="31" t="n">
        <v>21819.19600579675</v>
      </c>
      <c r="U41" s="31" t="n">
        <v>1562.665394808406</v>
      </c>
      <c r="V41" s="31" t="n">
        <v>6869.603428076172</v>
      </c>
      <c r="W41" s="31" t="n">
        <v>250.6529993727706</v>
      </c>
      <c r="X41" s="31" t="n">
        <v>132.1469394941099</v>
      </c>
      <c r="Y41" s="31" t="n">
        <v>2212.541361415928</v>
      </c>
      <c r="Z41" s="31" t="n">
        <v>279.99622417251</v>
      </c>
      <c r="AA41" s="31" t="n">
        <v>1496.535770636593</v>
      </c>
      <c r="AB41" s="31" t="n">
        <v>89.1065358254142</v>
      </c>
      <c r="AC41" s="31" t="n">
        <v>1841.749808123561</v>
      </c>
      <c r="AD41" s="31" t="n">
        <v>6243999.449378169</v>
      </c>
      <c r="AE41" s="31" t="n">
        <v>4638.267176416883</v>
      </c>
      <c r="AF41" s="31" t="n">
        <v>5373.095629956026</v>
      </c>
      <c r="AG41" s="31" t="n">
        <v>687.7288085405224</v>
      </c>
      <c r="AH41" s="31" t="n">
        <v>994.8838320334971</v>
      </c>
      <c r="AI41" s="31" t="n">
        <v>285.1649161011356</v>
      </c>
      <c r="AJ41" s="31" t="n">
        <v>26135.33016754027</v>
      </c>
      <c r="AK41" s="31" t="n">
        <v>4361.586123835672</v>
      </c>
      <c r="AL41" s="31" t="n">
        <v>2762.485083730337</v>
      </c>
      <c r="AM41" s="31" t="n">
        <v>7181.829473970502</v>
      </c>
      <c r="AN41" s="31" t="n">
        <v>3761.15614394046</v>
      </c>
      <c r="AO41" s="31" t="n">
        <v>431.2827240843944</v>
      </c>
      <c r="AP41" s="31" t="n">
        <v>750.25605013831</v>
      </c>
      <c r="AQ41" s="31" t="n">
        <v>14758.20154094671</v>
      </c>
      <c r="AR41" s="31" t="n">
        <v>781.6477484171975</v>
      </c>
      <c r="AS41" s="31" t="n">
        <v>2777.622535339219</v>
      </c>
      <c r="AT41" s="31" t="n">
        <v>94.85744874911482</v>
      </c>
      <c r="AU41" s="31" t="n">
        <v>1456.047307481719</v>
      </c>
      <c r="AV41" s="31" t="n">
        <v>34873.40472348995</v>
      </c>
      <c r="AW41" s="31" t="n">
        <v>19131.09832180229</v>
      </c>
      <c r="AX41" s="31" t="n">
        <v>35991.92050000341</v>
      </c>
      <c r="AY41" s="31" t="n">
        <v>1467.338067726118</v>
      </c>
      <c r="AZ41" s="31" t="n">
        <v>10219.72879805748</v>
      </c>
      <c r="BA41" s="31" t="n">
        <v>2142.82038380228</v>
      </c>
      <c r="BB41" s="31" t="n">
        <v>7519.833736209027</v>
      </c>
      <c r="BC41" s="31" t="n">
        <v>1637.316093555053</v>
      </c>
      <c r="BD41" s="31" t="n">
        <v>102.5890363096155</v>
      </c>
      <c r="BE41" s="31" t="n">
        <v>1690.330274166359</v>
      </c>
      <c r="BF41" s="31" t="n">
        <v>3505.073454067115</v>
      </c>
      <c r="BG41" s="31" t="n">
        <v>648.7943024166215</v>
      </c>
      <c r="BH41" s="31" t="n">
        <v>13939.92195365617</v>
      </c>
      <c r="BI41" s="31" t="n">
        <v>93.92613620662215</v>
      </c>
      <c r="BJ41" s="31" t="n">
        <v>669.2141208130532</v>
      </c>
      <c r="BK41" s="31" t="n">
        <v>3321.449404522664</v>
      </c>
      <c r="BL41" s="31" t="n">
        <v>2729.597438762821</v>
      </c>
      <c r="BM41" s="31" t="n">
        <v>861.6347802992094</v>
      </c>
      <c r="BN41" s="31" t="n">
        <v>1230.441824687016</v>
      </c>
      <c r="BO41" s="31" t="n">
        <v>25269.36914053746</v>
      </c>
      <c r="BP41" s="31" t="n">
        <v>157.8737272927277</v>
      </c>
      <c r="BQ41" s="31" t="n">
        <v>34.25528118699258</v>
      </c>
      <c r="BR41" s="31" t="n">
        <v>34.43414327251849</v>
      </c>
      <c r="BS41" s="31" t="n">
        <v>0</v>
      </c>
      <c r="BT41" s="31" t="n">
        <v>174.9635635245669</v>
      </c>
      <c r="BU41" s="31" t="n">
        <v>2245.07569238742</v>
      </c>
      <c r="BV41" s="31" t="n">
        <v>8214.525368650682</v>
      </c>
      <c r="BW41" s="31" t="n">
        <v>0</v>
      </c>
      <c r="BX41" s="31" t="n">
        <v>1699.175175482306</v>
      </c>
      <c r="BY41" s="31" t="n">
        <v>716.2870323623623</v>
      </c>
      <c r="BZ41" s="31" t="n">
        <v>16.48782155434774</v>
      </c>
      <c r="CA41" s="31" t="n">
        <v>304.9720292269763</v>
      </c>
      <c r="CB41" s="31" t="n">
        <v>1153.523196570554</v>
      </c>
      <c r="CC41" s="31" t="n">
        <v>1.289229433385227</v>
      </c>
      <c r="CD41" s="31" t="n">
        <v>34.88239608666054</v>
      </c>
      <c r="CE41" s="31" t="n">
        <v>363.7527248157751</v>
      </c>
      <c r="CF41" s="31" t="n">
        <v>170.1421698472693</v>
      </c>
      <c r="CG41" s="31" t="n">
        <v>886.9363159433178</v>
      </c>
      <c r="CH41" s="31" t="n">
        <v>28505.1036959113</v>
      </c>
      <c r="CI41" s="31" t="n">
        <v>138.8798409425059</v>
      </c>
      <c r="CJ41" s="31" t="n">
        <v>265.5501252699374</v>
      </c>
      <c r="CK41" s="31" t="n">
        <v>67.50597099371738</v>
      </c>
      <c r="CL41" s="31" t="n">
        <v>136.9813533267274</v>
      </c>
      <c r="CM41" s="31" t="n">
        <v>71.28475143289691</v>
      </c>
      <c r="CN41" s="31" t="n">
        <v>286.899215628361</v>
      </c>
      <c r="CO41" s="31" t="n">
        <v>128.8652424706549</v>
      </c>
      <c r="CP41" s="31" t="n">
        <v>12.63620232159697</v>
      </c>
      <c r="CQ41" s="31" t="n">
        <v>103.4511792475647</v>
      </c>
      <c r="CR41" s="31" t="n">
        <v>2475.843622441773</v>
      </c>
      <c r="CS41" s="31" t="n">
        <v>12.65359933532031</v>
      </c>
      <c r="CT41" s="31" t="n">
        <v>11.55412769972166</v>
      </c>
      <c r="CU41" s="31" t="n">
        <v>2739.787059200944</v>
      </c>
      <c r="CV41" s="31" t="n">
        <v>618.7390239397407</v>
      </c>
      <c r="CW41" s="31" t="n">
        <v>330.579455628427</v>
      </c>
      <c r="CX41" s="31" t="n">
        <v>73.12916966962001</v>
      </c>
      <c r="CY41" s="31" t="n">
        <v>678.1773790159391</v>
      </c>
      <c r="CZ41" s="31" t="n">
        <v>46.44775140466824</v>
      </c>
      <c r="DA41" s="31" t="n">
        <v>81.44377782909089</v>
      </c>
      <c r="DB41" s="31" t="n">
        <v>48.66907511949437</v>
      </c>
      <c r="DC41" s="31" t="n">
        <v>6032.37221041444</v>
      </c>
      <c r="DD41" s="31" t="n">
        <v>24.89360753301354</v>
      </c>
      <c r="DE41" s="31" t="n">
        <v>0</v>
      </c>
      <c r="DF41" s="31">
        <f>SUM(C41:DE41)</f>
        <v/>
      </c>
      <c r="DG41" s="31" t="n">
        <v>0</v>
      </c>
      <c r="DH41" s="31" t="n">
        <v>0</v>
      </c>
      <c r="DI41" s="31" t="n">
        <v>38666261.27231187</v>
      </c>
      <c r="DJ41" s="31" t="n">
        <v>0</v>
      </c>
      <c r="DK41" s="31">
        <f>SUM(DG41:DJ41)</f>
        <v/>
      </c>
      <c r="DL41" s="31">
        <f>DF41+DK41</f>
        <v/>
      </c>
    </row>
    <row r="42">
      <c r="A42" s="28" t="inlineStr">
        <is>
          <t>171/2</t>
        </is>
      </c>
      <c r="B42" s="28" t="inlineStr">
        <is>
          <t>Hilatura, tejedura y acabado de productos textiles. Fabricación de otros productos textiles</t>
        </is>
      </c>
      <c r="C42" s="29" t="n">
        <v>523945.913958875</v>
      </c>
      <c r="D42" s="29" t="n">
        <v>72839.48616244264</v>
      </c>
      <c r="E42" s="29" t="n">
        <v>0</v>
      </c>
      <c r="F42" s="29" t="n">
        <v>1355.63288602228</v>
      </c>
      <c r="G42" s="29" t="n">
        <v>2053.65520646688</v>
      </c>
      <c r="H42" s="29" t="n">
        <v>17674.51049231914</v>
      </c>
      <c r="I42" s="29" t="n">
        <v>2.113985360538805</v>
      </c>
      <c r="J42" s="29" t="n">
        <v>66292.76422459439</v>
      </c>
      <c r="K42" s="29" t="n">
        <v>2754.122697582638</v>
      </c>
      <c r="L42" s="29" t="n">
        <v>2786.502023227261</v>
      </c>
      <c r="M42" s="29" t="n">
        <v>3649.710785202284</v>
      </c>
      <c r="N42" s="29" t="n">
        <v>296697.2170436481</v>
      </c>
      <c r="O42" s="29" t="n">
        <v>139918.2578801025</v>
      </c>
      <c r="P42" s="29" t="n">
        <v>22177.68615971214</v>
      </c>
      <c r="Q42" s="29" t="n">
        <v>4960362.562327581</v>
      </c>
      <c r="R42" s="29" t="n">
        <v>153446.2973771825</v>
      </c>
      <c r="S42" s="29" t="n">
        <v>55087.77199188604</v>
      </c>
      <c r="T42" s="29" t="n">
        <v>204585.1175956059</v>
      </c>
      <c r="U42" s="29" t="n">
        <v>89557.28392225745</v>
      </c>
      <c r="V42" s="29" t="n">
        <v>425939.4344626286</v>
      </c>
      <c r="W42" s="29" t="n">
        <v>9289.981552959129</v>
      </c>
      <c r="X42" s="29" t="n">
        <v>3107.973642626032</v>
      </c>
      <c r="Y42" s="29" t="n">
        <v>70254.99284057358</v>
      </c>
      <c r="Z42" s="29" t="n">
        <v>1831.42930317073</v>
      </c>
      <c r="AA42" s="29" t="n">
        <v>59254.16544048453</v>
      </c>
      <c r="AB42" s="29" t="n">
        <v>6503.54988773676</v>
      </c>
      <c r="AC42" s="29" t="n">
        <v>123990.0062112312</v>
      </c>
      <c r="AD42" s="29" t="n">
        <v>78735.6152895842</v>
      </c>
      <c r="AE42" s="29" t="n">
        <v>22133120.6308245</v>
      </c>
      <c r="AF42" s="29" t="n">
        <v>33773217.00426771</v>
      </c>
      <c r="AG42" s="29" t="n">
        <v>385954.0655497183</v>
      </c>
      <c r="AH42" s="29" t="n">
        <v>2150223.484941159</v>
      </c>
      <c r="AI42" s="29" t="n">
        <v>94447.16767730392</v>
      </c>
      <c r="AJ42" s="29" t="n">
        <v>1384336.284230794</v>
      </c>
      <c r="AK42" s="29" t="n">
        <v>260828.2035344419</v>
      </c>
      <c r="AL42" s="29" t="n">
        <v>232477.1259093374</v>
      </c>
      <c r="AM42" s="29" t="n">
        <v>32437.90156466217</v>
      </c>
      <c r="AN42" s="29" t="n">
        <v>15706.92757591656</v>
      </c>
      <c r="AO42" s="29" t="n">
        <v>13432.17565068678</v>
      </c>
      <c r="AP42" s="29" t="n">
        <v>28531.37040398079</v>
      </c>
      <c r="AQ42" s="29" t="n">
        <v>1898049.600694641</v>
      </c>
      <c r="AR42" s="29" t="n">
        <v>6732777.835587284</v>
      </c>
      <c r="AS42" s="29" t="n">
        <v>1545727.27174385</v>
      </c>
      <c r="AT42" s="29" t="n">
        <v>11392.54780294373</v>
      </c>
      <c r="AU42" s="29" t="n">
        <v>541101.0120222396</v>
      </c>
      <c r="AV42" s="29" t="n">
        <v>328037.7496821629</v>
      </c>
      <c r="AW42" s="29" t="n">
        <v>83126.75712788122</v>
      </c>
      <c r="AX42" s="29" t="n">
        <v>531425.3047955065</v>
      </c>
      <c r="AY42" s="29" t="n">
        <v>156405.0269920385</v>
      </c>
      <c r="AZ42" s="29" t="n">
        <v>340920.1871028195</v>
      </c>
      <c r="BA42" s="29" t="n">
        <v>255587.5831649547</v>
      </c>
      <c r="BB42" s="29" t="n">
        <v>422383.1674200393</v>
      </c>
      <c r="BC42" s="29" t="n">
        <v>99273.97157422222</v>
      </c>
      <c r="BD42" s="29" t="n">
        <v>5895.280629582488</v>
      </c>
      <c r="BE42" s="29" t="n">
        <v>103214.631045405</v>
      </c>
      <c r="BF42" s="29" t="n">
        <v>14670.27709019132</v>
      </c>
      <c r="BG42" s="29" t="n">
        <v>34991.11296387422</v>
      </c>
      <c r="BH42" s="29" t="n">
        <v>878185.6969187632</v>
      </c>
      <c r="BI42" s="29" t="n">
        <v>6350.131986722162</v>
      </c>
      <c r="BJ42" s="29" t="n">
        <v>62810.65669998442</v>
      </c>
      <c r="BK42" s="29" t="n">
        <v>311171.4024142665</v>
      </c>
      <c r="BL42" s="29" t="n">
        <v>582513.0410586325</v>
      </c>
      <c r="BM42" s="29" t="n">
        <v>78692.48438090726</v>
      </c>
      <c r="BN42" s="29" t="n">
        <v>2473130.804633291</v>
      </c>
      <c r="BO42" s="29" t="n">
        <v>104828.8230732351</v>
      </c>
      <c r="BP42" s="29" t="n">
        <v>9119.339978043974</v>
      </c>
      <c r="BQ42" s="29" t="n">
        <v>2764.859422858013</v>
      </c>
      <c r="BR42" s="29" t="n">
        <v>699.0044794462303</v>
      </c>
      <c r="BS42" s="29" t="n">
        <v>73675.62980177478</v>
      </c>
      <c r="BT42" s="29" t="n">
        <v>1913467.961665608</v>
      </c>
      <c r="BU42" s="29" t="n">
        <v>2107317.054735793</v>
      </c>
      <c r="BV42" s="29" t="n">
        <v>2280427.762568539</v>
      </c>
      <c r="BW42" s="29" t="n">
        <v>1453334.81397264</v>
      </c>
      <c r="BX42" s="29" t="n">
        <v>209048.2951158062</v>
      </c>
      <c r="BY42" s="29" t="n">
        <v>7436812.464265845</v>
      </c>
      <c r="BZ42" s="29" t="n">
        <v>193.5457858027943</v>
      </c>
      <c r="CA42" s="29" t="n">
        <v>3328.032650731308</v>
      </c>
      <c r="CB42" s="29" t="n">
        <v>70515.26191195525</v>
      </c>
      <c r="CC42" s="29" t="n">
        <v>31.08647191936681</v>
      </c>
      <c r="CD42" s="29" t="n">
        <v>1533.622016559365</v>
      </c>
      <c r="CE42" s="29" t="n">
        <v>7997.219465471861</v>
      </c>
      <c r="CF42" s="29" t="n">
        <v>1328.877845621367</v>
      </c>
      <c r="CG42" s="29" t="n">
        <v>10451.75419212281</v>
      </c>
      <c r="CH42" s="29" t="n">
        <v>104207.1584405937</v>
      </c>
      <c r="CI42" s="29" t="n">
        <v>1892.5034917865</v>
      </c>
      <c r="CJ42" s="29" t="n">
        <v>20974.41926807682</v>
      </c>
      <c r="CK42" s="29" t="n">
        <v>3517.993908919525</v>
      </c>
      <c r="CL42" s="29" t="n">
        <v>39792.41512922124</v>
      </c>
      <c r="CM42" s="29" t="n">
        <v>5342.341494969792</v>
      </c>
      <c r="CN42" s="29" t="n">
        <v>2070243.31471559</v>
      </c>
      <c r="CO42" s="29" t="n">
        <v>1293642.941922013</v>
      </c>
      <c r="CP42" s="29" t="n">
        <v>1381.252598727938</v>
      </c>
      <c r="CQ42" s="29" t="n">
        <v>1334.805662446127</v>
      </c>
      <c r="CR42" s="29" t="n">
        <v>34556.78573914487</v>
      </c>
      <c r="CS42" s="29" t="n">
        <v>22962.1741909725</v>
      </c>
      <c r="CT42" s="29" t="n">
        <v>20966.99016897017</v>
      </c>
      <c r="CU42" s="29" t="n">
        <v>86627.2932982583</v>
      </c>
      <c r="CV42" s="29" t="n">
        <v>1117789.870168824</v>
      </c>
      <c r="CW42" s="29" t="n">
        <v>760646.772186002</v>
      </c>
      <c r="CX42" s="29" t="n">
        <v>172556.9041412708</v>
      </c>
      <c r="CY42" s="29" t="n">
        <v>6165767.121136862</v>
      </c>
      <c r="CZ42" s="29" t="n">
        <v>558184.200890274</v>
      </c>
      <c r="DA42" s="29" t="n">
        <v>10931.56453623679</v>
      </c>
      <c r="DB42" s="29" t="n">
        <v>198795.7884375439</v>
      </c>
      <c r="DC42" s="29" t="n">
        <v>28810.64268847564</v>
      </c>
      <c r="DD42" s="29" t="n">
        <v>630359.3703650653</v>
      </c>
      <c r="DE42" s="29" t="n">
        <v>0</v>
      </c>
      <c r="DF42" s="29">
        <f>SUM(C42:DE42)</f>
        <v/>
      </c>
      <c r="DG42" s="29" t="n">
        <v>0</v>
      </c>
      <c r="DH42" s="29" t="n">
        <v>0</v>
      </c>
      <c r="DI42" s="29" t="n">
        <v>29945864.64341988</v>
      </c>
      <c r="DJ42" s="29" t="n">
        <v>0</v>
      </c>
      <c r="DK42" s="29">
        <f>SUM(DG42:DJ42)</f>
        <v/>
      </c>
      <c r="DL42" s="29">
        <f>DF42+DK42</f>
        <v/>
      </c>
    </row>
    <row r="43">
      <c r="A43" s="30" t="inlineStr">
        <is>
          <t>18</t>
        </is>
      </c>
      <c r="B43" s="3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43" s="31" t="n">
        <v>2722914.524639287</v>
      </c>
      <c r="D43" s="31" t="n">
        <v>714230.9782583594</v>
      </c>
      <c r="E43" s="31" t="n">
        <v>0</v>
      </c>
      <c r="F43" s="31" t="n">
        <v>4390.951747097313</v>
      </c>
      <c r="G43" s="31" t="n">
        <v>0</v>
      </c>
      <c r="H43" s="31" t="n">
        <v>307893.4629970486</v>
      </c>
      <c r="I43" s="31" t="n">
        <v>4.556889347398615</v>
      </c>
      <c r="J43" s="31" t="n">
        <v>4303624.664822504</v>
      </c>
      <c r="K43" s="31" t="n">
        <v>636552.4002094161</v>
      </c>
      <c r="L43" s="31" t="n">
        <v>718.7116568604706</v>
      </c>
      <c r="M43" s="31" t="n">
        <v>279.4535165145068</v>
      </c>
      <c r="N43" s="31" t="n">
        <v>389956.353641524</v>
      </c>
      <c r="O43" s="31" t="n">
        <v>239754.4070644162</v>
      </c>
      <c r="P43" s="31" t="n">
        <v>41649.06626944481</v>
      </c>
      <c r="Q43" s="31" t="n">
        <v>857261.9767524407</v>
      </c>
      <c r="R43" s="31" t="n">
        <v>162034.2664293762</v>
      </c>
      <c r="S43" s="31" t="n">
        <v>52450.31093738987</v>
      </c>
      <c r="T43" s="31" t="n">
        <v>59336.36391499878</v>
      </c>
      <c r="U43" s="31" t="n">
        <v>182657.5117376779</v>
      </c>
      <c r="V43" s="31" t="n">
        <v>321369.6124644621</v>
      </c>
      <c r="W43" s="31" t="n">
        <v>24558.35972595045</v>
      </c>
      <c r="X43" s="31" t="n">
        <v>19015.95662785805</v>
      </c>
      <c r="Y43" s="31" t="n">
        <v>80879.2363769222</v>
      </c>
      <c r="Z43" s="31" t="n">
        <v>6920.332716348576</v>
      </c>
      <c r="AA43" s="31" t="n">
        <v>81448.75199667648</v>
      </c>
      <c r="AB43" s="31" t="n">
        <v>33891.46369728437</v>
      </c>
      <c r="AC43" s="31" t="n">
        <v>189715.6545583701</v>
      </c>
      <c r="AD43" s="31" t="n">
        <v>75725.71805312159</v>
      </c>
      <c r="AE43" s="31" t="n">
        <v>226334.368434476</v>
      </c>
      <c r="AF43" s="31" t="n">
        <v>787087.5022281208</v>
      </c>
      <c r="AG43" s="31" t="n">
        <v>87329.87183146056</v>
      </c>
      <c r="AH43" s="31" t="n">
        <v>166299.6592415963</v>
      </c>
      <c r="AI43" s="31" t="n">
        <v>81579.44883567389</v>
      </c>
      <c r="AJ43" s="31" t="n">
        <v>57681.49468478214</v>
      </c>
      <c r="AK43" s="31" t="n">
        <v>194421.3020977884</v>
      </c>
      <c r="AL43" s="31" t="n">
        <v>157190.1373880972</v>
      </c>
      <c r="AM43" s="31" t="n">
        <v>93643.98416644614</v>
      </c>
      <c r="AN43" s="31" t="n">
        <v>43801.10524573378</v>
      </c>
      <c r="AO43" s="31" t="n">
        <v>19890.61747335573</v>
      </c>
      <c r="AP43" s="31" t="n">
        <v>39253.45205393844</v>
      </c>
      <c r="AQ43" s="31" t="n">
        <v>845854.9569710151</v>
      </c>
      <c r="AR43" s="31" t="n">
        <v>54716.88884100894</v>
      </c>
      <c r="AS43" s="31" t="n">
        <v>191031.2931930278</v>
      </c>
      <c r="AT43" s="31" t="n">
        <v>18181.1718426553</v>
      </c>
      <c r="AU43" s="31" t="n">
        <v>122181.3294011411</v>
      </c>
      <c r="AV43" s="31" t="n">
        <v>205371.5684865886</v>
      </c>
      <c r="AW43" s="31" t="n">
        <v>69322.76075917968</v>
      </c>
      <c r="AX43" s="31" t="n">
        <v>442620.4775305042</v>
      </c>
      <c r="AY43" s="31" t="n">
        <v>119054.3187169013</v>
      </c>
      <c r="AZ43" s="31" t="n">
        <v>366105.6247552829</v>
      </c>
      <c r="BA43" s="31" t="n">
        <v>141331.972870184</v>
      </c>
      <c r="BB43" s="31" t="n">
        <v>411887.1270346417</v>
      </c>
      <c r="BC43" s="31" t="n">
        <v>100775.5429017312</v>
      </c>
      <c r="BD43" s="31" t="n">
        <v>4133.132642187684</v>
      </c>
      <c r="BE43" s="31" t="n">
        <v>101662.23616473</v>
      </c>
      <c r="BF43" s="31" t="n">
        <v>10480.77889947211</v>
      </c>
      <c r="BG43" s="31" t="n">
        <v>83121.48806528781</v>
      </c>
      <c r="BH43" s="31" t="n">
        <v>654819.7667985443</v>
      </c>
      <c r="BI43" s="31" t="n">
        <v>6266.586750530867</v>
      </c>
      <c r="BJ43" s="31" t="n">
        <v>43534.93052362662</v>
      </c>
      <c r="BK43" s="31" t="n">
        <v>140376.0306082285</v>
      </c>
      <c r="BL43" s="31" t="n">
        <v>220746.2309261886</v>
      </c>
      <c r="BM43" s="31" t="n">
        <v>73004.98684920951</v>
      </c>
      <c r="BN43" s="31" t="n">
        <v>139619.8284453996</v>
      </c>
      <c r="BO43" s="31" t="n">
        <v>103558.2552149639</v>
      </c>
      <c r="BP43" s="31" t="n">
        <v>24914.07980520724</v>
      </c>
      <c r="BQ43" s="31" t="n">
        <v>509.3529554183212</v>
      </c>
      <c r="BR43" s="31" t="n">
        <v>43065.18290666801</v>
      </c>
      <c r="BS43" s="31" t="n">
        <v>295363.6572955576</v>
      </c>
      <c r="BT43" s="31" t="n">
        <v>729389.2365484878</v>
      </c>
      <c r="BU43" s="31" t="n">
        <v>1534266.851023667</v>
      </c>
      <c r="BV43" s="31" t="n">
        <v>2948137.496193167</v>
      </c>
      <c r="BW43" s="31" t="n">
        <v>63809.23737892167</v>
      </c>
      <c r="BX43" s="31" t="n">
        <v>130020.0651798901</v>
      </c>
      <c r="BY43" s="31" t="n">
        <v>2448371.552852947</v>
      </c>
      <c r="BZ43" s="31" t="n">
        <v>135.9665188170797</v>
      </c>
      <c r="CA43" s="31" t="n">
        <v>2843.990181536098</v>
      </c>
      <c r="CB43" s="31" t="n">
        <v>261747.9930769279</v>
      </c>
      <c r="CC43" s="31" t="n">
        <v>31.36090540777503</v>
      </c>
      <c r="CD43" s="31" t="n">
        <v>219277.1799193529</v>
      </c>
      <c r="CE43" s="31" t="n">
        <v>2195767.635255611</v>
      </c>
      <c r="CF43" s="31" t="n">
        <v>72780.29237003092</v>
      </c>
      <c r="CG43" s="31" t="n">
        <v>175796.911542211</v>
      </c>
      <c r="CH43" s="31" t="n">
        <v>137231.1944910267</v>
      </c>
      <c r="CI43" s="31" t="n">
        <v>6255.070296771675</v>
      </c>
      <c r="CJ43" s="31" t="n">
        <v>8603.627758427252</v>
      </c>
      <c r="CK43" s="31" t="n">
        <v>1747.441224788891</v>
      </c>
      <c r="CL43" s="31" t="n">
        <v>63881.84106010133</v>
      </c>
      <c r="CM43" s="31" t="n">
        <v>1356.811852684635</v>
      </c>
      <c r="CN43" s="31" t="n">
        <v>914.1120832407646</v>
      </c>
      <c r="CO43" s="31" t="n">
        <v>557.7402422052958</v>
      </c>
      <c r="CP43" s="31" t="n">
        <v>865.6682550608909</v>
      </c>
      <c r="CQ43" s="31" t="n">
        <v>40792.67630774948</v>
      </c>
      <c r="CR43" s="31" t="n">
        <v>44041.00327718452</v>
      </c>
      <c r="CS43" s="31" t="n">
        <v>175177.7621094658</v>
      </c>
      <c r="CT43" s="31" t="n">
        <v>159956.5609695348</v>
      </c>
      <c r="CU43" s="31" t="n">
        <v>3378546.452231648</v>
      </c>
      <c r="CV43" s="31" t="n">
        <v>8534812.068426605</v>
      </c>
      <c r="CW43" s="31" t="n">
        <v>2828682.998006466</v>
      </c>
      <c r="CX43" s="31" t="n">
        <v>266286.688837616</v>
      </c>
      <c r="CY43" s="31" t="n">
        <v>3355020.771084018</v>
      </c>
      <c r="CZ43" s="31" t="n">
        <v>409605.8664259318</v>
      </c>
      <c r="DA43" s="31" t="n">
        <v>1254270.357346029</v>
      </c>
      <c r="DB43" s="31" t="n">
        <v>2341909.836397386</v>
      </c>
      <c r="DC43" s="31" t="n">
        <v>212232.0549273131</v>
      </c>
      <c r="DD43" s="31" t="n">
        <v>217992.6526461021</v>
      </c>
      <c r="DE43" s="31" t="n">
        <v>0</v>
      </c>
      <c r="DF43" s="31">
        <f>SUM(C43:DE43)</f>
        <v/>
      </c>
      <c r="DG43" s="31" t="n">
        <v>0</v>
      </c>
      <c r="DH43" s="31" t="n">
        <v>0</v>
      </c>
      <c r="DI43" s="31" t="n">
        <v>74697236.60640241</v>
      </c>
      <c r="DJ43" s="31" t="n">
        <v>0</v>
      </c>
      <c r="DK43" s="31">
        <f>SUM(DG43:DJ43)</f>
        <v/>
      </c>
      <c r="DL43" s="31">
        <f>DF43+DK43</f>
        <v/>
      </c>
    </row>
    <row r="44">
      <c r="A44" s="28" t="inlineStr">
        <is>
          <t>191</t>
        </is>
      </c>
      <c r="B44" s="28" t="inlineStr">
        <is>
          <t>19110 - Curtido y terminación de cueros. 19120 - Fabricación de maletas, bolsos de mano y similares, artículos de talabartería y artículos de cuero n.c.p.</t>
        </is>
      </c>
      <c r="C44" s="29" t="n">
        <v>34544.15408190966</v>
      </c>
      <c r="D44" s="29" t="n">
        <v>34220.77162669322</v>
      </c>
      <c r="E44" s="29" t="n">
        <v>0</v>
      </c>
      <c r="F44" s="29" t="n">
        <v>0</v>
      </c>
      <c r="G44" s="29" t="n">
        <v>0</v>
      </c>
      <c r="H44" s="29" t="n">
        <v>7168.366052465688</v>
      </c>
      <c r="I44" s="29" t="n">
        <v>0.3158564779227431</v>
      </c>
      <c r="J44" s="29" t="n">
        <v>10254.98177443519</v>
      </c>
      <c r="K44" s="29" t="n">
        <v>1631.458607839103</v>
      </c>
      <c r="L44" s="29" t="n">
        <v>14.38918656678194</v>
      </c>
      <c r="M44" s="29" t="n">
        <v>21.81924782969942</v>
      </c>
      <c r="N44" s="29" t="n">
        <v>94213.58825391349</v>
      </c>
      <c r="O44" s="29" t="n">
        <v>34239.12897471112</v>
      </c>
      <c r="P44" s="29" t="n">
        <v>4992.111198999475</v>
      </c>
      <c r="Q44" s="29" t="n">
        <v>272623.2837604915</v>
      </c>
      <c r="R44" s="29" t="n">
        <v>1747216.669014256</v>
      </c>
      <c r="S44" s="29" t="n">
        <v>7237.097881027747</v>
      </c>
      <c r="T44" s="29" t="n">
        <v>20788.70271238884</v>
      </c>
      <c r="U44" s="29" t="n">
        <v>34981.14698974733</v>
      </c>
      <c r="V44" s="29" t="n">
        <v>104667.0942773024</v>
      </c>
      <c r="W44" s="29" t="n">
        <v>2299.058243411353</v>
      </c>
      <c r="X44" s="29" t="n">
        <v>10459.42168319377</v>
      </c>
      <c r="Y44" s="29" t="n">
        <v>88389.51046374152</v>
      </c>
      <c r="Z44" s="29" t="n">
        <v>74.4680364057412</v>
      </c>
      <c r="AA44" s="29" t="n">
        <v>13705.94825578029</v>
      </c>
      <c r="AB44" s="29" t="n">
        <v>84.70929648697171</v>
      </c>
      <c r="AC44" s="29" t="n">
        <v>26235.93235693284</v>
      </c>
      <c r="AD44" s="29" t="n">
        <v>610.2597309814239</v>
      </c>
      <c r="AE44" s="29" t="n">
        <v>115504.208045896</v>
      </c>
      <c r="AF44" s="29" t="n">
        <v>660888.9618491135</v>
      </c>
      <c r="AG44" s="29" t="n">
        <v>3611122.516120899</v>
      </c>
      <c r="AH44" s="29" t="n">
        <v>3545017.354307444</v>
      </c>
      <c r="AI44" s="29" t="n">
        <v>3461.093638601716</v>
      </c>
      <c r="AJ44" s="29" t="n">
        <v>21656.78122707128</v>
      </c>
      <c r="AK44" s="29" t="n">
        <v>62775.97243734099</v>
      </c>
      <c r="AL44" s="29" t="n">
        <v>43648.58080942548</v>
      </c>
      <c r="AM44" s="29" t="n">
        <v>3120.863999714095</v>
      </c>
      <c r="AN44" s="29" t="n">
        <v>3328.154094781648</v>
      </c>
      <c r="AO44" s="29" t="n">
        <v>2817.040266763855</v>
      </c>
      <c r="AP44" s="29" t="n">
        <v>5376.161167368355</v>
      </c>
      <c r="AQ44" s="29" t="n">
        <v>183853.6123765943</v>
      </c>
      <c r="AR44" s="29" t="n">
        <v>10992.03278463703</v>
      </c>
      <c r="AS44" s="29" t="n">
        <v>29574.66985062933</v>
      </c>
      <c r="AT44" s="29" t="n">
        <v>265.8697692568294</v>
      </c>
      <c r="AU44" s="29" t="n">
        <v>5854.082173921041</v>
      </c>
      <c r="AV44" s="29" t="n">
        <v>82282.13669951963</v>
      </c>
      <c r="AW44" s="29" t="n">
        <v>21884.78193076973</v>
      </c>
      <c r="AX44" s="29" t="n">
        <v>133329.7079823667</v>
      </c>
      <c r="AY44" s="29" t="n">
        <v>19895.12830668123</v>
      </c>
      <c r="AZ44" s="29" t="n">
        <v>84052.2917943858</v>
      </c>
      <c r="BA44" s="29" t="n">
        <v>35587.51440827985</v>
      </c>
      <c r="BB44" s="29" t="n">
        <v>103504.2027515236</v>
      </c>
      <c r="BC44" s="29" t="n">
        <v>24139.1568219752</v>
      </c>
      <c r="BD44" s="29" t="n">
        <v>1392.287535874392</v>
      </c>
      <c r="BE44" s="29" t="n">
        <v>25260.88538812652</v>
      </c>
      <c r="BF44" s="29" t="n">
        <v>3760.43290034651</v>
      </c>
      <c r="BG44" s="29" t="n">
        <v>7801.335527646475</v>
      </c>
      <c r="BH44" s="29" t="n">
        <v>215734.6175503026</v>
      </c>
      <c r="BI44" s="29" t="n">
        <v>1408.911468441986</v>
      </c>
      <c r="BJ44" s="29" t="n">
        <v>26004.73460746473</v>
      </c>
      <c r="BK44" s="29" t="n">
        <v>72757.05826490922</v>
      </c>
      <c r="BL44" s="29" t="n">
        <v>48296.84235588781</v>
      </c>
      <c r="BM44" s="29" t="n">
        <v>12669.05699495396</v>
      </c>
      <c r="BN44" s="29" t="n">
        <v>378895.5167703831</v>
      </c>
      <c r="BO44" s="29" t="n">
        <v>27742.92902194906</v>
      </c>
      <c r="BP44" s="29" t="n">
        <v>662.474332317995</v>
      </c>
      <c r="BQ44" s="29" t="n">
        <v>194.6085479895658</v>
      </c>
      <c r="BR44" s="29" t="n">
        <v>160.2489121419532</v>
      </c>
      <c r="BS44" s="29" t="n">
        <v>40293.65177710948</v>
      </c>
      <c r="BT44" s="29" t="n">
        <v>9731.113373671436</v>
      </c>
      <c r="BU44" s="29" t="n">
        <v>65759.26306475862</v>
      </c>
      <c r="BV44" s="29" t="n">
        <v>128458.416271621</v>
      </c>
      <c r="BW44" s="29" t="n">
        <v>38998.77660277952</v>
      </c>
      <c r="BX44" s="29" t="n">
        <v>983.5059780438426</v>
      </c>
      <c r="BY44" s="29" t="n">
        <v>191870.1165415484</v>
      </c>
      <c r="BZ44" s="29" t="n">
        <v>38.73955336281771</v>
      </c>
      <c r="CA44" s="29" t="n">
        <v>708.0446279012281</v>
      </c>
      <c r="CB44" s="29" t="n">
        <v>17733.00692680978</v>
      </c>
      <c r="CC44" s="29" t="n">
        <v>3.727615218363912</v>
      </c>
      <c r="CD44" s="29" t="n">
        <v>642.4565226261855</v>
      </c>
      <c r="CE44" s="29" t="n">
        <v>6234.84955969749</v>
      </c>
      <c r="CF44" s="29" t="n">
        <v>298.8628183162118</v>
      </c>
      <c r="CG44" s="29" t="n">
        <v>933.0940919877005</v>
      </c>
      <c r="CH44" s="29" t="n">
        <v>5293.032462756713</v>
      </c>
      <c r="CI44" s="29" t="n">
        <v>223.1253865927362</v>
      </c>
      <c r="CJ44" s="29" t="n">
        <v>1404.762322127597</v>
      </c>
      <c r="CK44" s="29" t="n">
        <v>276.9833511581558</v>
      </c>
      <c r="CL44" s="29" t="n">
        <v>218151.0862578113</v>
      </c>
      <c r="CM44" s="29" t="n">
        <v>292.4273456027229</v>
      </c>
      <c r="CN44" s="29" t="n">
        <v>9.092626841776207</v>
      </c>
      <c r="CO44" s="29" t="n">
        <v>4.084094688423566</v>
      </c>
      <c r="CP44" s="29" t="n">
        <v>100.8721711986301</v>
      </c>
      <c r="CQ44" s="29" t="n">
        <v>207.9657576025197</v>
      </c>
      <c r="CR44" s="29" t="n">
        <v>2836.470400185453</v>
      </c>
      <c r="CS44" s="29" t="n">
        <v>1925.43805065698</v>
      </c>
      <c r="CT44" s="29" t="n">
        <v>1758.136679189447</v>
      </c>
      <c r="CU44" s="29" t="n">
        <v>13300.17910131975</v>
      </c>
      <c r="CV44" s="29" t="n">
        <v>93797.55102677897</v>
      </c>
      <c r="CW44" s="29" t="n">
        <v>102215.7582974745</v>
      </c>
      <c r="CX44" s="29" t="n">
        <v>5010.750599946879</v>
      </c>
      <c r="CY44" s="29" t="n">
        <v>14548.52330085062</v>
      </c>
      <c r="CZ44" s="29" t="n">
        <v>2726.057745050959</v>
      </c>
      <c r="DA44" s="29" t="n">
        <v>7076.701344195455</v>
      </c>
      <c r="DB44" s="29" t="n">
        <v>70692.47319500499</v>
      </c>
      <c r="DC44" s="29" t="n">
        <v>1860.916349289121</v>
      </c>
      <c r="DD44" s="29" t="n">
        <v>562.0246143109118</v>
      </c>
      <c r="DE44" s="29" t="n">
        <v>0</v>
      </c>
      <c r="DF44" s="29">
        <f>SUM(C44:DE44)</f>
        <v/>
      </c>
      <c r="DG44" s="29" t="n">
        <v>0</v>
      </c>
      <c r="DH44" s="29" t="n">
        <v>0</v>
      </c>
      <c r="DI44" s="29" t="n">
        <v>23025159.62843687</v>
      </c>
      <c r="DJ44" s="29" t="n">
        <v>0</v>
      </c>
      <c r="DK44" s="29">
        <f>SUM(DG44:DJ44)</f>
        <v/>
      </c>
      <c r="DL44" s="29">
        <f>DF44+DK44</f>
        <v/>
      </c>
    </row>
    <row r="45">
      <c r="A45" s="30" t="inlineStr">
        <is>
          <t>192</t>
        </is>
      </c>
      <c r="B45" s="3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45" s="31" t="n">
        <v>1618442.489057356</v>
      </c>
      <c r="D45" s="31" t="n">
        <v>667067.1079125993</v>
      </c>
      <c r="E45" s="31" t="n">
        <v>0</v>
      </c>
      <c r="F45" s="31" t="n">
        <v>0</v>
      </c>
      <c r="G45" s="31" t="n">
        <v>0</v>
      </c>
      <c r="H45" s="31" t="n">
        <v>401952.7811550588</v>
      </c>
      <c r="I45" s="31" t="n">
        <v>0.8800901956862445</v>
      </c>
      <c r="J45" s="31" t="n">
        <v>2069.967471198034</v>
      </c>
      <c r="K45" s="31" t="n">
        <v>3261.617025858189</v>
      </c>
      <c r="L45" s="31" t="n">
        <v>65.95366845055069</v>
      </c>
      <c r="M45" s="31" t="n">
        <v>36.16980940762397</v>
      </c>
      <c r="N45" s="31" t="n">
        <v>17997.9515188801</v>
      </c>
      <c r="O45" s="31" t="n">
        <v>8034.081024035684</v>
      </c>
      <c r="P45" s="31" t="n">
        <v>1354.321337642214</v>
      </c>
      <c r="Q45" s="31" t="n">
        <v>88106.11453089515</v>
      </c>
      <c r="R45" s="31" t="n">
        <v>7703.556616000316</v>
      </c>
      <c r="S45" s="31" t="n">
        <v>2921.430192335121</v>
      </c>
      <c r="T45" s="31" t="n">
        <v>9553.871418806953</v>
      </c>
      <c r="U45" s="31" t="n">
        <v>4467.676397180493</v>
      </c>
      <c r="V45" s="31" t="n">
        <v>21846.0475317491</v>
      </c>
      <c r="W45" s="31" t="n">
        <v>571.6570427273568</v>
      </c>
      <c r="X45" s="31" t="n">
        <v>300.7037681327849</v>
      </c>
      <c r="Y45" s="31" t="n">
        <v>5329.876502731131</v>
      </c>
      <c r="Z45" s="31" t="n">
        <v>639.8553452945689</v>
      </c>
      <c r="AA45" s="31" t="n">
        <v>4204.507993379482</v>
      </c>
      <c r="AB45" s="31" t="n">
        <v>204.1682007032659</v>
      </c>
      <c r="AC45" s="31" t="n">
        <v>5778.335245021271</v>
      </c>
      <c r="AD45" s="31" t="n">
        <v>113.2927355377773</v>
      </c>
      <c r="AE45" s="31" t="n">
        <v>13570.06955081965</v>
      </c>
      <c r="AF45" s="31" t="n">
        <v>16736.84394914078</v>
      </c>
      <c r="AG45" s="31" t="n">
        <v>2092.755126228159</v>
      </c>
      <c r="AH45" s="31" t="n">
        <v>3696367.212590178</v>
      </c>
      <c r="AI45" s="31" t="n">
        <v>898.503801681273</v>
      </c>
      <c r="AJ45" s="31" t="n">
        <v>8648.754947198486</v>
      </c>
      <c r="AK45" s="31" t="n">
        <v>13628.52710913561</v>
      </c>
      <c r="AL45" s="31" t="n">
        <v>8744.377813829993</v>
      </c>
      <c r="AM45" s="31" t="n">
        <v>16176.83546729674</v>
      </c>
      <c r="AN45" s="31" t="n">
        <v>2753.123191058447</v>
      </c>
      <c r="AO45" s="31" t="n">
        <v>1052.776300457637</v>
      </c>
      <c r="AP45" s="31" t="n">
        <v>2058.275051110362</v>
      </c>
      <c r="AQ45" s="31" t="n">
        <v>38648.69119220251</v>
      </c>
      <c r="AR45" s="31" t="n">
        <v>3150.745958284856</v>
      </c>
      <c r="AS45" s="31" t="n">
        <v>6733.07552913034</v>
      </c>
      <c r="AT45" s="31" t="n">
        <v>80.55241422201082</v>
      </c>
      <c r="AU45" s="31" t="n">
        <v>1977.239856858101</v>
      </c>
      <c r="AV45" s="31" t="n">
        <v>22588.07254814803</v>
      </c>
      <c r="AW45" s="31" t="n">
        <v>7382.39915642224</v>
      </c>
      <c r="AX45" s="31" t="n">
        <v>31553.7820448667</v>
      </c>
      <c r="AY45" s="31" t="n">
        <v>4441.245354553106</v>
      </c>
      <c r="AZ45" s="31" t="n">
        <v>36533.79900858543</v>
      </c>
      <c r="BA45" s="31" t="n">
        <v>6954.879032191013</v>
      </c>
      <c r="BB45" s="31" t="n">
        <v>26158.82617190531</v>
      </c>
      <c r="BC45" s="31" t="n">
        <v>5384.346134640566</v>
      </c>
      <c r="BD45" s="31" t="n">
        <v>322.2213571069209</v>
      </c>
      <c r="BE45" s="31" t="n">
        <v>5366.218193739304</v>
      </c>
      <c r="BF45" s="31" t="n">
        <v>1389.411012825868</v>
      </c>
      <c r="BG45" s="31" t="n">
        <v>1679.16377453225</v>
      </c>
      <c r="BH45" s="31" t="n">
        <v>44578.96793976962</v>
      </c>
      <c r="BI45" s="31" t="n">
        <v>300.3587143818014</v>
      </c>
      <c r="BJ45" s="31" t="n">
        <v>2146.409837265501</v>
      </c>
      <c r="BK45" s="31" t="n">
        <v>20176.02032319621</v>
      </c>
      <c r="BL45" s="31" t="n">
        <v>8823.074125296222</v>
      </c>
      <c r="BM45" s="31" t="n">
        <v>4400.028005955088</v>
      </c>
      <c r="BN45" s="31" t="n">
        <v>3212.866018867177</v>
      </c>
      <c r="BO45" s="31" t="n">
        <v>9676.389301598767</v>
      </c>
      <c r="BP45" s="31" t="n">
        <v>527.4261042856685</v>
      </c>
      <c r="BQ45" s="31" t="n">
        <v>152.3401772296585</v>
      </c>
      <c r="BR45" s="31" t="n">
        <v>409.4942964650503</v>
      </c>
      <c r="BS45" s="31" t="n">
        <v>5941.301122160628</v>
      </c>
      <c r="BT45" s="31" t="n">
        <v>102584.6983138119</v>
      </c>
      <c r="BU45" s="31" t="n">
        <v>1915818.43049455</v>
      </c>
      <c r="BV45" s="31" t="n">
        <v>604850.479443131</v>
      </c>
      <c r="BW45" s="31" t="n">
        <v>2445877.501389143</v>
      </c>
      <c r="BX45" s="31" t="n">
        <v>1323.885599637363</v>
      </c>
      <c r="BY45" s="31" t="n">
        <v>1276.56584054202</v>
      </c>
      <c r="BZ45" s="31" t="n">
        <v>22.77126297647355</v>
      </c>
      <c r="CA45" s="31" t="n">
        <v>11276.16146593079</v>
      </c>
      <c r="CB45" s="31" t="n">
        <v>4030.222509049936</v>
      </c>
      <c r="CC45" s="31" t="n">
        <v>5.68759111376832</v>
      </c>
      <c r="CD45" s="31" t="n">
        <v>2260.391996115095</v>
      </c>
      <c r="CE45" s="31" t="n">
        <v>4916.528857016833</v>
      </c>
      <c r="CF45" s="31" t="n">
        <v>370.1627598164259</v>
      </c>
      <c r="CG45" s="31" t="n">
        <v>2163.817894736028</v>
      </c>
      <c r="CH45" s="31" t="n">
        <v>64841.16945532651</v>
      </c>
      <c r="CI45" s="31" t="n">
        <v>262.6157448268887</v>
      </c>
      <c r="CJ45" s="31" t="n">
        <v>560.3235052202309</v>
      </c>
      <c r="CK45" s="31" t="n">
        <v>253.6213513500723</v>
      </c>
      <c r="CL45" s="31" t="n">
        <v>409.5621073703995</v>
      </c>
      <c r="CM45" s="31" t="n">
        <v>187.4157777127587</v>
      </c>
      <c r="CN45" s="31" t="n">
        <v>354.5921775706878</v>
      </c>
      <c r="CO45" s="31" t="n">
        <v>159.2705885959458</v>
      </c>
      <c r="CP45" s="31" t="n">
        <v>116.4407120718944</v>
      </c>
      <c r="CQ45" s="31" t="n">
        <v>283.2054258148178</v>
      </c>
      <c r="CR45" s="31" t="n">
        <v>6357.055590926506</v>
      </c>
      <c r="CS45" s="31" t="n">
        <v>17180.64844048041</v>
      </c>
      <c r="CT45" s="31" t="n">
        <v>15687.82136883659</v>
      </c>
      <c r="CU45" s="31" t="n">
        <v>16931.7428520674</v>
      </c>
      <c r="CV45" s="31" t="n">
        <v>836915.6974963483</v>
      </c>
      <c r="CW45" s="31" t="n">
        <v>854.3329439410799</v>
      </c>
      <c r="CX45" s="31" t="n">
        <v>32525.69818440578</v>
      </c>
      <c r="CY45" s="31" t="n">
        <v>2682.074981469923</v>
      </c>
      <c r="CZ45" s="31" t="n">
        <v>3966.566437892628</v>
      </c>
      <c r="DA45" s="31" t="n">
        <v>246781.377883925</v>
      </c>
      <c r="DB45" s="31" t="n">
        <v>405.9104027251383</v>
      </c>
      <c r="DC45" s="31" t="n">
        <v>13847.21501277435</v>
      </c>
      <c r="DD45" s="31" t="n">
        <v>35.19449842418164</v>
      </c>
      <c r="DE45" s="31" t="n">
        <v>0</v>
      </c>
      <c r="DF45" s="31">
        <f>SUM(C45:DE45)</f>
        <v/>
      </c>
      <c r="DG45" s="31" t="n">
        <v>0</v>
      </c>
      <c r="DH45" s="31" t="n">
        <v>0</v>
      </c>
      <c r="DI45" s="31" t="n">
        <v>26859768.12360676</v>
      </c>
      <c r="DJ45" s="31" t="n">
        <v>0</v>
      </c>
      <c r="DK45" s="31">
        <f>SUM(DG45:DJ45)</f>
        <v/>
      </c>
      <c r="DL45" s="31">
        <f>DF45+DK45</f>
        <v/>
      </c>
    </row>
    <row r="46">
      <c r="A46" s="28" t="inlineStr">
        <is>
          <t>201/2</t>
        </is>
      </c>
      <c r="B46" s="28" t="inlineStr">
        <is>
          <t>Aserrado y acepilladura de madera. Fabricación de productos de madera, corcho, paja y materiales trenzables</t>
        </is>
      </c>
      <c r="C46" s="29" t="n">
        <v>411565.4170902359</v>
      </c>
      <c r="D46" s="29" t="n">
        <v>10129.03789664822</v>
      </c>
      <c r="E46" s="29" t="n">
        <v>8.545631937549567</v>
      </c>
      <c r="F46" s="29" t="n">
        <v>385638.7719844197</v>
      </c>
      <c r="G46" s="29" t="n">
        <v>77.59773926202156</v>
      </c>
      <c r="H46" s="29" t="n">
        <v>29782.01794921808</v>
      </c>
      <c r="I46" s="29" t="n">
        <v>8.595720550828132</v>
      </c>
      <c r="J46" s="29" t="n">
        <v>6181.150048918098</v>
      </c>
      <c r="K46" s="29" t="n">
        <v>2834.089744851849</v>
      </c>
      <c r="L46" s="29" t="n">
        <v>3428.287988340444</v>
      </c>
      <c r="M46" s="29" t="n">
        <v>495.9001020110773</v>
      </c>
      <c r="N46" s="29" t="n">
        <v>412867.0211492965</v>
      </c>
      <c r="O46" s="29" t="n">
        <v>134888.1907464631</v>
      </c>
      <c r="P46" s="29" t="n">
        <v>238590.6902026285</v>
      </c>
      <c r="Q46" s="29" t="n">
        <v>76371.32436789395</v>
      </c>
      <c r="R46" s="29" t="n">
        <v>286923.6841672327</v>
      </c>
      <c r="S46" s="29" t="n">
        <v>54482.69186348966</v>
      </c>
      <c r="T46" s="29" t="n">
        <v>645641.5881915449</v>
      </c>
      <c r="U46" s="29" t="n">
        <v>77497.81213489189</v>
      </c>
      <c r="V46" s="29" t="n">
        <v>26527.26631854438</v>
      </c>
      <c r="W46" s="29" t="n">
        <v>73749.73025906052</v>
      </c>
      <c r="X46" s="29" t="n">
        <v>126104.0346808633</v>
      </c>
      <c r="Y46" s="29" t="n">
        <v>620826.2849748443</v>
      </c>
      <c r="Z46" s="29" t="n">
        <v>10264.21541927813</v>
      </c>
      <c r="AA46" s="29" t="n">
        <v>1287861.289999844</v>
      </c>
      <c r="AB46" s="29" t="n">
        <v>4007.144876667155</v>
      </c>
      <c r="AC46" s="29" t="n">
        <v>526058.1575388162</v>
      </c>
      <c r="AD46" s="29" t="n">
        <v>69523.21714167808</v>
      </c>
      <c r="AE46" s="29" t="n">
        <v>66995.31740424239</v>
      </c>
      <c r="AF46" s="29" t="n">
        <v>14521.1413760568</v>
      </c>
      <c r="AG46" s="29" t="n">
        <v>69015.61153560843</v>
      </c>
      <c r="AH46" s="29" t="n">
        <v>43054.39227003609</v>
      </c>
      <c r="AI46" s="29" t="n">
        <v>13439969.12330254</v>
      </c>
      <c r="AJ46" s="29" t="n">
        <v>599862.7144313117</v>
      </c>
      <c r="AK46" s="29" t="n">
        <v>25660.59182876091</v>
      </c>
      <c r="AL46" s="29" t="n">
        <v>173036.3225068332</v>
      </c>
      <c r="AM46" s="29" t="n">
        <v>47160.32488242391</v>
      </c>
      <c r="AN46" s="29" t="n">
        <v>248573.1458257514</v>
      </c>
      <c r="AO46" s="29" t="n">
        <v>37568.33257743272</v>
      </c>
      <c r="AP46" s="29" t="n">
        <v>78937.38116714029</v>
      </c>
      <c r="AQ46" s="29" t="n">
        <v>423978.1098114364</v>
      </c>
      <c r="AR46" s="29" t="n">
        <v>132926.9507201386</v>
      </c>
      <c r="AS46" s="29" t="n">
        <v>99618.50868199926</v>
      </c>
      <c r="AT46" s="29" t="n">
        <v>209862.4898462279</v>
      </c>
      <c r="AU46" s="29" t="n">
        <v>445341.936512832</v>
      </c>
      <c r="AV46" s="29" t="n">
        <v>48624.14255863865</v>
      </c>
      <c r="AW46" s="29" t="n">
        <v>17859.05327598963</v>
      </c>
      <c r="AX46" s="29" t="n">
        <v>352219.2695961311</v>
      </c>
      <c r="AY46" s="29" t="n">
        <v>79611.11221454969</v>
      </c>
      <c r="AZ46" s="29" t="n">
        <v>836872.2979935743</v>
      </c>
      <c r="BA46" s="29" t="n">
        <v>139316.1055142239</v>
      </c>
      <c r="BB46" s="29" t="n">
        <v>87772.40046451545</v>
      </c>
      <c r="BC46" s="29" t="n">
        <v>81134.23140956499</v>
      </c>
      <c r="BD46" s="29" t="n">
        <v>10793.55204803823</v>
      </c>
      <c r="BE46" s="29" t="n">
        <v>66449.43229144847</v>
      </c>
      <c r="BF46" s="29" t="n">
        <v>176134.1548182138</v>
      </c>
      <c r="BG46" s="29" t="n">
        <v>59498.96172609389</v>
      </c>
      <c r="BH46" s="29" t="n">
        <v>89200.68562458291</v>
      </c>
      <c r="BI46" s="29" t="n">
        <v>20517.05302045785</v>
      </c>
      <c r="BJ46" s="29" t="n">
        <v>46782.33133811163</v>
      </c>
      <c r="BK46" s="29" t="n">
        <v>114326.6049689434</v>
      </c>
      <c r="BL46" s="29" t="n">
        <v>196850.9579511365</v>
      </c>
      <c r="BM46" s="29" t="n">
        <v>62472.49334599392</v>
      </c>
      <c r="BN46" s="29" t="n">
        <v>11193804.55566917</v>
      </c>
      <c r="BO46" s="29" t="n">
        <v>24984.31587129502</v>
      </c>
      <c r="BP46" s="29" t="n">
        <v>10954.30276016543</v>
      </c>
      <c r="BQ46" s="29" t="n">
        <v>2997.111900453055</v>
      </c>
      <c r="BR46" s="29" t="n">
        <v>1345.267811297382</v>
      </c>
      <c r="BS46" s="29" t="n">
        <v>18014342.22714925</v>
      </c>
      <c r="BT46" s="29" t="n">
        <v>9573.88644576329</v>
      </c>
      <c r="BU46" s="29" t="n">
        <v>19330312.50798865</v>
      </c>
      <c r="BV46" s="29" t="n">
        <v>18354774.22914144</v>
      </c>
      <c r="BW46" s="29" t="n">
        <v>198.1159988800437</v>
      </c>
      <c r="BX46" s="29" t="n">
        <v>4152.540698498009</v>
      </c>
      <c r="BY46" s="29" t="n">
        <v>2062477.707742195</v>
      </c>
      <c r="BZ46" s="29" t="n">
        <v>367.5602127861841</v>
      </c>
      <c r="CA46" s="29" t="n">
        <v>7204.98011035409</v>
      </c>
      <c r="CB46" s="29" t="n">
        <v>2562.945399684059</v>
      </c>
      <c r="CC46" s="29" t="n">
        <v>71.59251223536734</v>
      </c>
      <c r="CD46" s="29" t="n">
        <v>3467.274800939606</v>
      </c>
      <c r="CE46" s="29" t="n">
        <v>6538.02809836557</v>
      </c>
      <c r="CF46" s="29" t="n">
        <v>2547.587966157194</v>
      </c>
      <c r="CG46" s="29" t="n">
        <v>9469.002108112181</v>
      </c>
      <c r="CH46" s="29" t="n">
        <v>120408.4034925092</v>
      </c>
      <c r="CI46" s="29" t="n">
        <v>1878.3187795212</v>
      </c>
      <c r="CJ46" s="29" t="n">
        <v>15507.87687266537</v>
      </c>
      <c r="CK46" s="29" t="n">
        <v>3552.452909374862</v>
      </c>
      <c r="CL46" s="29" t="n">
        <v>11070.57713221834</v>
      </c>
      <c r="CM46" s="29" t="n">
        <v>3367.818865669507</v>
      </c>
      <c r="CN46" s="29" t="n">
        <v>1705349.245530525</v>
      </c>
      <c r="CO46" s="29" t="n">
        <v>1065608.463786751</v>
      </c>
      <c r="CP46" s="29" t="n">
        <v>2425.214223016328</v>
      </c>
      <c r="CQ46" s="29" t="n">
        <v>1773.426249158519</v>
      </c>
      <c r="CR46" s="29" t="n">
        <v>34520.39645651735</v>
      </c>
      <c r="CS46" s="29" t="n">
        <v>10126.65757870622</v>
      </c>
      <c r="CT46" s="29" t="n">
        <v>9246.751990094017</v>
      </c>
      <c r="CU46" s="29" t="n">
        <v>61507.22524204041</v>
      </c>
      <c r="CV46" s="29" t="n">
        <v>493319.2634503677</v>
      </c>
      <c r="CW46" s="29" t="n">
        <v>11891.78161491873</v>
      </c>
      <c r="CX46" s="29" t="n">
        <v>71344.21804797409</v>
      </c>
      <c r="CY46" s="29" t="n">
        <v>37296.82275680234</v>
      </c>
      <c r="CZ46" s="29" t="n">
        <v>52539.72056312168</v>
      </c>
      <c r="DA46" s="29" t="n">
        <v>3027.534953966289</v>
      </c>
      <c r="DB46" s="29" t="n">
        <v>22432.97378498959</v>
      </c>
      <c r="DC46" s="29" t="n">
        <v>45331.34480511786</v>
      </c>
      <c r="DD46" s="29" t="n">
        <v>30699.08245145383</v>
      </c>
      <c r="DE46" s="29" t="n">
        <v>0</v>
      </c>
      <c r="DF46" s="29">
        <f>SUM(C46:DE46)</f>
        <v/>
      </c>
      <c r="DG46" s="29" t="n">
        <v>0</v>
      </c>
      <c r="DH46" s="29" t="n">
        <v>0</v>
      </c>
      <c r="DI46" s="29" t="n">
        <v>2563973.953427019</v>
      </c>
      <c r="DJ46" s="29" t="n">
        <v>0</v>
      </c>
      <c r="DK46" s="29">
        <f>SUM(DG46:DJ46)</f>
        <v/>
      </c>
      <c r="DL46" s="29">
        <f>DF46+DK46</f>
        <v/>
      </c>
    </row>
    <row r="47">
      <c r="A47" s="30" t="inlineStr">
        <is>
          <t>210</t>
        </is>
      </c>
      <c r="B47" s="30" t="inlineStr">
        <is>
          <t>Fabricación de papel y de productos de papel</t>
        </is>
      </c>
      <c r="C47" s="31" t="n">
        <v>37349.78508734552</v>
      </c>
      <c r="D47" s="31" t="n">
        <v>63266.84339353169</v>
      </c>
      <c r="E47" s="31" t="n">
        <v>1.970011929856363</v>
      </c>
      <c r="F47" s="31" t="n">
        <v>5818.385059392761</v>
      </c>
      <c r="G47" s="31" t="n">
        <v>15.41947970785889</v>
      </c>
      <c r="H47" s="31" t="n">
        <v>835619.4092004967</v>
      </c>
      <c r="I47" s="31" t="n">
        <v>1683.101510811846</v>
      </c>
      <c r="J47" s="31" t="n">
        <v>236.0874131817043</v>
      </c>
      <c r="K47" s="31" t="n">
        <v>757282.0408304411</v>
      </c>
      <c r="L47" s="31" t="n">
        <v>796678.5919038204</v>
      </c>
      <c r="M47" s="31" t="n">
        <v>325687.4328094261</v>
      </c>
      <c r="N47" s="31" t="n">
        <v>767433.8789113264</v>
      </c>
      <c r="O47" s="31" t="n">
        <v>447523.2983155855</v>
      </c>
      <c r="P47" s="31" t="n">
        <v>1345576.347820763</v>
      </c>
      <c r="Q47" s="31" t="n">
        <v>846684.4995965743</v>
      </c>
      <c r="R47" s="31" t="n">
        <v>6592808.751286192</v>
      </c>
      <c r="S47" s="31" t="n">
        <v>2280851.264552721</v>
      </c>
      <c r="T47" s="31" t="n">
        <v>674616.9251145021</v>
      </c>
      <c r="U47" s="31" t="n">
        <v>4733443.377623349</v>
      </c>
      <c r="V47" s="31" t="n">
        <v>956596.9706648516</v>
      </c>
      <c r="W47" s="31" t="n">
        <v>2328151.362321683</v>
      </c>
      <c r="X47" s="31" t="n">
        <v>500486.9642619048</v>
      </c>
      <c r="Y47" s="31" t="n">
        <v>5624545.510396549</v>
      </c>
      <c r="Z47" s="31" t="n">
        <v>1100438.536530923</v>
      </c>
      <c r="AA47" s="31" t="n">
        <v>4747595.502523615</v>
      </c>
      <c r="AB47" s="31" t="n">
        <v>1034972.433112429</v>
      </c>
      <c r="AC47" s="31" t="n">
        <v>1841867.965296912</v>
      </c>
      <c r="AD47" s="31" t="n">
        <v>2868905.147840741</v>
      </c>
      <c r="AE47" s="31" t="n">
        <v>408720.6854416253</v>
      </c>
      <c r="AF47" s="31" t="n">
        <v>575464.0659093116</v>
      </c>
      <c r="AG47" s="31" t="n">
        <v>49811.77616818725</v>
      </c>
      <c r="AH47" s="31" t="n">
        <v>437143.7941202616</v>
      </c>
      <c r="AI47" s="31" t="n">
        <v>1582662.829312753</v>
      </c>
      <c r="AJ47" s="31" t="n">
        <v>41305434.53536847</v>
      </c>
      <c r="AK47" s="31" t="n">
        <v>14712061.73194698</v>
      </c>
      <c r="AL47" s="31" t="n">
        <v>18112032.77279808</v>
      </c>
      <c r="AM47" s="31" t="n">
        <v>97184.17564648189</v>
      </c>
      <c r="AN47" s="31" t="n">
        <v>415517.5771746031</v>
      </c>
      <c r="AO47" s="31" t="n">
        <v>618013.2374364093</v>
      </c>
      <c r="AP47" s="31" t="n">
        <v>261053.4179512188</v>
      </c>
      <c r="AQ47" s="31" t="n">
        <v>7008011.420364499</v>
      </c>
      <c r="AR47" s="31" t="n">
        <v>165879.8454682979</v>
      </c>
      <c r="AS47" s="31" t="n">
        <v>214513.9542424078</v>
      </c>
      <c r="AT47" s="31" t="n">
        <v>472304.0489653469</v>
      </c>
      <c r="AU47" s="31" t="n">
        <v>4186506.678342315</v>
      </c>
      <c r="AV47" s="31" t="n">
        <v>141723.1564617724</v>
      </c>
      <c r="AW47" s="31" t="n">
        <v>96068.17151324786</v>
      </c>
      <c r="AX47" s="31" t="n">
        <v>285884.1350468322</v>
      </c>
      <c r="AY47" s="31" t="n">
        <v>91797.05167076403</v>
      </c>
      <c r="AZ47" s="31" t="n">
        <v>858073.2102604664</v>
      </c>
      <c r="BA47" s="31" t="n">
        <v>137372.8791076729</v>
      </c>
      <c r="BB47" s="31" t="n">
        <v>151377.5305101988</v>
      </c>
      <c r="BC47" s="31" t="n">
        <v>431522.59947039</v>
      </c>
      <c r="BD47" s="31" t="n">
        <v>9747.596072387139</v>
      </c>
      <c r="BE47" s="31" t="n">
        <v>307737.0080525841</v>
      </c>
      <c r="BF47" s="31" t="n">
        <v>48409.38298672641</v>
      </c>
      <c r="BG47" s="31" t="n">
        <v>282499.807764654</v>
      </c>
      <c r="BH47" s="31" t="n">
        <v>656009.3474867832</v>
      </c>
      <c r="BI47" s="31" t="n">
        <v>253202.2139989845</v>
      </c>
      <c r="BJ47" s="31" t="n">
        <v>174994.9741637585</v>
      </c>
      <c r="BK47" s="31" t="n">
        <v>66454.89269652021</v>
      </c>
      <c r="BL47" s="31" t="n">
        <v>479585.9474834716</v>
      </c>
      <c r="BM47" s="31" t="n">
        <v>136467.9695769337</v>
      </c>
      <c r="BN47" s="31" t="n">
        <v>1120997.525084593</v>
      </c>
      <c r="BO47" s="31" t="n">
        <v>276032.1156589263</v>
      </c>
      <c r="BP47" s="31" t="n">
        <v>42094.83772967673</v>
      </c>
      <c r="BQ47" s="31" t="n">
        <v>89623.47035143907</v>
      </c>
      <c r="BR47" s="31" t="n">
        <v>26530.14279176557</v>
      </c>
      <c r="BS47" s="31" t="n">
        <v>311943.2139252264</v>
      </c>
      <c r="BT47" s="31" t="n">
        <v>804543.5318371042</v>
      </c>
      <c r="BU47" s="31" t="n">
        <v>5956337.265983142</v>
      </c>
      <c r="BV47" s="31" t="n">
        <v>11413810.19713867</v>
      </c>
      <c r="BW47" s="31" t="n">
        <v>4083.400118490985</v>
      </c>
      <c r="BX47" s="31" t="n">
        <v>369625.7895884227</v>
      </c>
      <c r="BY47" s="31" t="n">
        <v>3450406.711940958</v>
      </c>
      <c r="BZ47" s="31" t="n">
        <v>49200.47068941794</v>
      </c>
      <c r="CA47" s="31" t="n">
        <v>294405.4088692366</v>
      </c>
      <c r="CB47" s="31" t="n">
        <v>50113.51579822871</v>
      </c>
      <c r="CC47" s="31" t="n">
        <v>10648.43190905976</v>
      </c>
      <c r="CD47" s="31" t="n">
        <v>815382.4733157445</v>
      </c>
      <c r="CE47" s="31" t="n">
        <v>950.7307040147307</v>
      </c>
      <c r="CF47" s="31" t="n">
        <v>1240647.029308291</v>
      </c>
      <c r="CG47" s="31" t="n">
        <v>245781.7078303667</v>
      </c>
      <c r="CH47" s="31" t="n">
        <v>447778.7452400937</v>
      </c>
      <c r="CI47" s="31" t="n">
        <v>182472.0242979871</v>
      </c>
      <c r="CJ47" s="31" t="n">
        <v>2239590.66853715</v>
      </c>
      <c r="CK47" s="31" t="n">
        <v>1080748.624385559</v>
      </c>
      <c r="CL47" s="31" t="n">
        <v>2117927.927960121</v>
      </c>
      <c r="CM47" s="31" t="n">
        <v>771309.9270098254</v>
      </c>
      <c r="CN47" s="31" t="n">
        <v>939407.5237873136</v>
      </c>
      <c r="CO47" s="31" t="n">
        <v>587033.0842116449</v>
      </c>
      <c r="CP47" s="31" t="n">
        <v>450.7086882707477</v>
      </c>
      <c r="CQ47" s="31" t="n">
        <v>250447.0600588143</v>
      </c>
      <c r="CR47" s="31" t="n">
        <v>994044.6575295648</v>
      </c>
      <c r="CS47" s="31" t="n">
        <v>97054.11453769551</v>
      </c>
      <c r="CT47" s="31" t="n">
        <v>88621.07953914849</v>
      </c>
      <c r="CU47" s="31" t="n">
        <v>6227190.978158083</v>
      </c>
      <c r="CV47" s="31" t="n">
        <v>4727982.942687826</v>
      </c>
      <c r="CW47" s="31" t="n">
        <v>3682221.386366893</v>
      </c>
      <c r="CX47" s="31" t="n">
        <v>577196.5022574681</v>
      </c>
      <c r="CY47" s="31" t="n">
        <v>3160559.726967301</v>
      </c>
      <c r="CZ47" s="31" t="n">
        <v>1492615.955081835</v>
      </c>
      <c r="DA47" s="31" t="n">
        <v>255959.1122426914</v>
      </c>
      <c r="DB47" s="31" t="n">
        <v>1016482.890211873</v>
      </c>
      <c r="DC47" s="31" t="n">
        <v>387374.9662834833</v>
      </c>
      <c r="DD47" s="31" t="n">
        <v>293255.5809550438</v>
      </c>
      <c r="DE47" s="31" t="n">
        <v>0</v>
      </c>
      <c r="DF47" s="31">
        <f>SUM(C47:DE47)</f>
        <v/>
      </c>
      <c r="DG47" s="31" t="n">
        <v>0</v>
      </c>
      <c r="DH47" s="31" t="n">
        <v>0</v>
      </c>
      <c r="DI47" s="31" t="n">
        <v>24945182.93715122</v>
      </c>
      <c r="DJ47" s="31" t="n">
        <v>0</v>
      </c>
      <c r="DK47" s="31">
        <f>SUM(DG47:DJ47)</f>
        <v/>
      </c>
      <c r="DL47" s="31">
        <f>DF47+DK47</f>
        <v/>
      </c>
    </row>
    <row r="48">
      <c r="A48" s="28" t="inlineStr">
        <is>
          <t>221</t>
        </is>
      </c>
      <c r="B48" s="28" t="inlineStr">
        <is>
          <t>Actividades de edición</t>
        </is>
      </c>
      <c r="C48" s="29" t="n">
        <v>71810.70532512583</v>
      </c>
      <c r="D48" s="29" t="n">
        <v>7859.251760871244</v>
      </c>
      <c r="E48" s="29" t="n">
        <v>0</v>
      </c>
      <c r="F48" s="29" t="n">
        <v>0</v>
      </c>
      <c r="G48" s="29" t="n">
        <v>0</v>
      </c>
      <c r="H48" s="29" t="n">
        <v>18515.87693881054</v>
      </c>
      <c r="I48" s="29" t="n">
        <v>43263.8037191261</v>
      </c>
      <c r="J48" s="29" t="n">
        <v>1124786.309720705</v>
      </c>
      <c r="K48" s="29" t="n">
        <v>41260.12557441368</v>
      </c>
      <c r="L48" s="29" t="n">
        <v>38062.30227957584</v>
      </c>
      <c r="M48" s="29" t="n">
        <v>37030.4707586561</v>
      </c>
      <c r="N48" s="29" t="n">
        <v>109655.3867044338</v>
      </c>
      <c r="O48" s="29" t="n">
        <v>39143.85596730292</v>
      </c>
      <c r="P48" s="29" t="n">
        <v>38116.34312840986</v>
      </c>
      <c r="Q48" s="29" t="n">
        <v>83712.80040714555</v>
      </c>
      <c r="R48" s="29" t="n">
        <v>289336.4650117472</v>
      </c>
      <c r="S48" s="29" t="n">
        <v>43393.50895010606</v>
      </c>
      <c r="T48" s="29" t="n">
        <v>128294.7156942475</v>
      </c>
      <c r="U48" s="29" t="n">
        <v>840745.3494204946</v>
      </c>
      <c r="V48" s="29" t="n">
        <v>2783.58920460158</v>
      </c>
      <c r="W48" s="29" t="n">
        <v>261366.7190736661</v>
      </c>
      <c r="X48" s="29" t="n">
        <v>58242.32734172304</v>
      </c>
      <c r="Y48" s="29" t="n">
        <v>215258.359009688</v>
      </c>
      <c r="Z48" s="29" t="n">
        <v>158271.3668303467</v>
      </c>
      <c r="AA48" s="29" t="n">
        <v>261327.101097886</v>
      </c>
      <c r="AB48" s="29" t="n">
        <v>542522.9044981888</v>
      </c>
      <c r="AC48" s="29" t="n">
        <v>769632.5849985071</v>
      </c>
      <c r="AD48" s="29" t="n">
        <v>626047.2884276228</v>
      </c>
      <c r="AE48" s="29" t="n">
        <v>23355.19758046142</v>
      </c>
      <c r="AF48" s="29" t="n">
        <v>220616.5473343057</v>
      </c>
      <c r="AG48" s="29" t="n">
        <v>4739.521334361747</v>
      </c>
      <c r="AH48" s="29" t="n">
        <v>51386.07411058121</v>
      </c>
      <c r="AI48" s="29" t="n">
        <v>18090.9158433457</v>
      </c>
      <c r="AJ48" s="29" t="n">
        <v>149716.5567530016</v>
      </c>
      <c r="AK48" s="29" t="n">
        <v>1065338.555949315</v>
      </c>
      <c r="AL48" s="29" t="n">
        <v>198820.0563364828</v>
      </c>
      <c r="AM48" s="29" t="n">
        <v>32609.25774557568</v>
      </c>
      <c r="AN48" s="29" t="n">
        <v>29143.7085529767</v>
      </c>
      <c r="AO48" s="29" t="n">
        <v>38922.0410691455</v>
      </c>
      <c r="AP48" s="29" t="n">
        <v>19925.76088986122</v>
      </c>
      <c r="AQ48" s="29" t="n">
        <v>2755483.199848334</v>
      </c>
      <c r="AR48" s="29" t="n">
        <v>74355.82891480025</v>
      </c>
      <c r="AS48" s="29" t="n">
        <v>144076.7843367828</v>
      </c>
      <c r="AT48" s="29" t="n">
        <v>6874.726857162855</v>
      </c>
      <c r="AU48" s="29" t="n">
        <v>102581.2668766973</v>
      </c>
      <c r="AV48" s="29" t="n">
        <v>70960.38468327247</v>
      </c>
      <c r="AW48" s="29" t="n">
        <v>28398.03049970723</v>
      </c>
      <c r="AX48" s="29" t="n">
        <v>42382.49430709774</v>
      </c>
      <c r="AY48" s="29" t="n">
        <v>32228.08461768287</v>
      </c>
      <c r="AZ48" s="29" t="n">
        <v>92430.88794719774</v>
      </c>
      <c r="BA48" s="29" t="n">
        <v>53443.64703790411</v>
      </c>
      <c r="BB48" s="29" t="n">
        <v>130805.471835695</v>
      </c>
      <c r="BC48" s="29" t="n">
        <v>73492.24300245079</v>
      </c>
      <c r="BD48" s="29" t="n">
        <v>4260.365680133153</v>
      </c>
      <c r="BE48" s="29" t="n">
        <v>23415.40374253473</v>
      </c>
      <c r="BF48" s="29" t="n">
        <v>15861.2497231925</v>
      </c>
      <c r="BG48" s="29" t="n">
        <v>28476.19085491163</v>
      </c>
      <c r="BH48" s="29" t="n">
        <v>745898.4989076023</v>
      </c>
      <c r="BI48" s="29" t="n">
        <v>38533.88280485061</v>
      </c>
      <c r="BJ48" s="29" t="n">
        <v>24400.58034847374</v>
      </c>
      <c r="BK48" s="29" t="n">
        <v>338124.9115789458</v>
      </c>
      <c r="BL48" s="29" t="n">
        <v>36026.57768169769</v>
      </c>
      <c r="BM48" s="29" t="n">
        <v>32700.94782851496</v>
      </c>
      <c r="BN48" s="29" t="n">
        <v>155963.5578341163</v>
      </c>
      <c r="BO48" s="29" t="n">
        <v>39707.38440122272</v>
      </c>
      <c r="BP48" s="29" t="n">
        <v>138559.8020419104</v>
      </c>
      <c r="BQ48" s="29" t="n">
        <v>73171.75486581826</v>
      </c>
      <c r="BR48" s="29" t="n">
        <v>35682.99837058919</v>
      </c>
      <c r="BS48" s="29" t="n">
        <v>154188.3018549276</v>
      </c>
      <c r="BT48" s="29" t="n">
        <v>698450.7725470773</v>
      </c>
      <c r="BU48" s="29" t="n">
        <v>4006734.241468208</v>
      </c>
      <c r="BV48" s="29" t="n">
        <v>6734653.01116369</v>
      </c>
      <c r="BW48" s="29" t="n">
        <v>5088.900796003699</v>
      </c>
      <c r="BX48" s="29" t="n">
        <v>200739.2038294291</v>
      </c>
      <c r="BY48" s="29" t="n">
        <v>1005315.241313079</v>
      </c>
      <c r="BZ48" s="29" t="n">
        <v>4981.673692742771</v>
      </c>
      <c r="CA48" s="29" t="n">
        <v>253050.5875344225</v>
      </c>
      <c r="CB48" s="29" t="n">
        <v>862.8180139349097</v>
      </c>
      <c r="CC48" s="29" t="n">
        <v>778.3732602689503</v>
      </c>
      <c r="CD48" s="29" t="n">
        <v>228141.9825730182</v>
      </c>
      <c r="CE48" s="29" t="n">
        <v>274607.5178459059</v>
      </c>
      <c r="CF48" s="29" t="n">
        <v>82191.61818965746</v>
      </c>
      <c r="CG48" s="29" t="n">
        <v>1335883.44829104</v>
      </c>
      <c r="CH48" s="29" t="n">
        <v>2697006.823110067</v>
      </c>
      <c r="CI48" s="29" t="n">
        <v>262899.8141594086</v>
      </c>
      <c r="CJ48" s="29" t="n">
        <v>3287379.08574418</v>
      </c>
      <c r="CK48" s="29" t="n">
        <v>1155967.269865286</v>
      </c>
      <c r="CL48" s="29" t="n">
        <v>1459110.125404032</v>
      </c>
      <c r="CM48" s="29" t="n">
        <v>667114.2413367149</v>
      </c>
      <c r="CN48" s="29" t="n">
        <v>148.9966201194411</v>
      </c>
      <c r="CO48" s="29" t="n">
        <v>93.10979284419258</v>
      </c>
      <c r="CP48" s="29" t="n">
        <v>14544.54501350677</v>
      </c>
      <c r="CQ48" s="29" t="n">
        <v>54702.17013174175</v>
      </c>
      <c r="CR48" s="29" t="n">
        <v>653338.0529684488</v>
      </c>
      <c r="CS48" s="29" t="n">
        <v>55407.51176014464</v>
      </c>
      <c r="CT48" s="29" t="n">
        <v>50593.15135841021</v>
      </c>
      <c r="CU48" s="29" t="n">
        <v>6350164.22059748</v>
      </c>
      <c r="CV48" s="29" t="n">
        <v>2541207.675391481</v>
      </c>
      <c r="CW48" s="29" t="n">
        <v>982804.6745868741</v>
      </c>
      <c r="CX48" s="29" t="n">
        <v>330045.59263811</v>
      </c>
      <c r="CY48" s="29" t="n">
        <v>749301.0335889881</v>
      </c>
      <c r="CZ48" s="29" t="n">
        <v>69074.75107101045</v>
      </c>
      <c r="DA48" s="29" t="n">
        <v>289401.8741889391</v>
      </c>
      <c r="DB48" s="29" t="n">
        <v>3706434.266702609</v>
      </c>
      <c r="DC48" s="29" t="n">
        <v>1740678.801315163</v>
      </c>
      <c r="DD48" s="29" t="n">
        <v>289039.1157853926</v>
      </c>
      <c r="DE48" s="29" t="n">
        <v>0</v>
      </c>
      <c r="DF48" s="29">
        <f>SUM(C48:DE48)</f>
        <v/>
      </c>
      <c r="DG48" s="29" t="n">
        <v>0</v>
      </c>
      <c r="DH48" s="29" t="n">
        <v>0</v>
      </c>
      <c r="DI48" s="29" t="n">
        <v>32882783.31080028</v>
      </c>
      <c r="DJ48" s="29" t="n">
        <v>0</v>
      </c>
      <c r="DK48" s="29">
        <f>SUM(DG48:DJ48)</f>
        <v/>
      </c>
      <c r="DL48" s="29">
        <f>DF48+DK48</f>
        <v/>
      </c>
    </row>
    <row r="49">
      <c r="A49" s="30" t="inlineStr">
        <is>
          <t>222</t>
        </is>
      </c>
      <c r="B49" s="30" t="inlineStr">
        <is>
          <t>22210 - Impresión. 22220-Servicios relacionados con la impresión</t>
        </is>
      </c>
      <c r="C49" s="31" t="n">
        <v>49745.70988872262</v>
      </c>
      <c r="D49" s="31" t="n">
        <v>11664.85908966885</v>
      </c>
      <c r="E49" s="31" t="n">
        <v>3.393749874635005</v>
      </c>
      <c r="F49" s="31" t="n">
        <v>3723.552136612235</v>
      </c>
      <c r="G49" s="31" t="n">
        <v>26.56321849243756</v>
      </c>
      <c r="H49" s="31" t="n">
        <v>83000.26840842009</v>
      </c>
      <c r="I49" s="31" t="n">
        <v>22808.92088004166</v>
      </c>
      <c r="J49" s="31" t="n">
        <v>11412.56601421803</v>
      </c>
      <c r="K49" s="31" t="n">
        <v>322591.6899092025</v>
      </c>
      <c r="L49" s="31" t="n">
        <v>626993.990531611</v>
      </c>
      <c r="M49" s="31" t="n">
        <v>270010.9911431865</v>
      </c>
      <c r="N49" s="31" t="n">
        <v>240941.2070679009</v>
      </c>
      <c r="O49" s="31" t="n">
        <v>91817.39820337156</v>
      </c>
      <c r="P49" s="31" t="n">
        <v>103232.9973687445</v>
      </c>
      <c r="Q49" s="31" t="n">
        <v>296155.7178299612</v>
      </c>
      <c r="R49" s="31" t="n">
        <v>471614.8138694493</v>
      </c>
      <c r="S49" s="31" t="n">
        <v>193611.5673594449</v>
      </c>
      <c r="T49" s="31" t="n">
        <v>202931.2304476456</v>
      </c>
      <c r="U49" s="31" t="n">
        <v>415014.0103973597</v>
      </c>
      <c r="V49" s="31" t="n">
        <v>111320.8417327924</v>
      </c>
      <c r="W49" s="31" t="n">
        <v>350474.4061081914</v>
      </c>
      <c r="X49" s="31" t="n">
        <v>50650.88259768155</v>
      </c>
      <c r="Y49" s="31" t="n">
        <v>513313.1129041525</v>
      </c>
      <c r="Z49" s="31" t="n">
        <v>78332.07605731628</v>
      </c>
      <c r="AA49" s="31" t="n">
        <v>336765.9386775711</v>
      </c>
      <c r="AB49" s="31" t="n">
        <v>99641.75993186643</v>
      </c>
      <c r="AC49" s="31" t="n">
        <v>370620.7836480444</v>
      </c>
      <c r="AD49" s="31" t="n">
        <v>254663.9375628144</v>
      </c>
      <c r="AE49" s="31" t="n">
        <v>191265.3539437168</v>
      </c>
      <c r="AF49" s="31" t="n">
        <v>123165.5431377489</v>
      </c>
      <c r="AG49" s="31" t="n">
        <v>19611.1492541445</v>
      </c>
      <c r="AH49" s="31" t="n">
        <v>52709.7181834353</v>
      </c>
      <c r="AI49" s="31" t="n">
        <v>216985.4860761475</v>
      </c>
      <c r="AJ49" s="31" t="n">
        <v>2723598.016775563</v>
      </c>
      <c r="AK49" s="31" t="n">
        <v>4355260.569766896</v>
      </c>
      <c r="AL49" s="31" t="n">
        <v>1266085.044888357</v>
      </c>
      <c r="AM49" s="31" t="n">
        <v>116628.9068572202</v>
      </c>
      <c r="AN49" s="31" t="n">
        <v>153599.0703376358</v>
      </c>
      <c r="AO49" s="31" t="n">
        <v>72488.9845802942</v>
      </c>
      <c r="AP49" s="31" t="n">
        <v>116578.2963699474</v>
      </c>
      <c r="AQ49" s="31" t="n">
        <v>1046105.131162355</v>
      </c>
      <c r="AR49" s="31" t="n">
        <v>112327.526551619</v>
      </c>
      <c r="AS49" s="31" t="n">
        <v>643620.9248447928</v>
      </c>
      <c r="AT49" s="31" t="n">
        <v>44009.78738992236</v>
      </c>
      <c r="AU49" s="31" t="n">
        <v>414201.3896259912</v>
      </c>
      <c r="AV49" s="31" t="n">
        <v>424800.6310044268</v>
      </c>
      <c r="AW49" s="31" t="n">
        <v>139808.8264221637</v>
      </c>
      <c r="AX49" s="31" t="n">
        <v>269685.9670136236</v>
      </c>
      <c r="AY49" s="31" t="n">
        <v>56761.86137252147</v>
      </c>
      <c r="AZ49" s="31" t="n">
        <v>226898.9396113299</v>
      </c>
      <c r="BA49" s="31" t="n">
        <v>110410.5448161781</v>
      </c>
      <c r="BB49" s="31" t="n">
        <v>104454.7977597928</v>
      </c>
      <c r="BC49" s="31" t="n">
        <v>101193.6410376792</v>
      </c>
      <c r="BD49" s="31" t="n">
        <v>16888.91239567693</v>
      </c>
      <c r="BE49" s="31" t="n">
        <v>69841.19864675438</v>
      </c>
      <c r="BF49" s="31" t="n">
        <v>52854.59515783205</v>
      </c>
      <c r="BG49" s="31" t="n">
        <v>66072.92197643817</v>
      </c>
      <c r="BH49" s="31" t="n">
        <v>378266.1660196717</v>
      </c>
      <c r="BI49" s="31" t="n">
        <v>68501.36840086838</v>
      </c>
      <c r="BJ49" s="31" t="n">
        <v>62830.13497139448</v>
      </c>
      <c r="BK49" s="31" t="n">
        <v>121003.4694595761</v>
      </c>
      <c r="BL49" s="31" t="n">
        <v>143613.6966664847</v>
      </c>
      <c r="BM49" s="31" t="n">
        <v>39950.19884321893</v>
      </c>
      <c r="BN49" s="31" t="n">
        <v>220748.5630168914</v>
      </c>
      <c r="BO49" s="31" t="n">
        <v>213371.8557909463</v>
      </c>
      <c r="BP49" s="31" t="n">
        <v>251188.7259118111</v>
      </c>
      <c r="BQ49" s="31" t="n">
        <v>76842.07307242382</v>
      </c>
      <c r="BR49" s="31" t="n">
        <v>34277.12355051463</v>
      </c>
      <c r="BS49" s="31" t="n">
        <v>92005.35054043702</v>
      </c>
      <c r="BT49" s="31" t="n">
        <v>929966.8620191796</v>
      </c>
      <c r="BU49" s="31" t="n">
        <v>6193220.316076939</v>
      </c>
      <c r="BV49" s="31" t="n">
        <v>7819231.405192246</v>
      </c>
      <c r="BW49" s="31" t="n">
        <v>33914.0430827434</v>
      </c>
      <c r="BX49" s="31" t="n">
        <v>209443.4015492018</v>
      </c>
      <c r="BY49" s="31" t="n">
        <v>533066.9758961024</v>
      </c>
      <c r="BZ49" s="31" t="n">
        <v>3355.844846817228</v>
      </c>
      <c r="CA49" s="31" t="n">
        <v>26080.92618014718</v>
      </c>
      <c r="CB49" s="31" t="n">
        <v>9488.450615478641</v>
      </c>
      <c r="CC49" s="31" t="n">
        <v>749.0046328847361</v>
      </c>
      <c r="CD49" s="31" t="n">
        <v>47431.58680447939</v>
      </c>
      <c r="CE49" s="31" t="n">
        <v>6307.594816712478</v>
      </c>
      <c r="CF49" s="31" t="n">
        <v>131117.6293127712</v>
      </c>
      <c r="CG49" s="31" t="n">
        <v>547330.3194458499</v>
      </c>
      <c r="CH49" s="31" t="n">
        <v>840027.1984591563</v>
      </c>
      <c r="CI49" s="31" t="n">
        <v>536120.8912370879</v>
      </c>
      <c r="CJ49" s="31" t="n">
        <v>14779218.94223991</v>
      </c>
      <c r="CK49" s="31" t="n">
        <v>997803.3961983775</v>
      </c>
      <c r="CL49" s="31" t="n">
        <v>1133147.079524572</v>
      </c>
      <c r="CM49" s="31" t="n">
        <v>768832.7753415516</v>
      </c>
      <c r="CN49" s="31" t="n">
        <v>58052.21749141871</v>
      </c>
      <c r="CO49" s="31" t="n">
        <v>36275.53451736868</v>
      </c>
      <c r="CP49" s="31" t="n">
        <v>18063.77103642789</v>
      </c>
      <c r="CQ49" s="31" t="n">
        <v>92475.50873662061</v>
      </c>
      <c r="CR49" s="31" t="n">
        <v>2828623.483317441</v>
      </c>
      <c r="CS49" s="31" t="n">
        <v>85047.01154430013</v>
      </c>
      <c r="CT49" s="31" t="n">
        <v>77657.27409430932</v>
      </c>
      <c r="CU49" s="31" t="n">
        <v>13730942.83859611</v>
      </c>
      <c r="CV49" s="31" t="n">
        <v>2770237.945879536</v>
      </c>
      <c r="CW49" s="31" t="n">
        <v>3148201.917391897</v>
      </c>
      <c r="CX49" s="31" t="n">
        <v>961279.8261242356</v>
      </c>
      <c r="CY49" s="31" t="n">
        <v>1010452.503358892</v>
      </c>
      <c r="CZ49" s="31" t="n">
        <v>276867.2584578106</v>
      </c>
      <c r="DA49" s="31" t="n">
        <v>159992.6668537151</v>
      </c>
      <c r="DB49" s="31" t="n">
        <v>1190100.01458883</v>
      </c>
      <c r="DC49" s="31" t="n">
        <v>685731.0906950419</v>
      </c>
      <c r="DD49" s="31" t="n">
        <v>605997.9787524183</v>
      </c>
      <c r="DE49" s="31" t="n">
        <v>0</v>
      </c>
      <c r="DF49" s="31">
        <f>SUM(C49:DE49)</f>
        <v/>
      </c>
      <c r="DG49" s="31" t="n">
        <v>0</v>
      </c>
      <c r="DH49" s="31" t="n">
        <v>0</v>
      </c>
      <c r="DI49" s="31" t="n">
        <v>13020524.04469273</v>
      </c>
      <c r="DJ49" s="31" t="n">
        <v>0</v>
      </c>
      <c r="DK49" s="31">
        <f>SUM(DG49:DJ49)</f>
        <v/>
      </c>
      <c r="DL49" s="31">
        <f>DF49+DK49</f>
        <v/>
      </c>
    </row>
    <row r="50">
      <c r="A50" s="28" t="inlineStr">
        <is>
          <t>23</t>
        </is>
      </c>
      <c r="B50" s="28" t="inlineStr">
        <is>
          <t>23200 - Fabricación de productos de la refinación del petróleo. 23300-Fabricación de combustible nuclear</t>
        </is>
      </c>
      <c r="C50" s="29" t="n">
        <v>46853209.38575083</v>
      </c>
      <c r="D50" s="29" t="n">
        <v>4387697.601024929</v>
      </c>
      <c r="E50" s="29" t="n">
        <v>32457.309884917</v>
      </c>
      <c r="F50" s="29" t="n">
        <v>3742766.92995487</v>
      </c>
      <c r="G50" s="29" t="n">
        <v>51856.60992634272</v>
      </c>
      <c r="H50" s="29" t="n">
        <v>6140444.574368896</v>
      </c>
      <c r="I50" s="29" t="n">
        <v>66480.00410746757</v>
      </c>
      <c r="J50" s="29" t="n">
        <v>1015277.902630475</v>
      </c>
      <c r="K50" s="29" t="n">
        <v>2960926.722548885</v>
      </c>
      <c r="L50" s="29" t="n">
        <v>2357602.816359435</v>
      </c>
      <c r="M50" s="29" t="n">
        <v>1907446.514288436</v>
      </c>
      <c r="N50" s="29" t="n">
        <v>619416.8207964839</v>
      </c>
      <c r="O50" s="29" t="n">
        <v>1413213.760966672</v>
      </c>
      <c r="P50" s="29" t="n">
        <v>376677.1875152212</v>
      </c>
      <c r="Q50" s="29" t="n">
        <v>1881497.47582992</v>
      </c>
      <c r="R50" s="29" t="n">
        <v>1360590.706779236</v>
      </c>
      <c r="S50" s="29" t="n">
        <v>373920.5712194711</v>
      </c>
      <c r="T50" s="29" t="n">
        <v>761812.4729597848</v>
      </c>
      <c r="U50" s="29" t="n">
        <v>658247.2763117696</v>
      </c>
      <c r="V50" s="29" t="n">
        <v>417185.3377108343</v>
      </c>
      <c r="W50" s="29" t="n">
        <v>150470.1036552917</v>
      </c>
      <c r="X50" s="29" t="n">
        <v>124818.0508790036</v>
      </c>
      <c r="Y50" s="29" t="n">
        <v>717730.3993612111</v>
      </c>
      <c r="Z50" s="29" t="n">
        <v>37468.16621975346</v>
      </c>
      <c r="AA50" s="29" t="n">
        <v>460123.6095073802</v>
      </c>
      <c r="AB50" s="29" t="n">
        <v>26587.29703502803</v>
      </c>
      <c r="AC50" s="29" t="n">
        <v>949538.7467404702</v>
      </c>
      <c r="AD50" s="29" t="n">
        <v>175996.6268917302</v>
      </c>
      <c r="AE50" s="29" t="n">
        <v>479005.4481840424</v>
      </c>
      <c r="AF50" s="29" t="n">
        <v>113454.2648781826</v>
      </c>
      <c r="AG50" s="29" t="n">
        <v>83794.15118259523</v>
      </c>
      <c r="AH50" s="29" t="n">
        <v>91787.72534625631</v>
      </c>
      <c r="AI50" s="29" t="n">
        <v>990585.227125395</v>
      </c>
      <c r="AJ50" s="29" t="n">
        <v>715344.8164912395</v>
      </c>
      <c r="AK50" s="29" t="n">
        <v>95614.85536341909</v>
      </c>
      <c r="AL50" s="29" t="n">
        <v>149412.4817866042</v>
      </c>
      <c r="AM50" s="29" t="n">
        <v>38917398.73339641</v>
      </c>
      <c r="AN50" s="29" t="n">
        <v>23970296.14057994</v>
      </c>
      <c r="AO50" s="29" t="n">
        <v>551865.7185515807</v>
      </c>
      <c r="AP50" s="29" t="n">
        <v>10627519.89181527</v>
      </c>
      <c r="AQ50" s="29" t="n">
        <v>8720020.68560498</v>
      </c>
      <c r="AR50" s="29" t="n">
        <v>371543.5565667242</v>
      </c>
      <c r="AS50" s="29" t="n">
        <v>321213.1796417312</v>
      </c>
      <c r="AT50" s="29" t="n">
        <v>202255.7078186745</v>
      </c>
      <c r="AU50" s="29" t="n">
        <v>5085883.474186267</v>
      </c>
      <c r="AV50" s="29" t="n">
        <v>1088007.877444712</v>
      </c>
      <c r="AW50" s="29" t="n">
        <v>1807460.79522855</v>
      </c>
      <c r="AX50" s="29" t="n">
        <v>1084539.777852525</v>
      </c>
      <c r="AY50" s="29" t="n">
        <v>372626.0373460362</v>
      </c>
      <c r="AZ50" s="29" t="n">
        <v>644904.3547279323</v>
      </c>
      <c r="BA50" s="29" t="n">
        <v>196508.2856094324</v>
      </c>
      <c r="BB50" s="29" t="n">
        <v>231398.6755194681</v>
      </c>
      <c r="BC50" s="29" t="n">
        <v>121792.605836462</v>
      </c>
      <c r="BD50" s="29" t="n">
        <v>1872.192422023625</v>
      </c>
      <c r="BE50" s="29" t="n">
        <v>337854.9333260438</v>
      </c>
      <c r="BF50" s="29" t="n">
        <v>70012.94856319993</v>
      </c>
      <c r="BG50" s="29" t="n">
        <v>145013.7996504869</v>
      </c>
      <c r="BH50" s="29" t="n">
        <v>147370.0451654847</v>
      </c>
      <c r="BI50" s="29" t="n">
        <v>5202.456486059067</v>
      </c>
      <c r="BJ50" s="29" t="n">
        <v>33764.37489286646</v>
      </c>
      <c r="BK50" s="29" t="n">
        <v>253465.5060316862</v>
      </c>
      <c r="BL50" s="29" t="n">
        <v>437284.8066765785</v>
      </c>
      <c r="BM50" s="29" t="n">
        <v>163005.3231753852</v>
      </c>
      <c r="BN50" s="29" t="n">
        <v>520490.4635831646</v>
      </c>
      <c r="BO50" s="29" t="n">
        <v>518041.650390952</v>
      </c>
      <c r="BP50" s="29" t="n">
        <v>24911498.45829996</v>
      </c>
      <c r="BQ50" s="29" t="n">
        <v>843806.6575514184</v>
      </c>
      <c r="BR50" s="29" t="n">
        <v>426761.4381692845</v>
      </c>
      <c r="BS50" s="29" t="n">
        <v>9074704.656257413</v>
      </c>
      <c r="BT50" s="29" t="n">
        <v>3859817.257333611</v>
      </c>
      <c r="BU50" s="29" t="n">
        <v>22772389.84748109</v>
      </c>
      <c r="BV50" s="29" t="n">
        <v>22957649.6215611</v>
      </c>
      <c r="BW50" s="29" t="n">
        <v>8928.048418580001</v>
      </c>
      <c r="BX50" s="29" t="n">
        <v>135697.1122229524</v>
      </c>
      <c r="BY50" s="29" t="n">
        <v>950718.291834414</v>
      </c>
      <c r="BZ50" s="29" t="n">
        <v>1180610.985759054</v>
      </c>
      <c r="CA50" s="29" t="n">
        <v>141196397.6386528</v>
      </c>
      <c r="CB50" s="29" t="n">
        <v>366296.4574558781</v>
      </c>
      <c r="CC50" s="29" t="n">
        <v>211033.596538414</v>
      </c>
      <c r="CD50" s="29" t="n">
        <v>31332033.05392963</v>
      </c>
      <c r="CE50" s="29" t="n">
        <v>16368634.7246831</v>
      </c>
      <c r="CF50" s="29" t="n">
        <v>719698.3964490595</v>
      </c>
      <c r="CG50" s="29" t="n">
        <v>478699.4725357309</v>
      </c>
      <c r="CH50" s="29" t="n">
        <v>1078075.1316737</v>
      </c>
      <c r="CI50" s="29" t="n">
        <v>134815.4360846108</v>
      </c>
      <c r="CJ50" s="29" t="n">
        <v>301050.8888120654</v>
      </c>
      <c r="CK50" s="29" t="n">
        <v>64202.94245897766</v>
      </c>
      <c r="CL50" s="29" t="n">
        <v>1372157.569852183</v>
      </c>
      <c r="CM50" s="29" t="n">
        <v>3004437.718857462</v>
      </c>
      <c r="CN50" s="29" t="n">
        <v>0</v>
      </c>
      <c r="CO50" s="29" t="n">
        <v>0</v>
      </c>
      <c r="CP50" s="29" t="n">
        <v>29053.47008081735</v>
      </c>
      <c r="CQ50" s="29" t="n">
        <v>1182252.785945657</v>
      </c>
      <c r="CR50" s="29" t="n">
        <v>876876.6421787292</v>
      </c>
      <c r="CS50" s="29" t="n">
        <v>478639.8062299439</v>
      </c>
      <c r="CT50" s="29" t="n">
        <v>437050.7787388225</v>
      </c>
      <c r="CU50" s="29" t="n">
        <v>4457251.187748638</v>
      </c>
      <c r="CV50" s="29" t="n">
        <v>23316897.48885039</v>
      </c>
      <c r="CW50" s="29" t="n">
        <v>395866.4357208498</v>
      </c>
      <c r="CX50" s="29" t="n">
        <v>230020.412136179</v>
      </c>
      <c r="CY50" s="29" t="n">
        <v>2776704.426576511</v>
      </c>
      <c r="CZ50" s="29" t="n">
        <v>805468.1884054544</v>
      </c>
      <c r="DA50" s="29" t="n">
        <v>6512421.567349656</v>
      </c>
      <c r="DB50" s="29" t="n">
        <v>737602.6617766417</v>
      </c>
      <c r="DC50" s="29" t="n">
        <v>575720.331191384</v>
      </c>
      <c r="DD50" s="29" t="n">
        <v>157687.5808782539</v>
      </c>
      <c r="DE50" s="29" t="n">
        <v>0</v>
      </c>
      <c r="DF50" s="29">
        <f>SUM(C50:DE50)</f>
        <v/>
      </c>
      <c r="DG50" s="29" t="n">
        <v>0</v>
      </c>
      <c r="DH50" s="29" t="n">
        <v>0</v>
      </c>
      <c r="DI50" s="29" t="n">
        <v>247714711.4793321</v>
      </c>
      <c r="DJ50" s="29" t="n">
        <v>0</v>
      </c>
      <c r="DK50" s="29">
        <f>SUM(DG50:DJ50)</f>
        <v/>
      </c>
      <c r="DL50" s="29">
        <f>DF50+DK50</f>
        <v/>
      </c>
    </row>
    <row r="51">
      <c r="A51" s="30" t="inlineStr">
        <is>
          <t>2411</t>
        </is>
      </c>
      <c r="B51" s="30" t="inlineStr">
        <is>
          <t>24111 - Fabricación de gases comprimidos y licuados. 24119-Fabricación de materias químicas orgánicas básicas, n.c.p.</t>
        </is>
      </c>
      <c r="C51" s="31" t="n">
        <v>2396033.189408741</v>
      </c>
      <c r="D51" s="31" t="n">
        <v>179817.1758678648</v>
      </c>
      <c r="E51" s="31" t="n">
        <v>423.2034421341915</v>
      </c>
      <c r="F51" s="31" t="n">
        <v>60601.18804209783</v>
      </c>
      <c r="G51" s="31" t="n">
        <v>883.1393512687388</v>
      </c>
      <c r="H51" s="31" t="n">
        <v>122728.1686837663</v>
      </c>
      <c r="I51" s="31" t="n">
        <v>899.9019662514493</v>
      </c>
      <c r="J51" s="31" t="n">
        <v>57917.97995682764</v>
      </c>
      <c r="K51" s="31" t="n">
        <v>59239.68269926909</v>
      </c>
      <c r="L51" s="31" t="n">
        <v>175152.4417076234</v>
      </c>
      <c r="M51" s="31" t="n">
        <v>1162188.880765782</v>
      </c>
      <c r="N51" s="31" t="n">
        <v>295982.8665470666</v>
      </c>
      <c r="O51" s="31" t="n">
        <v>27894.72263841445</v>
      </c>
      <c r="P51" s="31" t="n">
        <v>478232.2001910909</v>
      </c>
      <c r="Q51" s="31" t="n">
        <v>272682.9248348729</v>
      </c>
      <c r="R51" s="31" t="n">
        <v>1148265.489997676</v>
      </c>
      <c r="S51" s="31" t="n">
        <v>250119.9591474403</v>
      </c>
      <c r="T51" s="31" t="n">
        <v>792652.9760453384</v>
      </c>
      <c r="U51" s="31" t="n">
        <v>376815.9588824111</v>
      </c>
      <c r="V51" s="31" t="n">
        <v>293978.6531560828</v>
      </c>
      <c r="W51" s="31" t="n">
        <v>745661.3922682509</v>
      </c>
      <c r="X51" s="31" t="n">
        <v>143707.0267531018</v>
      </c>
      <c r="Y51" s="31" t="n">
        <v>1484445.861663218</v>
      </c>
      <c r="Z51" s="31" t="n">
        <v>98929.91605589385</v>
      </c>
      <c r="AA51" s="31" t="n">
        <v>370553.5381201127</v>
      </c>
      <c r="AB51" s="31" t="n">
        <v>25477.58671188245</v>
      </c>
      <c r="AC51" s="31" t="n">
        <v>3849158.74575099</v>
      </c>
      <c r="AD51" s="31" t="n">
        <v>104157.8691469483</v>
      </c>
      <c r="AE51" s="31" t="n">
        <v>2292186.19135433</v>
      </c>
      <c r="AF51" s="31" t="n">
        <v>720300.0052719165</v>
      </c>
      <c r="AG51" s="31" t="n">
        <v>4109359.668735302</v>
      </c>
      <c r="AH51" s="31" t="n">
        <v>731021.9314452341</v>
      </c>
      <c r="AI51" s="31" t="n">
        <v>237187.836907616</v>
      </c>
      <c r="AJ51" s="31" t="n">
        <v>3177377.622485734</v>
      </c>
      <c r="AK51" s="31" t="n">
        <v>82173.350817814</v>
      </c>
      <c r="AL51" s="31" t="n">
        <v>1177566.233504171</v>
      </c>
      <c r="AM51" s="31" t="n">
        <v>5246784.998806551</v>
      </c>
      <c r="AN51" s="31" t="n">
        <v>15654655.58104723</v>
      </c>
      <c r="AO51" s="31" t="n">
        <v>5293024.547553418</v>
      </c>
      <c r="AP51" s="31" t="n">
        <v>40220440.69960079</v>
      </c>
      <c r="AQ51" s="31" t="n">
        <v>33091357.01386784</v>
      </c>
      <c r="AR51" s="31" t="n">
        <v>3585047.173601614</v>
      </c>
      <c r="AS51" s="31" t="n">
        <v>4233746.443814536</v>
      </c>
      <c r="AT51" s="31" t="n">
        <v>1407268.977523163</v>
      </c>
      <c r="AU51" s="31" t="n">
        <v>1440994.525841043</v>
      </c>
      <c r="AV51" s="31" t="n">
        <v>3130381.365057188</v>
      </c>
      <c r="AW51" s="31" t="n">
        <v>1671236.496764422</v>
      </c>
      <c r="AX51" s="31" t="n">
        <v>946726.3088624354</v>
      </c>
      <c r="AY51" s="31" t="n">
        <v>186379.207023968</v>
      </c>
      <c r="AZ51" s="31" t="n">
        <v>1134358.250155223</v>
      </c>
      <c r="BA51" s="31" t="n">
        <v>159918.0290561078</v>
      </c>
      <c r="BB51" s="31" t="n">
        <v>257448.4547161483</v>
      </c>
      <c r="BC51" s="31" t="n">
        <v>130780.6307652539</v>
      </c>
      <c r="BD51" s="31" t="n">
        <v>64811.83586939776</v>
      </c>
      <c r="BE51" s="31" t="n">
        <v>36509.16786547746</v>
      </c>
      <c r="BF51" s="31" t="n">
        <v>189389.1769966976</v>
      </c>
      <c r="BG51" s="31" t="n">
        <v>277845.1231745554</v>
      </c>
      <c r="BH51" s="31" t="n">
        <v>46232.98175145435</v>
      </c>
      <c r="BI51" s="31" t="n">
        <v>16955.23004053342</v>
      </c>
      <c r="BJ51" s="31" t="n">
        <v>89447.25912939261</v>
      </c>
      <c r="BK51" s="31" t="n">
        <v>259498.7614780347</v>
      </c>
      <c r="BL51" s="31" t="n">
        <v>505189.6958167618</v>
      </c>
      <c r="BM51" s="31" t="n">
        <v>175879.6763165149</v>
      </c>
      <c r="BN51" s="31" t="n">
        <v>580033.6444974425</v>
      </c>
      <c r="BO51" s="31" t="n">
        <v>178669.6803491058</v>
      </c>
      <c r="BP51" s="31" t="n">
        <v>369934.381132295</v>
      </c>
      <c r="BQ51" s="31" t="n">
        <v>30701.75723505802</v>
      </c>
      <c r="BR51" s="31" t="n">
        <v>1505980.838039221</v>
      </c>
      <c r="BS51" s="31" t="n">
        <v>1286695.465815594</v>
      </c>
      <c r="BT51" s="31" t="n">
        <v>121953.6167898729</v>
      </c>
      <c r="BU51" s="31" t="n">
        <v>366708.0260238356</v>
      </c>
      <c r="BV51" s="31" t="n">
        <v>449536.4402399164</v>
      </c>
      <c r="BW51" s="31" t="n">
        <v>227270.3993277772</v>
      </c>
      <c r="BX51" s="31" t="n">
        <v>15991.9435672123</v>
      </c>
      <c r="BY51" s="31" t="n">
        <v>187981.0767125762</v>
      </c>
      <c r="BZ51" s="31" t="n">
        <v>19474.57826666216</v>
      </c>
      <c r="CA51" s="31" t="n">
        <v>2068549.818310457</v>
      </c>
      <c r="CB51" s="31" t="n">
        <v>25490.82126269223</v>
      </c>
      <c r="CC51" s="31" t="n">
        <v>5591.209488919563</v>
      </c>
      <c r="CD51" s="31" t="n">
        <v>472297.8969263769</v>
      </c>
      <c r="CE51" s="31" t="n">
        <v>228356.6180639403</v>
      </c>
      <c r="CF51" s="31" t="n">
        <v>12533.33395477719</v>
      </c>
      <c r="CG51" s="31" t="n">
        <v>57128.50155780604</v>
      </c>
      <c r="CH51" s="31" t="n">
        <v>286913.7613518375</v>
      </c>
      <c r="CI51" s="31" t="n">
        <v>7663.21409109669</v>
      </c>
      <c r="CJ51" s="31" t="n">
        <v>71498.50323475435</v>
      </c>
      <c r="CK51" s="31" t="n">
        <v>34082.01715232496</v>
      </c>
      <c r="CL51" s="31" t="n">
        <v>76548.84347374654</v>
      </c>
      <c r="CM51" s="31" t="n">
        <v>81735.33625095476</v>
      </c>
      <c r="CN51" s="31" t="n">
        <v>411617.481807186</v>
      </c>
      <c r="CO51" s="31" t="n">
        <v>193045.6661730002</v>
      </c>
      <c r="CP51" s="31" t="n">
        <v>22474.14852798313</v>
      </c>
      <c r="CQ51" s="31" t="n">
        <v>20608.05938062127</v>
      </c>
      <c r="CR51" s="31" t="n">
        <v>206131.1200601974</v>
      </c>
      <c r="CS51" s="31" t="n">
        <v>17763.66349905162</v>
      </c>
      <c r="CT51" s="31" t="n">
        <v>16220.17823102906</v>
      </c>
      <c r="CU51" s="31" t="n">
        <v>444259.8215494182</v>
      </c>
      <c r="CV51" s="31" t="n">
        <v>865044.6320346075</v>
      </c>
      <c r="CW51" s="31" t="n">
        <v>41822.88060419983</v>
      </c>
      <c r="CX51" s="31" t="n">
        <v>31917.84419620353</v>
      </c>
      <c r="CY51" s="31" t="n">
        <v>7477154.547848622</v>
      </c>
      <c r="CZ51" s="31" t="n">
        <v>3605164.86760759</v>
      </c>
      <c r="DA51" s="31" t="n">
        <v>222743.851215376</v>
      </c>
      <c r="DB51" s="31" t="n">
        <v>184691.0496443824</v>
      </c>
      <c r="DC51" s="31" t="n">
        <v>77226.77629037327</v>
      </c>
      <c r="DD51" s="31" t="n">
        <v>77204.13554526163</v>
      </c>
      <c r="DE51" s="31" t="n">
        <v>0</v>
      </c>
      <c r="DF51" s="31">
        <f>SUM(C51:DE51)</f>
        <v/>
      </c>
      <c r="DG51" s="31" t="n">
        <v>0</v>
      </c>
      <c r="DH51" s="31" t="n">
        <v>0</v>
      </c>
      <c r="DI51" s="31" t="n">
        <v>19696182.51281201</v>
      </c>
      <c r="DJ51" s="31" t="n">
        <v>0</v>
      </c>
      <c r="DK51" s="31">
        <f>SUM(DG51:DJ51)</f>
        <v/>
      </c>
      <c r="DL51" s="31">
        <f>DF51+DK51</f>
        <v/>
      </c>
    </row>
    <row r="52">
      <c r="A52" s="28" t="inlineStr">
        <is>
          <t>2412/2421</t>
        </is>
      </c>
      <c r="B52" s="28" t="inlineStr">
        <is>
          <t>24120 - Fabricación de abonos y compuestos de nitrógeno. 24210 - Fabricación de plaguicidas y productos químicos de uso agropecuario</t>
        </is>
      </c>
      <c r="C52" s="29" t="n">
        <v>93381114.69526291</v>
      </c>
      <c r="D52" s="29" t="n">
        <v>354422.9919917507</v>
      </c>
      <c r="E52" s="29" t="n">
        <v>0</v>
      </c>
      <c r="F52" s="29" t="n">
        <v>739915.6166238741</v>
      </c>
      <c r="G52" s="29" t="n">
        <v>24473.90919437834</v>
      </c>
      <c r="H52" s="29" t="n">
        <v>2908.024725520188</v>
      </c>
      <c r="I52" s="29" t="n">
        <v>0.1325779941015904</v>
      </c>
      <c r="J52" s="29" t="n">
        <v>50.20483767611443</v>
      </c>
      <c r="K52" s="29" t="n">
        <v>377.9344836365266</v>
      </c>
      <c r="L52" s="29" t="n">
        <v>6.321396204661776</v>
      </c>
      <c r="M52" s="29" t="n">
        <v>13.51792749197651</v>
      </c>
      <c r="N52" s="29" t="n">
        <v>5015.247683947289</v>
      </c>
      <c r="O52" s="29" t="n">
        <v>1967.443342246254</v>
      </c>
      <c r="P52" s="29" t="n">
        <v>2352.786304046204</v>
      </c>
      <c r="Q52" s="29" t="n">
        <v>24924.70879974545</v>
      </c>
      <c r="R52" s="29" t="n">
        <v>5466.229636754908</v>
      </c>
      <c r="S52" s="29" t="n">
        <v>1791.014441851936</v>
      </c>
      <c r="T52" s="29" t="n">
        <v>8731.104408556726</v>
      </c>
      <c r="U52" s="29" t="n">
        <v>31103.75246698691</v>
      </c>
      <c r="V52" s="29" t="n">
        <v>3116.097414909711</v>
      </c>
      <c r="W52" s="29" t="n">
        <v>20850.62671012839</v>
      </c>
      <c r="X52" s="29" t="n">
        <v>1909.120931385911</v>
      </c>
      <c r="Y52" s="29" t="n">
        <v>47377.71098304885</v>
      </c>
      <c r="Z52" s="29" t="n">
        <v>689.6209500206462</v>
      </c>
      <c r="AA52" s="29" t="n">
        <v>3814.892732488569</v>
      </c>
      <c r="AB52" s="29" t="n">
        <v>682.5087353815851</v>
      </c>
      <c r="AC52" s="29" t="n">
        <v>246448.5561410851</v>
      </c>
      <c r="AD52" s="29" t="n">
        <v>479.1403228364985</v>
      </c>
      <c r="AE52" s="29" t="n">
        <v>83526.46171048653</v>
      </c>
      <c r="AF52" s="29" t="n">
        <v>25747.64950886984</v>
      </c>
      <c r="AG52" s="29" t="n">
        <v>118035.5543773883</v>
      </c>
      <c r="AH52" s="29" t="n">
        <v>25657.35607592703</v>
      </c>
      <c r="AI52" s="29" t="n">
        <v>8037.307902199887</v>
      </c>
      <c r="AJ52" s="29" t="n">
        <v>19169.13653001525</v>
      </c>
      <c r="AK52" s="29" t="n">
        <v>2347.109124817497</v>
      </c>
      <c r="AL52" s="29" t="n">
        <v>30642.76798812854</v>
      </c>
      <c r="AM52" s="29" t="n">
        <v>11232.90436654165</v>
      </c>
      <c r="AN52" s="29" t="n">
        <v>717036.0627662543</v>
      </c>
      <c r="AO52" s="29" t="n">
        <v>2433782.522663793</v>
      </c>
      <c r="AP52" s="29" t="n">
        <v>389259.561243814</v>
      </c>
      <c r="AQ52" s="29" t="n">
        <v>2078040.372814503</v>
      </c>
      <c r="AR52" s="29" t="n">
        <v>10418.71894557721</v>
      </c>
      <c r="AS52" s="29" t="n">
        <v>66985.94685744101</v>
      </c>
      <c r="AT52" s="29" t="n">
        <v>13604.97006262935</v>
      </c>
      <c r="AU52" s="29" t="n">
        <v>11567.97180487181</v>
      </c>
      <c r="AV52" s="29" t="n">
        <v>11649.75380218285</v>
      </c>
      <c r="AW52" s="29" t="n">
        <v>6856.753545105099</v>
      </c>
      <c r="AX52" s="29" t="n">
        <v>10301.78373024547</v>
      </c>
      <c r="AY52" s="29" t="n">
        <v>993.0561241183379</v>
      </c>
      <c r="AZ52" s="29" t="n">
        <v>37274.75545266496</v>
      </c>
      <c r="BA52" s="29" t="n">
        <v>1309.963948787254</v>
      </c>
      <c r="BB52" s="29" t="n">
        <v>3972.462380857485</v>
      </c>
      <c r="BC52" s="29" t="n">
        <v>766.7804914284033</v>
      </c>
      <c r="BD52" s="29" t="n">
        <v>75.48615639245028</v>
      </c>
      <c r="BE52" s="29" t="n">
        <v>758.5190995385497</v>
      </c>
      <c r="BF52" s="29" t="n">
        <v>1023.654343204247</v>
      </c>
      <c r="BG52" s="29" t="n">
        <v>634.055950907331</v>
      </c>
      <c r="BH52" s="29" t="n">
        <v>6636.91599680183</v>
      </c>
      <c r="BI52" s="29" t="n">
        <v>133.5680121003675</v>
      </c>
      <c r="BJ52" s="29" t="n">
        <v>627.4644434317431</v>
      </c>
      <c r="BK52" s="29" t="n">
        <v>4247.638113822632</v>
      </c>
      <c r="BL52" s="29" t="n">
        <v>1719.415076667686</v>
      </c>
      <c r="BM52" s="29" t="n">
        <v>646.3409775985576</v>
      </c>
      <c r="BN52" s="29" t="n">
        <v>3764.287646068352</v>
      </c>
      <c r="BO52" s="29" t="n">
        <v>5715.537759399976</v>
      </c>
      <c r="BP52" s="29" t="n">
        <v>5832.593510952063</v>
      </c>
      <c r="BQ52" s="29" t="n">
        <v>1729.983612788506</v>
      </c>
      <c r="BR52" s="29" t="n">
        <v>341.2087332139101</v>
      </c>
      <c r="BS52" s="29" t="n">
        <v>1764.156407364238</v>
      </c>
      <c r="BT52" s="29" t="n">
        <v>72914.24311729071</v>
      </c>
      <c r="BU52" s="29" t="n">
        <v>445824.8194052763</v>
      </c>
      <c r="BV52" s="29" t="n">
        <v>946064.4080166458</v>
      </c>
      <c r="BW52" s="29" t="n">
        <v>292.1531114462824</v>
      </c>
      <c r="BX52" s="29" t="n">
        <v>2622.373976750205</v>
      </c>
      <c r="BY52" s="29" t="n">
        <v>19431.75115883452</v>
      </c>
      <c r="BZ52" s="29" t="n">
        <v>50.42537081782614</v>
      </c>
      <c r="CA52" s="29" t="n">
        <v>2521.882117543213</v>
      </c>
      <c r="CB52" s="29" t="n">
        <v>552.8357942040528</v>
      </c>
      <c r="CC52" s="29" t="n">
        <v>54.99529261282365</v>
      </c>
      <c r="CD52" s="29" t="n">
        <v>932.9698745681515</v>
      </c>
      <c r="CE52" s="29" t="n">
        <v>472.7778613973215</v>
      </c>
      <c r="CF52" s="29" t="n">
        <v>418.826924049332</v>
      </c>
      <c r="CG52" s="29" t="n">
        <v>4744.309887161977</v>
      </c>
      <c r="CH52" s="29" t="n">
        <v>41991.00109282741</v>
      </c>
      <c r="CI52" s="29" t="n">
        <v>450.8209894359836</v>
      </c>
      <c r="CJ52" s="29" t="n">
        <v>6944.045373506397</v>
      </c>
      <c r="CK52" s="29" t="n">
        <v>866.3607840278625</v>
      </c>
      <c r="CL52" s="29" t="n">
        <v>4253.173804139934</v>
      </c>
      <c r="CM52" s="29" t="n">
        <v>1251.217519114605</v>
      </c>
      <c r="CN52" s="29" t="n">
        <v>16.22477743284265</v>
      </c>
      <c r="CO52" s="29" t="n">
        <v>10.13905996326691</v>
      </c>
      <c r="CP52" s="29" t="n">
        <v>30194.31118558113</v>
      </c>
      <c r="CQ52" s="29" t="n">
        <v>664.6969280725982</v>
      </c>
      <c r="CR52" s="29" t="n">
        <v>19143.40935809313</v>
      </c>
      <c r="CS52" s="29" t="n">
        <v>1465.704838527206</v>
      </c>
      <c r="CT52" s="29" t="n">
        <v>1338.349700007671</v>
      </c>
      <c r="CU52" s="29" t="n">
        <v>503024.6362469888</v>
      </c>
      <c r="CV52" s="29" t="n">
        <v>71405.10578393519</v>
      </c>
      <c r="CW52" s="29" t="n">
        <v>4926.651988220155</v>
      </c>
      <c r="CX52" s="29" t="n">
        <v>1424.674011516814</v>
      </c>
      <c r="CY52" s="29" t="n">
        <v>16630.01716995227</v>
      </c>
      <c r="CZ52" s="29" t="n">
        <v>63533.15717864323</v>
      </c>
      <c r="DA52" s="29" t="n">
        <v>1135.676650871813</v>
      </c>
      <c r="DB52" s="29" t="n">
        <v>661057.5287958957</v>
      </c>
      <c r="DC52" s="29" t="n">
        <v>17318.06141594055</v>
      </c>
      <c r="DD52" s="29" t="n">
        <v>113907.7768750095</v>
      </c>
      <c r="DE52" s="29" t="n">
        <v>0</v>
      </c>
      <c r="DF52" s="29">
        <f>SUM(C52:DE52)</f>
        <v/>
      </c>
      <c r="DG52" s="29" t="n">
        <v>0</v>
      </c>
      <c r="DH52" s="29" t="n">
        <v>0</v>
      </c>
      <c r="DI52" s="29" t="n">
        <v>4035457.934589647</v>
      </c>
      <c r="DJ52" s="29" t="n">
        <v>0</v>
      </c>
      <c r="DK52" s="29">
        <f>SUM(DG52:DJ52)</f>
        <v/>
      </c>
      <c r="DL52" s="29">
        <f>DF52+DK52</f>
        <v/>
      </c>
    </row>
    <row r="53">
      <c r="A53" s="30" t="inlineStr">
        <is>
          <t>24130</t>
        </is>
      </c>
      <c r="B53" s="30" t="inlineStr">
        <is>
          <t>24130 - Fabricación de plásticos en formas primarias y de caucho sintético</t>
        </is>
      </c>
      <c r="C53" s="31" t="n">
        <v>207219.7926604392</v>
      </c>
      <c r="D53" s="31" t="n">
        <v>15360.00658443185</v>
      </c>
      <c r="E53" s="31" t="n">
        <v>79.61255790306933</v>
      </c>
      <c r="F53" s="31" t="n">
        <v>14067.86305119267</v>
      </c>
      <c r="G53" s="31" t="n">
        <v>127.1959190412245</v>
      </c>
      <c r="H53" s="31" t="n">
        <v>73065.32034569215</v>
      </c>
      <c r="I53" s="31" t="n">
        <v>167.5479151445275</v>
      </c>
      <c r="J53" s="31" t="n">
        <v>64498.0913834852</v>
      </c>
      <c r="K53" s="31" t="n">
        <v>86877.90825799615</v>
      </c>
      <c r="L53" s="31" t="n">
        <v>26643.18086550428</v>
      </c>
      <c r="M53" s="31" t="n">
        <v>583897.4641090713</v>
      </c>
      <c r="N53" s="31" t="n">
        <v>198714.9152866076</v>
      </c>
      <c r="O53" s="31" t="n">
        <v>27729.71751894708</v>
      </c>
      <c r="P53" s="31" t="n">
        <v>242948.6731512361</v>
      </c>
      <c r="Q53" s="31" t="n">
        <v>275850.3889435906</v>
      </c>
      <c r="R53" s="31" t="n">
        <v>604279.8214214584</v>
      </c>
      <c r="S53" s="31" t="n">
        <v>46692.97998558306</v>
      </c>
      <c r="T53" s="31" t="n">
        <v>96419.43188706069</v>
      </c>
      <c r="U53" s="31" t="n">
        <v>119671.1895404992</v>
      </c>
      <c r="V53" s="31" t="n">
        <v>65893.39546294218</v>
      </c>
      <c r="W53" s="31" t="n">
        <v>138634.0178252884</v>
      </c>
      <c r="X53" s="31" t="n">
        <v>61714.04969887571</v>
      </c>
      <c r="Y53" s="31" t="n">
        <v>259500.6204999177</v>
      </c>
      <c r="Z53" s="31" t="n">
        <v>47977.3599373482</v>
      </c>
      <c r="AA53" s="31" t="n">
        <v>212396.6793933825</v>
      </c>
      <c r="AB53" s="31" t="n">
        <v>29831.35068846975</v>
      </c>
      <c r="AC53" s="31" t="n">
        <v>701861.73012776</v>
      </c>
      <c r="AD53" s="31" t="n">
        <v>1984826.107916693</v>
      </c>
      <c r="AE53" s="31" t="n">
        <v>2437182.493983011</v>
      </c>
      <c r="AF53" s="31" t="n">
        <v>212858.4795696362</v>
      </c>
      <c r="AG53" s="31" t="n">
        <v>294623.7866534391</v>
      </c>
      <c r="AH53" s="31" t="n">
        <v>1680319.48333838</v>
      </c>
      <c r="AI53" s="31" t="n">
        <v>1844955.441423936</v>
      </c>
      <c r="AJ53" s="31" t="n">
        <v>3749496.217108862</v>
      </c>
      <c r="AK53" s="31" t="n">
        <v>154253.4240643634</v>
      </c>
      <c r="AL53" s="31" t="n">
        <v>1522372.911827366</v>
      </c>
      <c r="AM53" s="31" t="n">
        <v>2219518.653721624</v>
      </c>
      <c r="AN53" s="31" t="n">
        <v>6040343.347969802</v>
      </c>
      <c r="AO53" s="31" t="n">
        <v>2315342.946286265</v>
      </c>
      <c r="AP53" s="31" t="n">
        <v>26224100.15864539</v>
      </c>
      <c r="AQ53" s="31" t="n">
        <v>19467096.75690865</v>
      </c>
      <c r="AR53" s="31" t="n">
        <v>8625280.268589931</v>
      </c>
      <c r="AS53" s="31" t="n">
        <v>83141023.09887096</v>
      </c>
      <c r="AT53" s="31" t="n">
        <v>630838.2198127222</v>
      </c>
      <c r="AU53" s="31" t="n">
        <v>1171091.874615919</v>
      </c>
      <c r="AV53" s="31" t="n">
        <v>78378.24721397783</v>
      </c>
      <c r="AW53" s="31" t="n">
        <v>140958.3215353379</v>
      </c>
      <c r="AX53" s="31" t="n">
        <v>236865.4806403418</v>
      </c>
      <c r="AY53" s="31" t="n">
        <v>274160.1788616638</v>
      </c>
      <c r="AZ53" s="31" t="n">
        <v>1940609.030914782</v>
      </c>
      <c r="BA53" s="31" t="n">
        <v>408065.4224684987</v>
      </c>
      <c r="BB53" s="31" t="n">
        <v>379154.9110293899</v>
      </c>
      <c r="BC53" s="31" t="n">
        <v>1832906.391163887</v>
      </c>
      <c r="BD53" s="31" t="n">
        <v>1783097.658784424</v>
      </c>
      <c r="BE53" s="31" t="n">
        <v>425760.495690347</v>
      </c>
      <c r="BF53" s="31" t="n">
        <v>2763281.760526226</v>
      </c>
      <c r="BG53" s="31" t="n">
        <v>751418.3314629463</v>
      </c>
      <c r="BH53" s="31" t="n">
        <v>483977.8631346439</v>
      </c>
      <c r="BI53" s="31" t="n">
        <v>465672.3442152045</v>
      </c>
      <c r="BJ53" s="31" t="n">
        <v>1060804.116117971</v>
      </c>
      <c r="BK53" s="31" t="n">
        <v>602848.8558804843</v>
      </c>
      <c r="BL53" s="31" t="n">
        <v>1385805.195761122</v>
      </c>
      <c r="BM53" s="31" t="n">
        <v>232165.0779505465</v>
      </c>
      <c r="BN53" s="31" t="n">
        <v>2750382.094669697</v>
      </c>
      <c r="BO53" s="31" t="n">
        <v>372627.0144615434</v>
      </c>
      <c r="BP53" s="31" t="n">
        <v>89668.85771105642</v>
      </c>
      <c r="BQ53" s="31" t="n">
        <v>11635.07016563378</v>
      </c>
      <c r="BR53" s="31" t="n">
        <v>848723.6323378109</v>
      </c>
      <c r="BS53" s="31" t="n">
        <v>2480372.098833374</v>
      </c>
      <c r="BT53" s="31" t="n">
        <v>208765.1476905878</v>
      </c>
      <c r="BU53" s="31" t="n">
        <v>194715.836838123</v>
      </c>
      <c r="BV53" s="31" t="n">
        <v>385341.8882567488</v>
      </c>
      <c r="BW53" s="31" t="n">
        <v>60.55299755871682</v>
      </c>
      <c r="BX53" s="31" t="n">
        <v>5159.528150578832</v>
      </c>
      <c r="BY53" s="31" t="n">
        <v>149262.6192325611</v>
      </c>
      <c r="BZ53" s="31" t="n">
        <v>8109.230152919788</v>
      </c>
      <c r="CA53" s="31" t="n">
        <v>935798.6693358743</v>
      </c>
      <c r="CB53" s="31" t="n">
        <v>41550.85938100284</v>
      </c>
      <c r="CC53" s="31" t="n">
        <v>3687.544227628016</v>
      </c>
      <c r="CD53" s="31" t="n">
        <v>177872.0013280776</v>
      </c>
      <c r="CE53" s="31" t="n">
        <v>186166.5185582689</v>
      </c>
      <c r="CF53" s="31" t="n">
        <v>4776.956480153822</v>
      </c>
      <c r="CG53" s="31" t="n">
        <v>24985.44887938025</v>
      </c>
      <c r="CH53" s="31" t="n">
        <v>140553.5333883015</v>
      </c>
      <c r="CI53" s="31" t="n">
        <v>4186.354742446203</v>
      </c>
      <c r="CJ53" s="31" t="n">
        <v>49454.54753307109</v>
      </c>
      <c r="CK53" s="31" t="n">
        <v>30712.00310632087</v>
      </c>
      <c r="CL53" s="31" t="n">
        <v>41210.5533045698</v>
      </c>
      <c r="CM53" s="31" t="n">
        <v>56860.7269012972</v>
      </c>
      <c r="CN53" s="31" t="n">
        <v>532011.222928222</v>
      </c>
      <c r="CO53" s="31" t="n">
        <v>246482.9162889619</v>
      </c>
      <c r="CP53" s="31" t="n">
        <v>9035.631904519771</v>
      </c>
      <c r="CQ53" s="31" t="n">
        <v>7469.594929983626</v>
      </c>
      <c r="CR53" s="31" t="n">
        <v>104649.7369290537</v>
      </c>
      <c r="CS53" s="31" t="n">
        <v>6575.699169461825</v>
      </c>
      <c r="CT53" s="31" t="n">
        <v>6004.336466292269</v>
      </c>
      <c r="CU53" s="31" t="n">
        <v>111340.5945237987</v>
      </c>
      <c r="CV53" s="31" t="n">
        <v>319434.7816347843</v>
      </c>
      <c r="CW53" s="31" t="n">
        <v>20532.32445856758</v>
      </c>
      <c r="CX53" s="31" t="n">
        <v>23546.21045625479</v>
      </c>
      <c r="CY53" s="31" t="n">
        <v>1894141.111728428</v>
      </c>
      <c r="CZ53" s="31" t="n">
        <v>123352.0106111668</v>
      </c>
      <c r="DA53" s="31" t="n">
        <v>110416.2106356564</v>
      </c>
      <c r="DB53" s="31" t="n">
        <v>49058.65796985814</v>
      </c>
      <c r="DC53" s="31" t="n">
        <v>43539.42142702072</v>
      </c>
      <c r="DD53" s="31" t="n">
        <v>6729.403667002904</v>
      </c>
      <c r="DE53" s="31" t="n">
        <v>0</v>
      </c>
      <c r="DF53" s="31">
        <f>SUM(C53:DE53)</f>
        <v/>
      </c>
      <c r="DG53" s="31" t="n">
        <v>0</v>
      </c>
      <c r="DH53" s="31" t="n">
        <v>0</v>
      </c>
      <c r="DI53" s="31" t="n">
        <v>14112231.60148281</v>
      </c>
      <c r="DJ53" s="31" t="n">
        <v>0</v>
      </c>
      <c r="DK53" s="31">
        <f>SUM(DG53:DJ53)</f>
        <v/>
      </c>
      <c r="DL53" s="31">
        <f>DF53+DK53</f>
        <v/>
      </c>
    </row>
    <row r="54">
      <c r="A54" s="28" t="inlineStr">
        <is>
          <t>242</t>
        </is>
      </c>
      <c r="B54" s="28" t="inlineStr">
        <is>
          <t>Fabricación de otros productos químicos (excl 24210 - Fabricación de plaguicidas y productos químicos de uso agropecuario)</t>
        </is>
      </c>
      <c r="C54" s="29" t="n">
        <v>34909274.41674063</v>
      </c>
      <c r="D54" s="29" t="n">
        <v>2387647.426219306</v>
      </c>
      <c r="E54" s="29" t="n">
        <v>67.49962995842425</v>
      </c>
      <c r="F54" s="29" t="n">
        <v>347334.0156058001</v>
      </c>
      <c r="G54" s="29" t="n">
        <v>31191.61649239307</v>
      </c>
      <c r="H54" s="29" t="n">
        <v>877879.9524687103</v>
      </c>
      <c r="I54" s="29" t="n">
        <v>45.53565885370164</v>
      </c>
      <c r="J54" s="29" t="n">
        <v>146978.8508276289</v>
      </c>
      <c r="K54" s="29" t="n">
        <v>22194.66507471646</v>
      </c>
      <c r="L54" s="29" t="n">
        <v>2253664.752822815</v>
      </c>
      <c r="M54" s="29" t="n">
        <v>523977.0216718223</v>
      </c>
      <c r="N54" s="29" t="n">
        <v>324087.3032431713</v>
      </c>
      <c r="O54" s="29" t="n">
        <v>162757.6077763353</v>
      </c>
      <c r="P54" s="29" t="n">
        <v>305806.7856744935</v>
      </c>
      <c r="Q54" s="29" t="n">
        <v>1054293.784457522</v>
      </c>
      <c r="R54" s="29" t="n">
        <v>1935607.100314761</v>
      </c>
      <c r="S54" s="29" t="n">
        <v>145626.9215989693</v>
      </c>
      <c r="T54" s="29" t="n">
        <v>5594371.97665957</v>
      </c>
      <c r="U54" s="29" t="n">
        <v>737699.5018772039</v>
      </c>
      <c r="V54" s="29" t="n">
        <v>447493.6615958675</v>
      </c>
      <c r="W54" s="29" t="n">
        <v>1137855.874955012</v>
      </c>
      <c r="X54" s="29" t="n">
        <v>35680.39131191399</v>
      </c>
      <c r="Y54" s="29" t="n">
        <v>1874111.804060776</v>
      </c>
      <c r="Z54" s="29" t="n">
        <v>162737.8034292035</v>
      </c>
      <c r="AA54" s="29" t="n">
        <v>566927.8492114737</v>
      </c>
      <c r="AB54" s="29" t="n">
        <v>22882.87485170785</v>
      </c>
      <c r="AC54" s="29" t="n">
        <v>1834044.158084444</v>
      </c>
      <c r="AD54" s="29" t="n">
        <v>409041.7171601789</v>
      </c>
      <c r="AE54" s="29" t="n">
        <v>9744094.380269378</v>
      </c>
      <c r="AF54" s="29" t="n">
        <v>707216.6409838788</v>
      </c>
      <c r="AG54" s="29" t="n">
        <v>898102.852925864</v>
      </c>
      <c r="AH54" s="29" t="n">
        <v>536505.3583571309</v>
      </c>
      <c r="AI54" s="29" t="n">
        <v>1612419.731683689</v>
      </c>
      <c r="AJ54" s="29" t="n">
        <v>4322629.59935831</v>
      </c>
      <c r="AK54" s="29" t="n">
        <v>1296642.337564035</v>
      </c>
      <c r="AL54" s="29" t="n">
        <v>4123749.749430803</v>
      </c>
      <c r="AM54" s="29" t="n">
        <v>5168876.900145666</v>
      </c>
      <c r="AN54" s="29" t="n">
        <v>5027580.169355046</v>
      </c>
      <c r="AO54" s="29" t="n">
        <v>3658758.317263675</v>
      </c>
      <c r="AP54" s="29" t="n">
        <v>6303431.540160824</v>
      </c>
      <c r="AQ54" s="29" t="n">
        <v>60970021.22768815</v>
      </c>
      <c r="AR54" s="29" t="n">
        <v>1559566.253152949</v>
      </c>
      <c r="AS54" s="29" t="n">
        <v>2482826.105571556</v>
      </c>
      <c r="AT54" s="29" t="n">
        <v>295286.6062044903</v>
      </c>
      <c r="AU54" s="29" t="n">
        <v>2747176.951839357</v>
      </c>
      <c r="AV54" s="29" t="n">
        <v>1649452.040384554</v>
      </c>
      <c r="AW54" s="29" t="n">
        <v>1020027.010304359</v>
      </c>
      <c r="AX54" s="29" t="n">
        <v>922452.9688195779</v>
      </c>
      <c r="AY54" s="29" t="n">
        <v>635485.2614759549</v>
      </c>
      <c r="AZ54" s="29" t="n">
        <v>2233245.909127885</v>
      </c>
      <c r="BA54" s="29" t="n">
        <v>385909.6198759901</v>
      </c>
      <c r="BB54" s="29" t="n">
        <v>1090750.628227015</v>
      </c>
      <c r="BC54" s="29" t="n">
        <v>803105.9218562843</v>
      </c>
      <c r="BD54" s="29" t="n">
        <v>26665.41216254841</v>
      </c>
      <c r="BE54" s="29" t="n">
        <v>333636.9596627287</v>
      </c>
      <c r="BF54" s="29" t="n">
        <v>212157.3450451061</v>
      </c>
      <c r="BG54" s="29" t="n">
        <v>179791.4118014761</v>
      </c>
      <c r="BH54" s="29" t="n">
        <v>683825.9664125425</v>
      </c>
      <c r="BI54" s="29" t="n">
        <v>18063.15604090628</v>
      </c>
      <c r="BJ54" s="29" t="n">
        <v>175450.6980057607</v>
      </c>
      <c r="BK54" s="29" t="n">
        <v>1733093.938469194</v>
      </c>
      <c r="BL54" s="29" t="n">
        <v>1221010.563627011</v>
      </c>
      <c r="BM54" s="29" t="n">
        <v>238031.8532525511</v>
      </c>
      <c r="BN54" s="29" t="n">
        <v>1986096.898750528</v>
      </c>
      <c r="BO54" s="29" t="n">
        <v>226489.3763336342</v>
      </c>
      <c r="BP54" s="29" t="n">
        <v>104958.0193727265</v>
      </c>
      <c r="BQ54" s="29" t="n">
        <v>31078.38545149407</v>
      </c>
      <c r="BR54" s="29" t="n">
        <v>147433.8897679843</v>
      </c>
      <c r="BS54" s="29" t="n">
        <v>14456539.98556369</v>
      </c>
      <c r="BT54" s="29" t="n">
        <v>1716360.301150771</v>
      </c>
      <c r="BU54" s="29" t="n">
        <v>1013900.377448774</v>
      </c>
      <c r="BV54" s="29" t="n">
        <v>2826340.830021661</v>
      </c>
      <c r="BW54" s="29" t="n">
        <v>85817.42500031998</v>
      </c>
      <c r="BX54" s="29" t="n">
        <v>792235.7724192765</v>
      </c>
      <c r="BY54" s="29" t="n">
        <v>2907728.898066353</v>
      </c>
      <c r="BZ54" s="29" t="n">
        <v>53740.14364841678</v>
      </c>
      <c r="CA54" s="29" t="n">
        <v>3990933.957428717</v>
      </c>
      <c r="CB54" s="29" t="n">
        <v>380279.5766228989</v>
      </c>
      <c r="CC54" s="29" t="n">
        <v>54648.41628527919</v>
      </c>
      <c r="CD54" s="29" t="n">
        <v>964425.4706932548</v>
      </c>
      <c r="CE54" s="29" t="n">
        <v>132603.9620453825</v>
      </c>
      <c r="CF54" s="29" t="n">
        <v>15865.96498171955</v>
      </c>
      <c r="CG54" s="29" t="n">
        <v>134274.939638635</v>
      </c>
      <c r="CH54" s="29" t="n">
        <v>727619.2538146432</v>
      </c>
      <c r="CI54" s="29" t="n">
        <v>52506.83061165606</v>
      </c>
      <c r="CJ54" s="29" t="n">
        <v>176268.2736325487</v>
      </c>
      <c r="CK54" s="29" t="n">
        <v>275722.8680494378</v>
      </c>
      <c r="CL54" s="29" t="n">
        <v>706963.3400042315</v>
      </c>
      <c r="CM54" s="29" t="n">
        <v>453862.6503759598</v>
      </c>
      <c r="CN54" s="29" t="n">
        <v>5739967.931330743</v>
      </c>
      <c r="CO54" s="29" t="n">
        <v>2658539.401047047</v>
      </c>
      <c r="CP54" s="29" t="n">
        <v>992752.1294720322</v>
      </c>
      <c r="CQ54" s="29" t="n">
        <v>120470.4558293617</v>
      </c>
      <c r="CR54" s="29" t="n">
        <v>505634.8082688339</v>
      </c>
      <c r="CS54" s="29" t="n">
        <v>98179.10691085533</v>
      </c>
      <c r="CT54" s="29" t="n">
        <v>89648.32129038862</v>
      </c>
      <c r="CU54" s="29" t="n">
        <v>7702162.394080883</v>
      </c>
      <c r="CV54" s="29" t="n">
        <v>4776877.930450082</v>
      </c>
      <c r="CW54" s="29" t="n">
        <v>1326568.026674379</v>
      </c>
      <c r="CX54" s="29" t="n">
        <v>788031.6405889525</v>
      </c>
      <c r="CY54" s="29" t="n">
        <v>55567535.28258209</v>
      </c>
      <c r="CZ54" s="29" t="n">
        <v>23361073.61750123</v>
      </c>
      <c r="DA54" s="29" t="n">
        <v>107822.3189567242</v>
      </c>
      <c r="DB54" s="29" t="n">
        <v>6513443.915556519</v>
      </c>
      <c r="DC54" s="29" t="n">
        <v>437374.2615110655</v>
      </c>
      <c r="DD54" s="29" t="n">
        <v>5323825.720406409</v>
      </c>
      <c r="DE54" s="29" t="n">
        <v>0</v>
      </c>
      <c r="DF54" s="29">
        <f>SUM(C54:DE54)</f>
        <v/>
      </c>
      <c r="DG54" s="29" t="n">
        <v>0</v>
      </c>
      <c r="DH54" s="29" t="n">
        <v>0</v>
      </c>
      <c r="DI54" s="29" t="n">
        <v>247705564.0352677</v>
      </c>
      <c r="DJ54" s="29" t="n">
        <v>0</v>
      </c>
      <c r="DK54" s="29">
        <f>SUM(DG54:DJ54)</f>
        <v/>
      </c>
      <c r="DL54" s="29">
        <f>DF54+DK54</f>
        <v/>
      </c>
    </row>
    <row r="55">
      <c r="A55" s="30" t="inlineStr">
        <is>
          <t>251</t>
        </is>
      </c>
      <c r="B55" s="30" t="inlineStr">
        <is>
          <t>Fabricación de productos de caucho</t>
        </is>
      </c>
      <c r="C55" s="31" t="n">
        <v>942519.4057808695</v>
      </c>
      <c r="D55" s="31" t="n">
        <v>13773.30045417888</v>
      </c>
      <c r="E55" s="31" t="n">
        <v>5.045270651805055</v>
      </c>
      <c r="F55" s="31" t="n">
        <v>2372.377204022059</v>
      </c>
      <c r="G55" s="31" t="n">
        <v>39.48983620715245</v>
      </c>
      <c r="H55" s="31" t="n">
        <v>1796.332809600143</v>
      </c>
      <c r="I55" s="31" t="n">
        <v>2.800415577037735</v>
      </c>
      <c r="J55" s="31" t="n">
        <v>2974716.096716435</v>
      </c>
      <c r="K55" s="31" t="n">
        <v>4122205.530920565</v>
      </c>
      <c r="L55" s="31" t="n">
        <v>10388.2093071626</v>
      </c>
      <c r="M55" s="31" t="n">
        <v>15620.83454901121</v>
      </c>
      <c r="N55" s="31" t="n">
        <v>137426.3472375176</v>
      </c>
      <c r="O55" s="31" t="n">
        <v>17546.04743305625</v>
      </c>
      <c r="P55" s="31" t="n">
        <v>8275.188311569869</v>
      </c>
      <c r="Q55" s="31" t="n">
        <v>147204.3704238569</v>
      </c>
      <c r="R55" s="31" t="n">
        <v>29991.34395111334</v>
      </c>
      <c r="S55" s="31" t="n">
        <v>14395.16497468342</v>
      </c>
      <c r="T55" s="31" t="n">
        <v>29960.24073855407</v>
      </c>
      <c r="U55" s="31" t="n">
        <v>42205.79952164127</v>
      </c>
      <c r="V55" s="31" t="n">
        <v>24929.79730954277</v>
      </c>
      <c r="W55" s="31" t="n">
        <v>11064.49498933079</v>
      </c>
      <c r="X55" s="31" t="n">
        <v>7599.153552234997</v>
      </c>
      <c r="Y55" s="31" t="n">
        <v>40949.94390859755</v>
      </c>
      <c r="Z55" s="31" t="n">
        <v>2385.857154561058</v>
      </c>
      <c r="AA55" s="31" t="n">
        <v>60965.50691665748</v>
      </c>
      <c r="AB55" s="31" t="n">
        <v>8806.687477672942</v>
      </c>
      <c r="AC55" s="31" t="n">
        <v>60182.64146023992</v>
      </c>
      <c r="AD55" s="31" t="n">
        <v>3365.053125629106</v>
      </c>
      <c r="AE55" s="31" t="n">
        <v>37923.59964215757</v>
      </c>
      <c r="AF55" s="31" t="n">
        <v>106495.1546949014</v>
      </c>
      <c r="AG55" s="31" t="n">
        <v>6227.517817502239</v>
      </c>
      <c r="AH55" s="31" t="n">
        <v>70054.56664659704</v>
      </c>
      <c r="AI55" s="31" t="n">
        <v>66498.14442917367</v>
      </c>
      <c r="AJ55" s="31" t="n">
        <v>67930.13453542345</v>
      </c>
      <c r="AK55" s="31" t="n">
        <v>17357.04958041901</v>
      </c>
      <c r="AL55" s="31" t="n">
        <v>20410.17517233234</v>
      </c>
      <c r="AM55" s="31" t="n">
        <v>85865.0827953773</v>
      </c>
      <c r="AN55" s="31" t="n">
        <v>26405.74727931703</v>
      </c>
      <c r="AO55" s="31" t="n">
        <v>7096.999127427373</v>
      </c>
      <c r="AP55" s="31" t="n">
        <v>52734.27808361012</v>
      </c>
      <c r="AQ55" s="31" t="n">
        <v>241679.0932298882</v>
      </c>
      <c r="AR55" s="31" t="n">
        <v>1272773.333718013</v>
      </c>
      <c r="AS55" s="31" t="n">
        <v>309391.223368088</v>
      </c>
      <c r="AT55" s="31" t="n">
        <v>604.2330954090711</v>
      </c>
      <c r="AU55" s="31" t="n">
        <v>152347.8870761364</v>
      </c>
      <c r="AV55" s="31" t="n">
        <v>167846.046368752</v>
      </c>
      <c r="AW55" s="31" t="n">
        <v>23792.60980796126</v>
      </c>
      <c r="AX55" s="31" t="n">
        <v>32138.87533841417</v>
      </c>
      <c r="AY55" s="31" t="n">
        <v>88427.10172533095</v>
      </c>
      <c r="AZ55" s="31" t="n">
        <v>794476.4168694259</v>
      </c>
      <c r="BA55" s="31" t="n">
        <v>475109.6841510291</v>
      </c>
      <c r="BB55" s="31" t="n">
        <v>4814872.057378635</v>
      </c>
      <c r="BC55" s="31" t="n">
        <v>349210.7192772477</v>
      </c>
      <c r="BD55" s="31" t="n">
        <v>16016.73801901656</v>
      </c>
      <c r="BE55" s="31" t="n">
        <v>46995.93161999307</v>
      </c>
      <c r="BF55" s="31" t="n">
        <v>82822.99474961114</v>
      </c>
      <c r="BG55" s="31" t="n">
        <v>75473.94178193022</v>
      </c>
      <c r="BH55" s="31" t="n">
        <v>23738.26979574988</v>
      </c>
      <c r="BI55" s="31" t="n">
        <v>1185.616025226557</v>
      </c>
      <c r="BJ55" s="31" t="n">
        <v>64470.0528352777</v>
      </c>
      <c r="BK55" s="31" t="n">
        <v>12045632.2453283</v>
      </c>
      <c r="BL55" s="31" t="n">
        <v>722510.7739345011</v>
      </c>
      <c r="BM55" s="31" t="n">
        <v>465750.3800955672</v>
      </c>
      <c r="BN55" s="31" t="n">
        <v>199028.3750998206</v>
      </c>
      <c r="BO55" s="31" t="n">
        <v>173185.7115552795</v>
      </c>
      <c r="BP55" s="31" t="n">
        <v>33189.97304743659</v>
      </c>
      <c r="BQ55" s="31" t="n">
        <v>539.6498264170128</v>
      </c>
      <c r="BR55" s="31" t="n">
        <v>517755.2167749291</v>
      </c>
      <c r="BS55" s="31" t="n">
        <v>4371020.46797544</v>
      </c>
      <c r="BT55" s="31" t="n">
        <v>5550837.076150149</v>
      </c>
      <c r="BU55" s="31" t="n">
        <v>1311690.189621823</v>
      </c>
      <c r="BV55" s="31" t="n">
        <v>1525678.176786691</v>
      </c>
      <c r="BW55" s="31" t="n">
        <v>9461.064223657293</v>
      </c>
      <c r="BX55" s="31" t="n">
        <v>18732.07060067286</v>
      </c>
      <c r="BY55" s="31" t="n">
        <v>148526.7731721415</v>
      </c>
      <c r="BZ55" s="31" t="n">
        <v>86.49814546508533</v>
      </c>
      <c r="CA55" s="31" t="n">
        <v>16019048.19347404</v>
      </c>
      <c r="CB55" s="31" t="n">
        <v>163287.4676524562</v>
      </c>
      <c r="CC55" s="31" t="n">
        <v>30.03706318875796</v>
      </c>
      <c r="CD55" s="31" t="n">
        <v>2620659.454632417</v>
      </c>
      <c r="CE55" s="31" t="n">
        <v>6544300.875890467</v>
      </c>
      <c r="CF55" s="31" t="n">
        <v>17712.91632023415</v>
      </c>
      <c r="CG55" s="31" t="n">
        <v>32783.40346730229</v>
      </c>
      <c r="CH55" s="31" t="n">
        <v>171826.8143670976</v>
      </c>
      <c r="CI55" s="31" t="n">
        <v>815.6144648802206</v>
      </c>
      <c r="CJ55" s="31" t="n">
        <v>13015.17550630657</v>
      </c>
      <c r="CK55" s="31" t="n">
        <v>2522.074623342637</v>
      </c>
      <c r="CL55" s="31" t="n">
        <v>88561.23887103086</v>
      </c>
      <c r="CM55" s="31" t="n">
        <v>54124.24827882668</v>
      </c>
      <c r="CN55" s="31" t="n">
        <v>508.2672992561529</v>
      </c>
      <c r="CO55" s="31" t="n">
        <v>306.9908594829037</v>
      </c>
      <c r="CP55" s="31" t="n">
        <v>80755.88697111444</v>
      </c>
      <c r="CQ55" s="31" t="n">
        <v>81347.07691377842</v>
      </c>
      <c r="CR55" s="31" t="n">
        <v>147936.3349277446</v>
      </c>
      <c r="CS55" s="31" t="n">
        <v>28352.91805494032</v>
      </c>
      <c r="CT55" s="31" t="n">
        <v>25889.33213272407</v>
      </c>
      <c r="CU55" s="31" t="n">
        <v>284738.1357883114</v>
      </c>
      <c r="CV55" s="31" t="n">
        <v>1381209.993803191</v>
      </c>
      <c r="CW55" s="31" t="n">
        <v>61141.03162533604</v>
      </c>
      <c r="CX55" s="31" t="n">
        <v>15301.19076919907</v>
      </c>
      <c r="CY55" s="31" t="n">
        <v>1730230.60329285</v>
      </c>
      <c r="CZ55" s="31" t="n">
        <v>329915.5463278858</v>
      </c>
      <c r="DA55" s="31" t="n">
        <v>883057.7757696405</v>
      </c>
      <c r="DB55" s="31" t="n">
        <v>75196.11292280014</v>
      </c>
      <c r="DC55" s="31" t="n">
        <v>38509.14582124932</v>
      </c>
      <c r="DD55" s="31" t="n">
        <v>19874.63785919685</v>
      </c>
      <c r="DE55" s="31" t="n">
        <v>0</v>
      </c>
      <c r="DF55" s="31">
        <f>SUM(C55:DE55)</f>
        <v/>
      </c>
      <c r="DG55" s="31" t="n">
        <v>0</v>
      </c>
      <c r="DH55" s="31" t="n">
        <v>0</v>
      </c>
      <c r="DI55" s="31" t="n">
        <v>8809852.196057476</v>
      </c>
      <c r="DJ55" s="31" t="n">
        <v>0</v>
      </c>
      <c r="DK55" s="31">
        <f>SUM(DG55:DJ55)</f>
        <v/>
      </c>
      <c r="DL55" s="31">
        <f>DF55+DK55</f>
        <v/>
      </c>
    </row>
    <row r="56">
      <c r="A56" s="28" t="inlineStr">
        <is>
          <t>252</t>
        </is>
      </c>
      <c r="B56" s="28" t="inlineStr">
        <is>
          <t>25201 - Fabricación de envases plásticos. 25209 - Fabricación de productos plásticos en formas básicas y artículos de plástico n.c.p., excepto muebles</t>
        </is>
      </c>
      <c r="C56" s="29" t="n">
        <v>2245948.583302607</v>
      </c>
      <c r="D56" s="29" t="n">
        <v>10729.2455358383</v>
      </c>
      <c r="E56" s="29" t="n">
        <v>7.472420090556447</v>
      </c>
      <c r="F56" s="29" t="n">
        <v>1584040.959576864</v>
      </c>
      <c r="G56" s="29" t="n">
        <v>58.48737675580131</v>
      </c>
      <c r="H56" s="29" t="n">
        <v>903386.5959511765</v>
      </c>
      <c r="I56" s="29" t="n">
        <v>29.93701827289235</v>
      </c>
      <c r="J56" s="29" t="n">
        <v>319340.130799855</v>
      </c>
      <c r="K56" s="29" t="n">
        <v>76319.3023278052</v>
      </c>
      <c r="L56" s="29" t="n">
        <v>153272.7418551054</v>
      </c>
      <c r="M56" s="29" t="n">
        <v>32257.4046573466</v>
      </c>
      <c r="N56" s="29" t="n">
        <v>2935977.950789241</v>
      </c>
      <c r="O56" s="29" t="n">
        <v>58072.40210515424</v>
      </c>
      <c r="P56" s="29" t="n">
        <v>1177987.837422403</v>
      </c>
      <c r="Q56" s="29" t="n">
        <v>2462068.092353734</v>
      </c>
      <c r="R56" s="29" t="n">
        <v>8346583.188122784</v>
      </c>
      <c r="S56" s="29" t="n">
        <v>1225747.07309687</v>
      </c>
      <c r="T56" s="29" t="n">
        <v>2040702.204447693</v>
      </c>
      <c r="U56" s="29" t="n">
        <v>6420441.699773515</v>
      </c>
      <c r="V56" s="29" t="n">
        <v>597656.4275235261</v>
      </c>
      <c r="W56" s="29" t="n">
        <v>4176069.9126521</v>
      </c>
      <c r="X56" s="29" t="n">
        <v>1443710.068805231</v>
      </c>
      <c r="Y56" s="29" t="n">
        <v>4394511.972364966</v>
      </c>
      <c r="Z56" s="29" t="n">
        <v>485982.9375065578</v>
      </c>
      <c r="AA56" s="29" t="n">
        <v>1793670.125160462</v>
      </c>
      <c r="AB56" s="29" t="n">
        <v>5500333.342358708</v>
      </c>
      <c r="AC56" s="29" t="n">
        <v>18986255.82201996</v>
      </c>
      <c r="AD56" s="29" t="n">
        <v>218024.3592728969</v>
      </c>
      <c r="AE56" s="29" t="n">
        <v>966705.2957242285</v>
      </c>
      <c r="AF56" s="29" t="n">
        <v>1221160.847919885</v>
      </c>
      <c r="AG56" s="29" t="n">
        <v>64895.23283155719</v>
      </c>
      <c r="AH56" s="29" t="n">
        <v>394239.4509414082</v>
      </c>
      <c r="AI56" s="29" t="n">
        <v>481887.907329279</v>
      </c>
      <c r="AJ56" s="29" t="n">
        <v>4971008.24828185</v>
      </c>
      <c r="AK56" s="29" t="n">
        <v>381494.5456892486</v>
      </c>
      <c r="AL56" s="29" t="n">
        <v>3210155.669243038</v>
      </c>
      <c r="AM56" s="29" t="n">
        <v>787395.8101112619</v>
      </c>
      <c r="AN56" s="29" t="n">
        <v>581227.2644598462</v>
      </c>
      <c r="AO56" s="29" t="n">
        <v>1502004.785003817</v>
      </c>
      <c r="AP56" s="29" t="n">
        <v>3095386.350741809</v>
      </c>
      <c r="AQ56" s="29" t="n">
        <v>30132880.0069631</v>
      </c>
      <c r="AR56" s="29" t="n">
        <v>430360.892368188</v>
      </c>
      <c r="AS56" s="29" t="n">
        <v>12207992.31390359</v>
      </c>
      <c r="AT56" s="29" t="n">
        <v>170028.5452909952</v>
      </c>
      <c r="AU56" s="29" t="n">
        <v>1682134.350041003</v>
      </c>
      <c r="AV56" s="29" t="n">
        <v>367353.2340479308</v>
      </c>
      <c r="AW56" s="29" t="n">
        <v>126572.6478077808</v>
      </c>
      <c r="AX56" s="29" t="n">
        <v>415556.3106500634</v>
      </c>
      <c r="AY56" s="29" t="n">
        <v>240252.5299905449</v>
      </c>
      <c r="AZ56" s="29" t="n">
        <v>829260.5757382696</v>
      </c>
      <c r="BA56" s="29" t="n">
        <v>409259.4005978709</v>
      </c>
      <c r="BB56" s="29" t="n">
        <v>856926.0679304609</v>
      </c>
      <c r="BC56" s="29" t="n">
        <v>1352997.752059442</v>
      </c>
      <c r="BD56" s="29" t="n">
        <v>119984.5263852481</v>
      </c>
      <c r="BE56" s="29" t="n">
        <v>631764.5066863096</v>
      </c>
      <c r="BF56" s="29" t="n">
        <v>382062.5319412395</v>
      </c>
      <c r="BG56" s="29" t="n">
        <v>1283157.030160759</v>
      </c>
      <c r="BH56" s="29" t="n">
        <v>377830.3502963685</v>
      </c>
      <c r="BI56" s="29" t="n">
        <v>590790.0709952825</v>
      </c>
      <c r="BJ56" s="29" t="n">
        <v>760124.6266102303</v>
      </c>
      <c r="BK56" s="29" t="n">
        <v>2354483.380504437</v>
      </c>
      <c r="BL56" s="29" t="n">
        <v>2995814.472164096</v>
      </c>
      <c r="BM56" s="29" t="n">
        <v>314896.0633655675</v>
      </c>
      <c r="BN56" s="29" t="n">
        <v>4610398.751730156</v>
      </c>
      <c r="BO56" s="29" t="n">
        <v>156852.3755982047</v>
      </c>
      <c r="BP56" s="29" t="n">
        <v>17979.9666108353</v>
      </c>
      <c r="BQ56" s="29" t="n">
        <v>6633.110336951061</v>
      </c>
      <c r="BR56" s="29" t="n">
        <v>14091.91524223852</v>
      </c>
      <c r="BS56" s="29" t="n">
        <v>7486295.528454285</v>
      </c>
      <c r="BT56" s="29" t="n">
        <v>2172195.660779846</v>
      </c>
      <c r="BU56" s="29" t="n">
        <v>14748791.97385353</v>
      </c>
      <c r="BV56" s="29" t="n">
        <v>10871355.48934729</v>
      </c>
      <c r="BW56" s="29" t="n">
        <v>56902.12598853157</v>
      </c>
      <c r="BX56" s="29" t="n">
        <v>47935.14848282239</v>
      </c>
      <c r="BY56" s="29" t="n">
        <v>17261300.94802782</v>
      </c>
      <c r="BZ56" s="29" t="n">
        <v>536.3793916390596</v>
      </c>
      <c r="CA56" s="29" t="n">
        <v>238842.6602614587</v>
      </c>
      <c r="CB56" s="29" t="n">
        <v>127079.3421291235</v>
      </c>
      <c r="CC56" s="29" t="n">
        <v>485.7216848684801</v>
      </c>
      <c r="CD56" s="29" t="n">
        <v>56012.26026967465</v>
      </c>
      <c r="CE56" s="29" t="n">
        <v>109304.3222366543</v>
      </c>
      <c r="CF56" s="29" t="n">
        <v>6495.400733130147</v>
      </c>
      <c r="CG56" s="29" t="n">
        <v>18423.83190377056</v>
      </c>
      <c r="CH56" s="29" t="n">
        <v>161389.6500363417</v>
      </c>
      <c r="CI56" s="29" t="n">
        <v>3237.447915192999</v>
      </c>
      <c r="CJ56" s="29" t="n">
        <v>1076277.919580732</v>
      </c>
      <c r="CK56" s="29" t="n">
        <v>28607.63516291871</v>
      </c>
      <c r="CL56" s="29" t="n">
        <v>132046.8948904118</v>
      </c>
      <c r="CM56" s="29" t="n">
        <v>44786.63079005985</v>
      </c>
      <c r="CN56" s="29" t="n">
        <v>370865.7378393856</v>
      </c>
      <c r="CO56" s="29" t="n">
        <v>264963.2819911397</v>
      </c>
      <c r="CP56" s="29" t="n">
        <v>3565.727520144628</v>
      </c>
      <c r="CQ56" s="29" t="n">
        <v>4235.747822294215</v>
      </c>
      <c r="CR56" s="29" t="n">
        <v>130797.5528687011</v>
      </c>
      <c r="CS56" s="29" t="n">
        <v>106097.2046732675</v>
      </c>
      <c r="CT56" s="29" t="n">
        <v>96878.41529458418</v>
      </c>
      <c r="CU56" s="29" t="n">
        <v>2917695.807503995</v>
      </c>
      <c r="CV56" s="29" t="n">
        <v>5125209.243482154</v>
      </c>
      <c r="CW56" s="29" t="n">
        <v>58027.44824928285</v>
      </c>
      <c r="CX56" s="29" t="n">
        <v>585159.661864736</v>
      </c>
      <c r="CY56" s="29" t="n">
        <v>533894.7861835173</v>
      </c>
      <c r="CZ56" s="29" t="n">
        <v>695906.0947752965</v>
      </c>
      <c r="DA56" s="29" t="n">
        <v>619946.2959771116</v>
      </c>
      <c r="DB56" s="29" t="n">
        <v>51924.16605110986</v>
      </c>
      <c r="DC56" s="29" t="n">
        <v>423470.9166701797</v>
      </c>
      <c r="DD56" s="29" t="n">
        <v>718975.2760216307</v>
      </c>
      <c r="DE56" s="29" t="n">
        <v>0</v>
      </c>
      <c r="DF56" s="29">
        <f>SUM(C56:DE56)</f>
        <v/>
      </c>
      <c r="DG56" s="29" t="n">
        <v>0</v>
      </c>
      <c r="DH56" s="29" t="n">
        <v>0</v>
      </c>
      <c r="DI56" s="29" t="n">
        <v>48376057.52969857</v>
      </c>
      <c r="DJ56" s="29" t="n">
        <v>0</v>
      </c>
      <c r="DK56" s="29">
        <f>SUM(DG56:DJ56)</f>
        <v/>
      </c>
      <c r="DL56" s="29">
        <f>DF56+DK56</f>
        <v/>
      </c>
    </row>
    <row r="57">
      <c r="A57" s="30" t="inlineStr">
        <is>
          <t>261</t>
        </is>
      </c>
      <c r="B57" s="30" t="inlineStr">
        <is>
          <t>26101 - Fabricación de envases de vidrio. 26102 - Fabricación y elaboración de vidrio plano. 26109 - Fabricación de productos de vidrio n.c.p.</t>
        </is>
      </c>
      <c r="C57" s="31" t="n">
        <v>10164.66434443573</v>
      </c>
      <c r="D57" s="31" t="n">
        <v>858.451638872195</v>
      </c>
      <c r="E57" s="31" t="n">
        <v>0</v>
      </c>
      <c r="F57" s="31" t="n">
        <v>1221.161460874434</v>
      </c>
      <c r="G57" s="31" t="n">
        <v>0</v>
      </c>
      <c r="H57" s="31" t="n">
        <v>2601.047430211447</v>
      </c>
      <c r="I57" s="31" t="n">
        <v>0.9054944754003299</v>
      </c>
      <c r="J57" s="31" t="n">
        <v>302.9411490057287</v>
      </c>
      <c r="K57" s="31" t="n">
        <v>604.8664028679333</v>
      </c>
      <c r="L57" s="31" t="n">
        <v>1922.649634615427</v>
      </c>
      <c r="M57" s="31" t="n">
        <v>4999.154593358724</v>
      </c>
      <c r="N57" s="31" t="n">
        <v>6335.279306476576</v>
      </c>
      <c r="O57" s="31" t="n">
        <v>277.066850792257</v>
      </c>
      <c r="P57" s="31" t="n">
        <v>388013.6269956605</v>
      </c>
      <c r="Q57" s="31" t="n">
        <v>58627.50217964615</v>
      </c>
      <c r="R57" s="31" t="n">
        <v>39153.17021910554</v>
      </c>
      <c r="S57" s="31" t="n">
        <v>6964.741380149586</v>
      </c>
      <c r="T57" s="31" t="n">
        <v>4486.682246696</v>
      </c>
      <c r="U57" s="31" t="n">
        <v>6503.566566632995</v>
      </c>
      <c r="V57" s="31" t="n">
        <v>9698.505746251756</v>
      </c>
      <c r="W57" s="31" t="n">
        <v>710333.5320347315</v>
      </c>
      <c r="X57" s="31" t="n">
        <v>2495.682478937596</v>
      </c>
      <c r="Y57" s="31" t="n">
        <v>436305.5062620532</v>
      </c>
      <c r="Z57" s="31" t="n">
        <v>2363117.20075541</v>
      </c>
      <c r="AA57" s="31" t="n">
        <v>6120847.682515945</v>
      </c>
      <c r="AB57" s="31" t="n">
        <v>595850.081306397</v>
      </c>
      <c r="AC57" s="31" t="n">
        <v>3769072.249637784</v>
      </c>
      <c r="AD57" s="31" t="n">
        <v>264.6725352668722</v>
      </c>
      <c r="AE57" s="31" t="n">
        <v>1260.244670967279</v>
      </c>
      <c r="AF57" s="31" t="n">
        <v>11333.68322735987</v>
      </c>
      <c r="AG57" s="31" t="n">
        <v>120.8260528828478</v>
      </c>
      <c r="AH57" s="31" t="n">
        <v>326.6231455174447</v>
      </c>
      <c r="AI57" s="31" t="n">
        <v>195466.8705053163</v>
      </c>
      <c r="AJ57" s="31" t="n">
        <v>9485.784266936305</v>
      </c>
      <c r="AK57" s="31" t="n">
        <v>110984.9243288981</v>
      </c>
      <c r="AL57" s="31" t="n">
        <v>17345.92910233024</v>
      </c>
      <c r="AM57" s="31" t="n">
        <v>12135.18480136673</v>
      </c>
      <c r="AN57" s="31" t="n">
        <v>9733.030571413688</v>
      </c>
      <c r="AO57" s="31" t="n">
        <v>41668.60541400587</v>
      </c>
      <c r="AP57" s="31" t="n">
        <v>580894.4723148097</v>
      </c>
      <c r="AQ57" s="31" t="n">
        <v>2238617.875399187</v>
      </c>
      <c r="AR57" s="31" t="n">
        <v>8097.049493279347</v>
      </c>
      <c r="AS57" s="31" t="n">
        <v>505150.9177215882</v>
      </c>
      <c r="AT57" s="31" t="n">
        <v>3637238.367930871</v>
      </c>
      <c r="AU57" s="31" t="n">
        <v>67313.80267743187</v>
      </c>
      <c r="AV57" s="31" t="n">
        <v>3853.379520649654</v>
      </c>
      <c r="AW57" s="31" t="n">
        <v>2536.340478880025</v>
      </c>
      <c r="AX57" s="31" t="n">
        <v>3350.71295397413</v>
      </c>
      <c r="AY57" s="31" t="n">
        <v>330783.6066617907</v>
      </c>
      <c r="AZ57" s="31" t="n">
        <v>41820.19774031131</v>
      </c>
      <c r="BA57" s="31" t="n">
        <v>83339.76506308245</v>
      </c>
      <c r="BB57" s="31" t="n">
        <v>682418.4010153185</v>
      </c>
      <c r="BC57" s="31" t="n">
        <v>435847.8232465099</v>
      </c>
      <c r="BD57" s="31" t="n">
        <v>4968.257397552676</v>
      </c>
      <c r="BE57" s="31" t="n">
        <v>6158.580094398792</v>
      </c>
      <c r="BF57" s="31" t="n">
        <v>59692.00167108743</v>
      </c>
      <c r="BG57" s="31" t="n">
        <v>381817.6718552028</v>
      </c>
      <c r="BH57" s="31" t="n">
        <v>4936.038957222609</v>
      </c>
      <c r="BI57" s="31" t="n">
        <v>478.1386823306688</v>
      </c>
      <c r="BJ57" s="31" t="n">
        <v>530799.6362861588</v>
      </c>
      <c r="BK57" s="31" t="n">
        <v>3302500.256813193</v>
      </c>
      <c r="BL57" s="31" t="n">
        <v>97281.08310999404</v>
      </c>
      <c r="BM57" s="31" t="n">
        <v>32775.16117920025</v>
      </c>
      <c r="BN57" s="31" t="n">
        <v>206728.4986393532</v>
      </c>
      <c r="BO57" s="31" t="n">
        <v>3303.703121226773</v>
      </c>
      <c r="BP57" s="31" t="n">
        <v>807.1389400089126</v>
      </c>
      <c r="BQ57" s="31" t="n">
        <v>242.6382448662762</v>
      </c>
      <c r="BR57" s="31" t="n">
        <v>62.34660041874353</v>
      </c>
      <c r="BS57" s="31" t="n">
        <v>2887667.69745418</v>
      </c>
      <c r="BT57" s="31" t="n">
        <v>1083206.164924701</v>
      </c>
      <c r="BU57" s="31" t="n">
        <v>1174557.481589644</v>
      </c>
      <c r="BV57" s="31" t="n">
        <v>1813003.161949018</v>
      </c>
      <c r="BW57" s="31" t="n">
        <v>9529.156987083137</v>
      </c>
      <c r="BX57" s="31" t="n">
        <v>685.8373579182171</v>
      </c>
      <c r="BY57" s="31" t="n">
        <v>73710.21864363115</v>
      </c>
      <c r="BZ57" s="31" t="n">
        <v>14.37788436426936</v>
      </c>
      <c r="CA57" s="31" t="n">
        <v>303.9483753060623</v>
      </c>
      <c r="CB57" s="31" t="n">
        <v>230.9626283777413</v>
      </c>
      <c r="CC57" s="31" t="n">
        <v>6.50703015695723</v>
      </c>
      <c r="CD57" s="31" t="n">
        <v>604.8316631949281</v>
      </c>
      <c r="CE57" s="31" t="n">
        <v>318.1702667985376</v>
      </c>
      <c r="CF57" s="31" t="n">
        <v>106.5962957284965</v>
      </c>
      <c r="CG57" s="31" t="n">
        <v>908.3535362320733</v>
      </c>
      <c r="CH57" s="31" t="n">
        <v>12531.97861646138</v>
      </c>
      <c r="CI57" s="31" t="n">
        <v>190.312774033063</v>
      </c>
      <c r="CJ57" s="31" t="n">
        <v>1805.300148692812</v>
      </c>
      <c r="CK57" s="31" t="n">
        <v>361.7285866204186</v>
      </c>
      <c r="CL57" s="31" t="n">
        <v>2943.731821854203</v>
      </c>
      <c r="CM57" s="31" t="n">
        <v>311.518062620017</v>
      </c>
      <c r="CN57" s="31" t="n">
        <v>825.9791655511776</v>
      </c>
      <c r="CO57" s="31" t="n">
        <v>507.1036889936088</v>
      </c>
      <c r="CP57" s="31" t="n">
        <v>109.7390649529857</v>
      </c>
      <c r="CQ57" s="31" t="n">
        <v>477.3396866219125</v>
      </c>
      <c r="CR57" s="31" t="n">
        <v>3835.384992612146</v>
      </c>
      <c r="CS57" s="31" t="n">
        <v>6341.629223381286</v>
      </c>
      <c r="CT57" s="31" t="n">
        <v>5790.604865029034</v>
      </c>
      <c r="CU57" s="31" t="n">
        <v>191351.6659690036</v>
      </c>
      <c r="CV57" s="31" t="n">
        <v>307462.948330517</v>
      </c>
      <c r="CW57" s="31" t="n">
        <v>3082.259063770901</v>
      </c>
      <c r="CX57" s="31" t="n">
        <v>21924.82904220244</v>
      </c>
      <c r="CY57" s="31" t="n">
        <v>1532164.403729693</v>
      </c>
      <c r="CZ57" s="31" t="n">
        <v>205237.3276204782</v>
      </c>
      <c r="DA57" s="31" t="n">
        <v>195988.6098045448</v>
      </c>
      <c r="DB57" s="31" t="n">
        <v>1493.454702464785</v>
      </c>
      <c r="DC57" s="31" t="n">
        <v>11585.74637203542</v>
      </c>
      <c r="DD57" s="31" t="n">
        <v>544.9743576620199</v>
      </c>
      <c r="DE57" s="31" t="n">
        <v>0</v>
      </c>
      <c r="DF57" s="31">
        <f>SUM(C57:DE57)</f>
        <v/>
      </c>
      <c r="DG57" s="31" t="n">
        <v>0</v>
      </c>
      <c r="DH57" s="31" t="n">
        <v>0</v>
      </c>
      <c r="DI57" s="31" t="n">
        <v>2228386.942136386</v>
      </c>
      <c r="DJ57" s="31" t="n">
        <v>0</v>
      </c>
      <c r="DK57" s="31">
        <f>SUM(DG57:DJ57)</f>
        <v/>
      </c>
      <c r="DL57" s="31">
        <f>DF57+DK57</f>
        <v/>
      </c>
    </row>
    <row r="58">
      <c r="A58" s="28" t="inlineStr">
        <is>
          <t>269</t>
        </is>
      </c>
      <c r="B58" s="28" t="inlineStr">
        <is>
          <t>Fabricación de productos minerales no metálicos n.c.p.</t>
        </is>
      </c>
      <c r="C58" s="29" t="n">
        <v>326221.8951393856</v>
      </c>
      <c r="D58" s="29" t="n">
        <v>11657.47891082825</v>
      </c>
      <c r="E58" s="29" t="n">
        <v>0</v>
      </c>
      <c r="F58" s="29" t="n">
        <v>415688.2923909544</v>
      </c>
      <c r="G58" s="29" t="n">
        <v>0</v>
      </c>
      <c r="H58" s="29" t="n">
        <v>15943.69192133401</v>
      </c>
      <c r="I58" s="29" t="n">
        <v>66.31059438583435</v>
      </c>
      <c r="J58" s="29" t="n">
        <v>3409585.379348464</v>
      </c>
      <c r="K58" s="29" t="n">
        <v>22678.63120652386</v>
      </c>
      <c r="L58" s="29" t="n">
        <v>50658.30627793959</v>
      </c>
      <c r="M58" s="29" t="n">
        <v>37584.46728495214</v>
      </c>
      <c r="N58" s="29" t="n">
        <v>62878.01124146757</v>
      </c>
      <c r="O58" s="29" t="n">
        <v>22779.7212902637</v>
      </c>
      <c r="P58" s="29" t="n">
        <v>17791.68241050923</v>
      </c>
      <c r="Q58" s="29" t="n">
        <v>696654.1146130608</v>
      </c>
      <c r="R58" s="29" t="n">
        <v>101064.2438524053</v>
      </c>
      <c r="S58" s="29" t="n">
        <v>29978.97640274811</v>
      </c>
      <c r="T58" s="29" t="n">
        <v>77802.54767914617</v>
      </c>
      <c r="U58" s="29" t="n">
        <v>71788.21976479309</v>
      </c>
      <c r="V58" s="29" t="n">
        <v>208930.9908567761</v>
      </c>
      <c r="W58" s="29" t="n">
        <v>52589.57481758169</v>
      </c>
      <c r="X58" s="29" t="n">
        <v>11964.33285153906</v>
      </c>
      <c r="Y58" s="29" t="n">
        <v>88828.66848370677</v>
      </c>
      <c r="Z58" s="29" t="n">
        <v>11148.09674184535</v>
      </c>
      <c r="AA58" s="29" t="n">
        <v>46471.5064406664</v>
      </c>
      <c r="AB58" s="29" t="n">
        <v>37426.07621467297</v>
      </c>
      <c r="AC58" s="29" t="n">
        <v>376408.2371283268</v>
      </c>
      <c r="AD58" s="29" t="n">
        <v>17361.85098167581</v>
      </c>
      <c r="AE58" s="29" t="n">
        <v>49134.57047929799</v>
      </c>
      <c r="AF58" s="29" t="n">
        <v>40540.8867014509</v>
      </c>
      <c r="AG58" s="29" t="n">
        <v>19252.83141158218</v>
      </c>
      <c r="AH58" s="29" t="n">
        <v>13965.2731629275</v>
      </c>
      <c r="AI58" s="29" t="n">
        <v>83604.59626295556</v>
      </c>
      <c r="AJ58" s="29" t="n">
        <v>167926.7811562857</v>
      </c>
      <c r="AK58" s="29" t="n">
        <v>45300.22885694116</v>
      </c>
      <c r="AL58" s="29" t="n">
        <v>60460.33922368479</v>
      </c>
      <c r="AM58" s="29" t="n">
        <v>114824.6163228552</v>
      </c>
      <c r="AN58" s="29" t="n">
        <v>721843.3403304314</v>
      </c>
      <c r="AO58" s="29" t="n">
        <v>18075.77932321441</v>
      </c>
      <c r="AP58" s="29" t="n">
        <v>72697.13856029561</v>
      </c>
      <c r="AQ58" s="29" t="n">
        <v>719788.5668058314</v>
      </c>
      <c r="AR58" s="29" t="n">
        <v>86508.20659814705</v>
      </c>
      <c r="AS58" s="29" t="n">
        <v>73368.0636979416</v>
      </c>
      <c r="AT58" s="29" t="n">
        <v>38363.19586946323</v>
      </c>
      <c r="AU58" s="29" t="n">
        <v>19745255.49835276</v>
      </c>
      <c r="AV58" s="29" t="n">
        <v>2243772.271281832</v>
      </c>
      <c r="AW58" s="29" t="n">
        <v>255036.1373114922</v>
      </c>
      <c r="AX58" s="29" t="n">
        <v>575901.3986522773</v>
      </c>
      <c r="AY58" s="29" t="n">
        <v>205431.4195655842</v>
      </c>
      <c r="AZ58" s="29" t="n">
        <v>276966.6506293317</v>
      </c>
      <c r="BA58" s="29" t="n">
        <v>67904.86928427001</v>
      </c>
      <c r="BB58" s="29" t="n">
        <v>103464.9974186189</v>
      </c>
      <c r="BC58" s="29" t="n">
        <v>27955.54204547206</v>
      </c>
      <c r="BD58" s="29" t="n">
        <v>899.1585891110843</v>
      </c>
      <c r="BE58" s="29" t="n">
        <v>181825.6081594138</v>
      </c>
      <c r="BF58" s="29" t="n">
        <v>5466.567578423357</v>
      </c>
      <c r="BG58" s="29" t="n">
        <v>110101.9808575149</v>
      </c>
      <c r="BH58" s="29" t="n">
        <v>109123.315156031</v>
      </c>
      <c r="BI58" s="29" t="n">
        <v>5259.958615133193</v>
      </c>
      <c r="BJ58" s="29" t="n">
        <v>20090.11440901885</v>
      </c>
      <c r="BK58" s="29" t="n">
        <v>141892.530624786</v>
      </c>
      <c r="BL58" s="29" t="n">
        <v>351270.9250247906</v>
      </c>
      <c r="BM58" s="29" t="n">
        <v>10958.18819319366</v>
      </c>
      <c r="BN58" s="29" t="n">
        <v>142074.8873383864</v>
      </c>
      <c r="BO58" s="29" t="n">
        <v>25406.23058239153</v>
      </c>
      <c r="BP58" s="29" t="n">
        <v>2479599.482053353</v>
      </c>
      <c r="BQ58" s="29" t="n">
        <v>24973.35308542897</v>
      </c>
      <c r="BR58" s="29" t="n">
        <v>1948252.399032041</v>
      </c>
      <c r="BS58" s="29" t="n">
        <v>167965694.3388259</v>
      </c>
      <c r="BT58" s="29" t="n">
        <v>185086.7971046349</v>
      </c>
      <c r="BU58" s="29" t="n">
        <v>1510241.676348612</v>
      </c>
      <c r="BV58" s="29" t="n">
        <v>952649.4493180485</v>
      </c>
      <c r="BW58" s="29" t="n">
        <v>814.8044683821174</v>
      </c>
      <c r="BX58" s="29" t="n">
        <v>14997.3321092519</v>
      </c>
      <c r="BY58" s="29" t="n">
        <v>266650.6354595374</v>
      </c>
      <c r="BZ58" s="29" t="n">
        <v>2410.762793313397</v>
      </c>
      <c r="CA58" s="29" t="n">
        <v>46175.3807236833</v>
      </c>
      <c r="CB58" s="29" t="n">
        <v>13573.12272828305</v>
      </c>
      <c r="CC58" s="29" t="n">
        <v>17425.0778671241</v>
      </c>
      <c r="CD58" s="29" t="n">
        <v>24231.5031275429</v>
      </c>
      <c r="CE58" s="29" t="n">
        <v>27515.55238698419</v>
      </c>
      <c r="CF58" s="29" t="n">
        <v>4881.239999152697</v>
      </c>
      <c r="CG58" s="29" t="n">
        <v>66339.6727578752</v>
      </c>
      <c r="CH58" s="29" t="n">
        <v>297158.8936028146</v>
      </c>
      <c r="CI58" s="29" t="n">
        <v>11247.97113630821</v>
      </c>
      <c r="CJ58" s="29" t="n">
        <v>85484.81652715828</v>
      </c>
      <c r="CK58" s="29" t="n">
        <v>18432.76704442955</v>
      </c>
      <c r="CL58" s="29" t="n">
        <v>53673.79416910767</v>
      </c>
      <c r="CM58" s="29" t="n">
        <v>16387.62179645786</v>
      </c>
      <c r="CN58" s="29" t="n">
        <v>11166324.12067953</v>
      </c>
      <c r="CO58" s="29" t="n">
        <v>9982198.224495344</v>
      </c>
      <c r="CP58" s="29" t="n">
        <v>10790.14914549969</v>
      </c>
      <c r="CQ58" s="29" t="n">
        <v>6158.766288758165</v>
      </c>
      <c r="CR58" s="29" t="n">
        <v>219019.5615230864</v>
      </c>
      <c r="CS58" s="29" t="n">
        <v>18712.29875382658</v>
      </c>
      <c r="CT58" s="29" t="n">
        <v>17086.38653932702</v>
      </c>
      <c r="CU58" s="29" t="n">
        <v>221265.7555384648</v>
      </c>
      <c r="CV58" s="29" t="n">
        <v>912530.0620399462</v>
      </c>
      <c r="CW58" s="29" t="n">
        <v>177933.3010870895</v>
      </c>
      <c r="CX58" s="29" t="n">
        <v>147341.1431727983</v>
      </c>
      <c r="CY58" s="29" t="n">
        <v>913326.6762246592</v>
      </c>
      <c r="CZ58" s="29" t="n">
        <v>284350.8468912133</v>
      </c>
      <c r="DA58" s="29" t="n">
        <v>98508.49789377916</v>
      </c>
      <c r="DB58" s="29" t="n">
        <v>519741.6457365445</v>
      </c>
      <c r="DC58" s="29" t="n">
        <v>89768.37339668175</v>
      </c>
      <c r="DD58" s="29" t="n">
        <v>6324.035302357536</v>
      </c>
      <c r="DE58" s="29" t="n">
        <v>0</v>
      </c>
      <c r="DF58" s="29">
        <f>SUM(C58:DE58)</f>
        <v/>
      </c>
      <c r="DG58" s="29" t="n">
        <v>0</v>
      </c>
      <c r="DH58" s="29" t="n">
        <v>0</v>
      </c>
      <c r="DI58" s="29" t="n">
        <v>15671406.44569515</v>
      </c>
      <c r="DJ58" s="29" t="n">
        <v>0</v>
      </c>
      <c r="DK58" s="29">
        <f>SUM(DG58:DJ58)</f>
        <v/>
      </c>
      <c r="DL58" s="29">
        <f>DF58+DK58</f>
        <v/>
      </c>
    </row>
    <row r="59">
      <c r="A59" s="30" t="inlineStr">
        <is>
          <t>27100</t>
        </is>
      </c>
      <c r="B59" s="30" t="inlineStr">
        <is>
          <t>27100 - Industrias básicas de hierro y acero</t>
        </is>
      </c>
      <c r="C59" s="31" t="n">
        <v>483171.4130286983</v>
      </c>
      <c r="D59" s="31" t="n">
        <v>8062.388530841483</v>
      </c>
      <c r="E59" s="31" t="n">
        <v>2.498665529811519</v>
      </c>
      <c r="F59" s="31" t="n">
        <v>633992.7021237584</v>
      </c>
      <c r="G59" s="31" t="n">
        <v>19.55730412072396</v>
      </c>
      <c r="H59" s="31" t="n">
        <v>8405.335838171242</v>
      </c>
      <c r="I59" s="31" t="n">
        <v>1.639629864724079</v>
      </c>
      <c r="J59" s="31" t="n">
        <v>17518894.22304846</v>
      </c>
      <c r="K59" s="31" t="n">
        <v>3354.039081604929</v>
      </c>
      <c r="L59" s="31" t="n">
        <v>1035521.818766206</v>
      </c>
      <c r="M59" s="31" t="n">
        <v>379265.8081050981</v>
      </c>
      <c r="N59" s="31" t="n">
        <v>163106.3352126912</v>
      </c>
      <c r="O59" s="31" t="n">
        <v>67760.91629715463</v>
      </c>
      <c r="P59" s="31" t="n">
        <v>24090.99137081181</v>
      </c>
      <c r="Q59" s="31" t="n">
        <v>513888.5221636345</v>
      </c>
      <c r="R59" s="31" t="n">
        <v>77708.42476031304</v>
      </c>
      <c r="S59" s="31" t="n">
        <v>17006.67633347561</v>
      </c>
      <c r="T59" s="31" t="n">
        <v>161083.1816425581</v>
      </c>
      <c r="U59" s="31" t="n">
        <v>49228.6636376548</v>
      </c>
      <c r="V59" s="31" t="n">
        <v>193363.3424897206</v>
      </c>
      <c r="W59" s="31" t="n">
        <v>21410.99512034101</v>
      </c>
      <c r="X59" s="31" t="n">
        <v>1694.923278914898</v>
      </c>
      <c r="Y59" s="31" t="n">
        <v>40853.80429150758</v>
      </c>
      <c r="Z59" s="31" t="n">
        <v>7742.742350118504</v>
      </c>
      <c r="AA59" s="31" t="n">
        <v>33927.30463172524</v>
      </c>
      <c r="AB59" s="31" t="n">
        <v>10078.76501197752</v>
      </c>
      <c r="AC59" s="31" t="n">
        <v>66475.10419425013</v>
      </c>
      <c r="AD59" s="31" t="n">
        <v>10808.58923794089</v>
      </c>
      <c r="AE59" s="31" t="n">
        <v>174941.3020570387</v>
      </c>
      <c r="AF59" s="31" t="n">
        <v>144327.7103084823</v>
      </c>
      <c r="AG59" s="31" t="n">
        <v>16249.63939901693</v>
      </c>
      <c r="AH59" s="31" t="n">
        <v>26413.1820362852</v>
      </c>
      <c r="AI59" s="31" t="n">
        <v>171012.4725502557</v>
      </c>
      <c r="AJ59" s="31" t="n">
        <v>228790.2289543336</v>
      </c>
      <c r="AK59" s="31" t="n">
        <v>135853.8223456615</v>
      </c>
      <c r="AL59" s="31" t="n">
        <v>114372.5182545991</v>
      </c>
      <c r="AM59" s="31" t="n">
        <v>38750.7369438723</v>
      </c>
      <c r="AN59" s="31" t="n">
        <v>285642.3148353726</v>
      </c>
      <c r="AO59" s="31" t="n">
        <v>7982.563874765576</v>
      </c>
      <c r="AP59" s="31" t="n">
        <v>18054.38372753183</v>
      </c>
      <c r="AQ59" s="31" t="n">
        <v>444904.4014594411</v>
      </c>
      <c r="AR59" s="31" t="n">
        <v>837671.1960258617</v>
      </c>
      <c r="AS59" s="31" t="n">
        <v>1069502.09195065</v>
      </c>
      <c r="AT59" s="31" t="n">
        <v>3869.2080354987</v>
      </c>
      <c r="AU59" s="31" t="n">
        <v>2530536.687287038</v>
      </c>
      <c r="AV59" s="31" t="n">
        <v>49206084.24243256</v>
      </c>
      <c r="AW59" s="31" t="n">
        <v>217312.7242625751</v>
      </c>
      <c r="AX59" s="31" t="n">
        <v>2225830.33302149</v>
      </c>
      <c r="AY59" s="31" t="n">
        <v>18751602.70488435</v>
      </c>
      <c r="AZ59" s="31" t="n">
        <v>41036667.11238012</v>
      </c>
      <c r="BA59" s="31" t="n">
        <v>7904144.773762159</v>
      </c>
      <c r="BB59" s="31" t="n">
        <v>13438271.8454428</v>
      </c>
      <c r="BC59" s="31" t="n">
        <v>5705650.740116469</v>
      </c>
      <c r="BD59" s="31" t="n">
        <v>3479.652237299833</v>
      </c>
      <c r="BE59" s="31" t="n">
        <v>2499292.473745444</v>
      </c>
      <c r="BF59" s="31" t="n">
        <v>357922.3449575302</v>
      </c>
      <c r="BG59" s="31" t="n">
        <v>639813.0228885721</v>
      </c>
      <c r="BH59" s="31" t="n">
        <v>416601.6636572637</v>
      </c>
      <c r="BI59" s="31" t="n">
        <v>9761.594043044108</v>
      </c>
      <c r="BJ59" s="31" t="n">
        <v>991464.672709252</v>
      </c>
      <c r="BK59" s="31" t="n">
        <v>11410438.57078351</v>
      </c>
      <c r="BL59" s="31" t="n">
        <v>8532603.283155944</v>
      </c>
      <c r="BM59" s="31" t="n">
        <v>3321088.751215383</v>
      </c>
      <c r="BN59" s="31" t="n">
        <v>5402063.798947711</v>
      </c>
      <c r="BO59" s="31" t="n">
        <v>2033965.411485902</v>
      </c>
      <c r="BP59" s="31" t="n">
        <v>34585.99660009349</v>
      </c>
      <c r="BQ59" s="31" t="n">
        <v>706357.1092562907</v>
      </c>
      <c r="BR59" s="31" t="n">
        <v>402767.8623993986</v>
      </c>
      <c r="BS59" s="31" t="n">
        <v>76604222.17561135</v>
      </c>
      <c r="BT59" s="31" t="n">
        <v>618670.4543994218</v>
      </c>
      <c r="BU59" s="31" t="n">
        <v>65810.33215133629</v>
      </c>
      <c r="BV59" s="31" t="n">
        <v>184827.9024437692</v>
      </c>
      <c r="BW59" s="31" t="n">
        <v>3924.488786040193</v>
      </c>
      <c r="BX59" s="31" t="n">
        <v>2965.260548801391</v>
      </c>
      <c r="BY59" s="31" t="n">
        <v>40476.0754202423</v>
      </c>
      <c r="BZ59" s="31" t="n">
        <v>2677.213323533441</v>
      </c>
      <c r="CA59" s="31" t="n">
        <v>4202.438548635502</v>
      </c>
      <c r="CB59" s="31" t="n">
        <v>34268.07902433834</v>
      </c>
      <c r="CC59" s="31" t="n">
        <v>135.0427149462638</v>
      </c>
      <c r="CD59" s="31" t="n">
        <v>7792.007904146241</v>
      </c>
      <c r="CE59" s="31" t="n">
        <v>24416.79370082638</v>
      </c>
      <c r="CF59" s="31" t="n">
        <v>8748.568335457243</v>
      </c>
      <c r="CG59" s="31" t="n">
        <v>24388.56498571282</v>
      </c>
      <c r="CH59" s="31" t="n">
        <v>134369.0832777262</v>
      </c>
      <c r="CI59" s="31" t="n">
        <v>6631.866112347639</v>
      </c>
      <c r="CJ59" s="31" t="n">
        <v>35683.47016067388</v>
      </c>
      <c r="CK59" s="31" t="n">
        <v>2671.349845922859</v>
      </c>
      <c r="CL59" s="31" t="n">
        <v>12254.78690522572</v>
      </c>
      <c r="CM59" s="31" t="n">
        <v>3773.584826043125</v>
      </c>
      <c r="CN59" s="31" t="n">
        <v>1543576.301710103</v>
      </c>
      <c r="CO59" s="31" t="n">
        <v>964240.9711061306</v>
      </c>
      <c r="CP59" s="31" t="n">
        <v>2484.655518439482</v>
      </c>
      <c r="CQ59" s="31" t="n">
        <v>10803.36693322632</v>
      </c>
      <c r="CR59" s="31" t="n">
        <v>67891.48411669931</v>
      </c>
      <c r="CS59" s="31" t="n">
        <v>8529.645858617241</v>
      </c>
      <c r="CT59" s="31" t="n">
        <v>7788.50466750381</v>
      </c>
      <c r="CU59" s="31" t="n">
        <v>58255.25632205219</v>
      </c>
      <c r="CV59" s="31" t="n">
        <v>416098.3731762781</v>
      </c>
      <c r="CW59" s="31" t="n">
        <v>6567.616915055216</v>
      </c>
      <c r="CX59" s="31" t="n">
        <v>22945.85383614451</v>
      </c>
      <c r="CY59" s="31" t="n">
        <v>38781.87025238606</v>
      </c>
      <c r="CZ59" s="31" t="n">
        <v>72610.45810782196</v>
      </c>
      <c r="DA59" s="31" t="n">
        <v>2972.281578802828</v>
      </c>
      <c r="DB59" s="31" t="n">
        <v>10850.84673315763</v>
      </c>
      <c r="DC59" s="31" t="n">
        <v>44622.9619332321</v>
      </c>
      <c r="DD59" s="31" t="n">
        <v>215.7487044051908</v>
      </c>
      <c r="DE59" s="31" t="n">
        <v>0</v>
      </c>
      <c r="DF59" s="31">
        <f>SUM(C59:DE59)</f>
        <v/>
      </c>
      <c r="DG59" s="31" t="n">
        <v>0</v>
      </c>
      <c r="DH59" s="31" t="n">
        <v>0</v>
      </c>
      <c r="DI59" s="31" t="n">
        <v>20592831.7818285</v>
      </c>
      <c r="DJ59" s="31" t="n">
        <v>0</v>
      </c>
      <c r="DK59" s="31">
        <f>SUM(DG59:DJ59)</f>
        <v/>
      </c>
      <c r="DL59" s="31">
        <f>DF59+DK59</f>
        <v/>
      </c>
    </row>
    <row r="60">
      <c r="A60" s="28" t="inlineStr">
        <is>
          <t>272</t>
        </is>
      </c>
      <c r="B60" s="28" t="inlineStr">
        <is>
          <t>27201 - Elaboración de aluminio primario y semielaborados de aluminio. 27209 - Producción de metales no ferrosos n.c.p. y sus semielaborados</t>
        </is>
      </c>
      <c r="C60" s="29" t="n">
        <v>29761.39579880318</v>
      </c>
      <c r="D60" s="29" t="n">
        <v>5756.916160692828</v>
      </c>
      <c r="E60" s="29" t="n">
        <v>0</v>
      </c>
      <c r="F60" s="29" t="n">
        <v>0</v>
      </c>
      <c r="G60" s="29" t="n">
        <v>0</v>
      </c>
      <c r="H60" s="29" t="n">
        <v>10865.6879031746</v>
      </c>
      <c r="I60" s="29" t="n">
        <v>0.04682238867464484</v>
      </c>
      <c r="J60" s="29" t="n">
        <v>159821.7648242144</v>
      </c>
      <c r="K60" s="29" t="n">
        <v>51.98796346051972</v>
      </c>
      <c r="L60" s="29" t="n">
        <v>5565.265405456516</v>
      </c>
      <c r="M60" s="29" t="n">
        <v>18156.69350627902</v>
      </c>
      <c r="N60" s="29" t="n">
        <v>23976.26286119766</v>
      </c>
      <c r="O60" s="29" t="n">
        <v>10588.93272423352</v>
      </c>
      <c r="P60" s="29" t="n">
        <v>15016.76059408501</v>
      </c>
      <c r="Q60" s="29" t="n">
        <v>80449.56267127331</v>
      </c>
      <c r="R60" s="29" t="n">
        <v>72042.43596588864</v>
      </c>
      <c r="S60" s="29" t="n">
        <v>13085.21037359483</v>
      </c>
      <c r="T60" s="29" t="n">
        <v>51501.67418673393</v>
      </c>
      <c r="U60" s="29" t="n">
        <v>882008.3511798072</v>
      </c>
      <c r="V60" s="29" t="n">
        <v>41167.57322956453</v>
      </c>
      <c r="W60" s="29" t="n">
        <v>379064.9480942101</v>
      </c>
      <c r="X60" s="29" t="n">
        <v>43648.44484771544</v>
      </c>
      <c r="Y60" s="29" t="n">
        <v>499057.3344034679</v>
      </c>
      <c r="Z60" s="29" t="n">
        <v>9492.304336004046</v>
      </c>
      <c r="AA60" s="29" t="n">
        <v>19354.27358672388</v>
      </c>
      <c r="AB60" s="29" t="n">
        <v>7282.270526898464</v>
      </c>
      <c r="AC60" s="29" t="n">
        <v>137359.5290968619</v>
      </c>
      <c r="AD60" s="29" t="n">
        <v>399041.9394936283</v>
      </c>
      <c r="AE60" s="29" t="n">
        <v>39650.79142991722</v>
      </c>
      <c r="AF60" s="29" t="n">
        <v>24680.2468196738</v>
      </c>
      <c r="AG60" s="29" t="n">
        <v>65072.82568709373</v>
      </c>
      <c r="AH60" s="29" t="n">
        <v>6172.919057133181</v>
      </c>
      <c r="AI60" s="29" t="n">
        <v>165736.9402433236</v>
      </c>
      <c r="AJ60" s="29" t="n">
        <v>756921.535537853</v>
      </c>
      <c r="AK60" s="29" t="n">
        <v>115306.8432599149</v>
      </c>
      <c r="AL60" s="29" t="n">
        <v>188753.5568835571</v>
      </c>
      <c r="AM60" s="29" t="n">
        <v>210328.9378652716</v>
      </c>
      <c r="AN60" s="29" t="n">
        <v>737620.6052915594</v>
      </c>
      <c r="AO60" s="29" t="n">
        <v>76971.9000793286</v>
      </c>
      <c r="AP60" s="29" t="n">
        <v>144586.0022126688</v>
      </c>
      <c r="AQ60" s="29" t="n">
        <v>1367898.965013486</v>
      </c>
      <c r="AR60" s="29" t="n">
        <v>226370.8931523854</v>
      </c>
      <c r="AS60" s="29" t="n">
        <v>673428.0412640187</v>
      </c>
      <c r="AT60" s="29" t="n">
        <v>119911.3420639726</v>
      </c>
      <c r="AU60" s="29" t="n">
        <v>1089299.741189353</v>
      </c>
      <c r="AV60" s="29" t="n">
        <v>1354570.514913507</v>
      </c>
      <c r="AW60" s="29" t="n">
        <v>24919953.91435729</v>
      </c>
      <c r="AX60" s="29" t="n">
        <v>10586904.74828819</v>
      </c>
      <c r="AY60" s="29" t="n">
        <v>1896249.263246889</v>
      </c>
      <c r="AZ60" s="29" t="n">
        <v>7871452.051963214</v>
      </c>
      <c r="BA60" s="29" t="n">
        <v>2545020.965912629</v>
      </c>
      <c r="BB60" s="29" t="n">
        <v>803740.029504117</v>
      </c>
      <c r="BC60" s="29" t="n">
        <v>1195942.113475114</v>
      </c>
      <c r="BD60" s="29" t="n">
        <v>8524.215125856445</v>
      </c>
      <c r="BE60" s="29" t="n">
        <v>1494069.852271916</v>
      </c>
      <c r="BF60" s="29" t="n">
        <v>10311740.0285084</v>
      </c>
      <c r="BG60" s="29" t="n">
        <v>3479014.368342309</v>
      </c>
      <c r="BH60" s="29" t="n">
        <v>292502.8138930252</v>
      </c>
      <c r="BI60" s="29" t="n">
        <v>160393.208530437</v>
      </c>
      <c r="BJ60" s="29" t="n">
        <v>416003.1432021876</v>
      </c>
      <c r="BK60" s="29" t="n">
        <v>532555.5233643471</v>
      </c>
      <c r="BL60" s="29" t="n">
        <v>6360168.163851498</v>
      </c>
      <c r="BM60" s="29" t="n">
        <v>134696.5448816524</v>
      </c>
      <c r="BN60" s="29" t="n">
        <v>1257216.770953886</v>
      </c>
      <c r="BO60" s="29" t="n">
        <v>136730.9351304818</v>
      </c>
      <c r="BP60" s="29" t="n">
        <v>234.34865082676</v>
      </c>
      <c r="BQ60" s="29" t="n">
        <v>2273.837691057443</v>
      </c>
      <c r="BR60" s="29" t="n">
        <v>2853.323143926769</v>
      </c>
      <c r="BS60" s="29" t="n">
        <v>3636429.956024996</v>
      </c>
      <c r="BT60" s="29" t="n">
        <v>15951.67818408986</v>
      </c>
      <c r="BU60" s="29" t="n">
        <v>7117.121897628341</v>
      </c>
      <c r="BV60" s="29" t="n">
        <v>29764.60155074051</v>
      </c>
      <c r="BW60" s="29" t="n">
        <v>38743.04977423765</v>
      </c>
      <c r="BX60" s="29" t="n">
        <v>381.1385485661017</v>
      </c>
      <c r="BY60" s="29" t="n">
        <v>2384.058641765766</v>
      </c>
      <c r="BZ60" s="29" t="n">
        <v>2136.982866795241</v>
      </c>
      <c r="CA60" s="29" t="n">
        <v>27838.18538855953</v>
      </c>
      <c r="CB60" s="29" t="n">
        <v>8525.049552386845</v>
      </c>
      <c r="CC60" s="29" t="n">
        <v>307.7609076497783</v>
      </c>
      <c r="CD60" s="29" t="n">
        <v>11812.31832557536</v>
      </c>
      <c r="CE60" s="29" t="n">
        <v>22896.31051618129</v>
      </c>
      <c r="CF60" s="29" t="n">
        <v>7503.443553696055</v>
      </c>
      <c r="CG60" s="29" t="n">
        <v>3225.139819693177</v>
      </c>
      <c r="CH60" s="29" t="n">
        <v>36310.96888749619</v>
      </c>
      <c r="CI60" s="29" t="n">
        <v>2687.467895676432</v>
      </c>
      <c r="CJ60" s="29" t="n">
        <v>557.9500068545907</v>
      </c>
      <c r="CK60" s="29" t="n">
        <v>2336.227540939752</v>
      </c>
      <c r="CL60" s="29" t="n">
        <v>2441.392572402044</v>
      </c>
      <c r="CM60" s="29" t="n">
        <v>3963.74882072962</v>
      </c>
      <c r="CN60" s="29" t="n">
        <v>644823.4493524649</v>
      </c>
      <c r="CO60" s="29" t="n">
        <v>395712.7785829301</v>
      </c>
      <c r="CP60" s="29" t="n">
        <v>274.8064690857599</v>
      </c>
      <c r="CQ60" s="29" t="n">
        <v>9017.394963322633</v>
      </c>
      <c r="CR60" s="29" t="n">
        <v>5361.565065558732</v>
      </c>
      <c r="CS60" s="29" t="n">
        <v>3911.591512267343</v>
      </c>
      <c r="CT60" s="29" t="n">
        <v>3571.713205406315</v>
      </c>
      <c r="CU60" s="29" t="n">
        <v>55613.16942774815</v>
      </c>
      <c r="CV60" s="29" t="n">
        <v>190488.9853454267</v>
      </c>
      <c r="CW60" s="29" t="n">
        <v>6700.427313958321</v>
      </c>
      <c r="CX60" s="29" t="n">
        <v>14547.98700579743</v>
      </c>
      <c r="CY60" s="29" t="n">
        <v>313005.5682051068</v>
      </c>
      <c r="CZ60" s="29" t="n">
        <v>263346.0961129802</v>
      </c>
      <c r="DA60" s="29" t="n">
        <v>721.9747682397472</v>
      </c>
      <c r="DB60" s="29" t="n">
        <v>4859.683736235191</v>
      </c>
      <c r="DC60" s="29" t="n">
        <v>15814.68802459236</v>
      </c>
      <c r="DD60" s="29" t="n">
        <v>1090.048011653469</v>
      </c>
      <c r="DE60" s="29" t="n">
        <v>0</v>
      </c>
      <c r="DF60" s="29">
        <f>SUM(C60:DE60)</f>
        <v/>
      </c>
      <c r="DG60" s="29" t="n">
        <v>0</v>
      </c>
      <c r="DH60" s="29" t="n">
        <v>0</v>
      </c>
      <c r="DI60" s="29" t="n">
        <v>18234999.09598795</v>
      </c>
      <c r="DJ60" s="29" t="n">
        <v>0</v>
      </c>
      <c r="DK60" s="29">
        <f>SUM(DG60:DJ60)</f>
        <v/>
      </c>
      <c r="DL60" s="29">
        <f>DF60+DK60</f>
        <v/>
      </c>
    </row>
    <row r="61">
      <c r="A61" s="30" t="inlineStr">
        <is>
          <t>273</t>
        </is>
      </c>
      <c r="B61" s="30" t="inlineStr">
        <is>
          <t>27310 - Fundición de hierro y acero. 27320 - Fundición de metales no ferrosos</t>
        </is>
      </c>
      <c r="C61" s="31" t="n">
        <v>610955.2805348882</v>
      </c>
      <c r="D61" s="31" t="n">
        <v>12240.39952633098</v>
      </c>
      <c r="E61" s="31" t="n">
        <v>20.55422877300892</v>
      </c>
      <c r="F61" s="31" t="n">
        <v>11204.69609196631</v>
      </c>
      <c r="G61" s="31" t="n">
        <v>160.879997056266</v>
      </c>
      <c r="H61" s="31" t="n">
        <v>486256.2124381177</v>
      </c>
      <c r="I61" s="31" t="n">
        <v>10.49964580882582</v>
      </c>
      <c r="J61" s="31" t="n">
        <v>13391937.86993854</v>
      </c>
      <c r="K61" s="31" t="n">
        <v>3637.754703436083</v>
      </c>
      <c r="L61" s="31" t="n">
        <v>23977.73274142885</v>
      </c>
      <c r="M61" s="31" t="n">
        <v>103230.0327278938</v>
      </c>
      <c r="N61" s="31" t="n">
        <v>208219.8916035052</v>
      </c>
      <c r="O61" s="31" t="n">
        <v>189978.3779279719</v>
      </c>
      <c r="P61" s="31" t="n">
        <v>982675.8923630641</v>
      </c>
      <c r="Q61" s="31" t="n">
        <v>853304.7082408054</v>
      </c>
      <c r="R61" s="31" t="n">
        <v>1118156.150062018</v>
      </c>
      <c r="S61" s="31" t="n">
        <v>1165.301771277302</v>
      </c>
      <c r="T61" s="31" t="n">
        <v>2847.58658092625</v>
      </c>
      <c r="U61" s="31" t="n">
        <v>102348.5926431974</v>
      </c>
      <c r="V61" s="31" t="n">
        <v>9581.692086166833</v>
      </c>
      <c r="W61" s="31" t="n">
        <v>1027638.646227568</v>
      </c>
      <c r="X61" s="31" t="n">
        <v>10946.80240695323</v>
      </c>
      <c r="Y61" s="31" t="n">
        <v>424745.3139341495</v>
      </c>
      <c r="Z61" s="31" t="n">
        <v>448202.2357689543</v>
      </c>
      <c r="AA61" s="31" t="n">
        <v>410219.9907432826</v>
      </c>
      <c r="AB61" s="31" t="n">
        <v>527562.9878245844</v>
      </c>
      <c r="AC61" s="31" t="n">
        <v>823668.3944352758</v>
      </c>
      <c r="AD61" s="31" t="n">
        <v>96505.44832264076</v>
      </c>
      <c r="AE61" s="31" t="n">
        <v>29797.95776792371</v>
      </c>
      <c r="AF61" s="31" t="n">
        <v>143392.8943663586</v>
      </c>
      <c r="AG61" s="31" t="n">
        <v>16487.32512945822</v>
      </c>
      <c r="AH61" s="31" t="n">
        <v>81415.10266171035</v>
      </c>
      <c r="AI61" s="31" t="n">
        <v>625402.1344913957</v>
      </c>
      <c r="AJ61" s="31" t="n">
        <v>61377.59171558832</v>
      </c>
      <c r="AK61" s="31" t="n">
        <v>9696.371642967899</v>
      </c>
      <c r="AL61" s="31" t="n">
        <v>27238.5477339819</v>
      </c>
      <c r="AM61" s="31" t="n">
        <v>170334.9847348907</v>
      </c>
      <c r="AN61" s="31" t="n">
        <v>219544.9001701014</v>
      </c>
      <c r="AO61" s="31" t="n">
        <v>109348.931429153</v>
      </c>
      <c r="AP61" s="31" t="n">
        <v>43743.0124329692</v>
      </c>
      <c r="AQ61" s="31" t="n">
        <v>4034648.130454605</v>
      </c>
      <c r="AR61" s="31" t="n">
        <v>591782.1220532891</v>
      </c>
      <c r="AS61" s="31" t="n">
        <v>130928.6213172405</v>
      </c>
      <c r="AT61" s="31" t="n">
        <v>59956.69314576953</v>
      </c>
      <c r="AU61" s="31" t="n">
        <v>194975.9889439146</v>
      </c>
      <c r="AV61" s="31" t="n">
        <v>3173818.19905776</v>
      </c>
      <c r="AW61" s="31" t="n">
        <v>483357.8936662308</v>
      </c>
      <c r="AX61" s="31" t="n">
        <v>1059261.244752807</v>
      </c>
      <c r="AY61" s="31" t="n">
        <v>917744.0629498395</v>
      </c>
      <c r="AZ61" s="31" t="n">
        <v>2637257.635688973</v>
      </c>
      <c r="BA61" s="31" t="n">
        <v>2607138.424545092</v>
      </c>
      <c r="BB61" s="31" t="n">
        <v>4272626.820280036</v>
      </c>
      <c r="BC61" s="31" t="n">
        <v>1195614.104052826</v>
      </c>
      <c r="BD61" s="31" t="n">
        <v>4907.869238392625</v>
      </c>
      <c r="BE61" s="31" t="n">
        <v>574158.6511928056</v>
      </c>
      <c r="BF61" s="31" t="n">
        <v>284939.613181585</v>
      </c>
      <c r="BG61" s="31" t="n">
        <v>417183.2655197998</v>
      </c>
      <c r="BH61" s="31" t="n">
        <v>217322.9378498964</v>
      </c>
      <c r="BI61" s="31" t="n">
        <v>23178.84682192088</v>
      </c>
      <c r="BJ61" s="31" t="n">
        <v>135846.5239756614</v>
      </c>
      <c r="BK61" s="31" t="n">
        <v>10367062.83957451</v>
      </c>
      <c r="BL61" s="31" t="n">
        <v>7608616.73918005</v>
      </c>
      <c r="BM61" s="31" t="n">
        <v>662538.6546113924</v>
      </c>
      <c r="BN61" s="31" t="n">
        <v>1244463.88278375</v>
      </c>
      <c r="BO61" s="31" t="n">
        <v>589632.3670899428</v>
      </c>
      <c r="BP61" s="31" t="n">
        <v>2395.401842136251</v>
      </c>
      <c r="BQ61" s="31" t="n">
        <v>193993.8253129306</v>
      </c>
      <c r="BR61" s="31" t="n">
        <v>117296.3414159524</v>
      </c>
      <c r="BS61" s="31" t="n">
        <v>3678811.793880151</v>
      </c>
      <c r="BT61" s="31" t="n">
        <v>904929.0356271944</v>
      </c>
      <c r="BU61" s="31" t="n">
        <v>5955.481969355043</v>
      </c>
      <c r="BV61" s="31" t="n">
        <v>833855.5061028111</v>
      </c>
      <c r="BW61" s="31" t="n">
        <v>304385.1519995025</v>
      </c>
      <c r="BX61" s="31" t="n">
        <v>1031.423035394233</v>
      </c>
      <c r="BY61" s="31" t="n">
        <v>123813.1768885012</v>
      </c>
      <c r="BZ61" s="31" t="n">
        <v>140258.4459200061</v>
      </c>
      <c r="CA61" s="31" t="n">
        <v>128110.4887830664</v>
      </c>
      <c r="CB61" s="31" t="n">
        <v>182198.1580896484</v>
      </c>
      <c r="CC61" s="31" t="n">
        <v>2748.166263551513</v>
      </c>
      <c r="CD61" s="31" t="n">
        <v>585697.8519142317</v>
      </c>
      <c r="CE61" s="31" t="n">
        <v>1787999.619964123</v>
      </c>
      <c r="CF61" s="31" t="n">
        <v>605676.7052889194</v>
      </c>
      <c r="CG61" s="31" t="n">
        <v>213364.8740176189</v>
      </c>
      <c r="CH61" s="31" t="n">
        <v>1526469.223337084</v>
      </c>
      <c r="CI61" s="31" t="n">
        <v>213885.3316764264</v>
      </c>
      <c r="CJ61" s="31" t="n">
        <v>21414.4579027556</v>
      </c>
      <c r="CK61" s="31" t="n">
        <v>8836.852300831863</v>
      </c>
      <c r="CL61" s="31" t="n">
        <v>28698.83765135007</v>
      </c>
      <c r="CM61" s="31" t="n">
        <v>18547.45427630698</v>
      </c>
      <c r="CN61" s="31" t="n">
        <v>267457.7356772205</v>
      </c>
      <c r="CO61" s="31" t="n">
        <v>264841.7899437814</v>
      </c>
      <c r="CP61" s="31" t="n">
        <v>124.808631280457</v>
      </c>
      <c r="CQ61" s="31" t="n">
        <v>731485.4206959304</v>
      </c>
      <c r="CR61" s="31" t="n">
        <v>222313.9012398711</v>
      </c>
      <c r="CS61" s="31" t="n">
        <v>7748.909796431843</v>
      </c>
      <c r="CT61" s="31" t="n">
        <v>7075.606785785056</v>
      </c>
      <c r="CU61" s="31" t="n">
        <v>553304.83640997</v>
      </c>
      <c r="CV61" s="31" t="n">
        <v>377487.4822821346</v>
      </c>
      <c r="CW61" s="31" t="n">
        <v>26036.32258044607</v>
      </c>
      <c r="CX61" s="31" t="n">
        <v>28072.68002231658</v>
      </c>
      <c r="CY61" s="31" t="n">
        <v>41098.11261568549</v>
      </c>
      <c r="CZ61" s="31" t="n">
        <v>129875.0013107412</v>
      </c>
      <c r="DA61" s="31" t="n">
        <v>14966.16957651548</v>
      </c>
      <c r="DB61" s="31" t="n">
        <v>21631.96924030999</v>
      </c>
      <c r="DC61" s="31" t="n">
        <v>655736.2128556654</v>
      </c>
      <c r="DD61" s="31" t="n">
        <v>340.6657335361774</v>
      </c>
      <c r="DE61" s="31" t="n">
        <v>0</v>
      </c>
      <c r="DF61" s="31">
        <f>SUM(C61:DE61)</f>
        <v/>
      </c>
      <c r="DG61" s="31" t="n">
        <v>0</v>
      </c>
      <c r="DH61" s="31" t="n">
        <v>0</v>
      </c>
      <c r="DI61" s="31" t="n">
        <v>10986243.52631355</v>
      </c>
      <c r="DJ61" s="31" t="n">
        <v>0</v>
      </c>
      <c r="DK61" s="31">
        <f>SUM(DG61:DJ61)</f>
        <v/>
      </c>
      <c r="DL61" s="31">
        <f>DF61+DK61</f>
        <v/>
      </c>
    </row>
    <row r="62">
      <c r="A62" s="28" t="inlineStr">
        <is>
          <t>281</t>
        </is>
      </c>
      <c r="B62" s="28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62" s="29" t="n">
        <v>2803318.613744654</v>
      </c>
      <c r="D62" s="29" t="n">
        <v>71110.83341404112</v>
      </c>
      <c r="E62" s="29" t="n">
        <v>2762.975155171328</v>
      </c>
      <c r="F62" s="29" t="n">
        <v>22290.38433977586</v>
      </c>
      <c r="G62" s="29" t="n">
        <v>21626.08189971159</v>
      </c>
      <c r="H62" s="29" t="n">
        <v>74303.90473008723</v>
      </c>
      <c r="I62" s="29" t="n">
        <v>1261.212480887831</v>
      </c>
      <c r="J62" s="29" t="n">
        <v>4257982.39313302</v>
      </c>
      <c r="K62" s="29" t="n">
        <v>100972.6157019672</v>
      </c>
      <c r="L62" s="29" t="n">
        <v>64833.01244628806</v>
      </c>
      <c r="M62" s="29" t="n">
        <v>31473.56465995491</v>
      </c>
      <c r="N62" s="29" t="n">
        <v>65153.57101502836</v>
      </c>
      <c r="O62" s="29" t="n">
        <v>41365.70366506256</v>
      </c>
      <c r="P62" s="29" t="n">
        <v>38217.73030361012</v>
      </c>
      <c r="Q62" s="29" t="n">
        <v>2573307.353673558</v>
      </c>
      <c r="R62" s="29" t="n">
        <v>55789.44331928056</v>
      </c>
      <c r="S62" s="29" t="n">
        <v>25574.76382139314</v>
      </c>
      <c r="T62" s="29" t="n">
        <v>39370.00446488063</v>
      </c>
      <c r="U62" s="29" t="n">
        <v>43167.86131044864</v>
      </c>
      <c r="V62" s="29" t="n">
        <v>72649.18549163084</v>
      </c>
      <c r="W62" s="29" t="n">
        <v>37795.20108133845</v>
      </c>
      <c r="X62" s="29" t="n">
        <v>4907.976170155659</v>
      </c>
      <c r="Y62" s="29" t="n">
        <v>52266.84875694582</v>
      </c>
      <c r="Z62" s="29" t="n">
        <v>32785.18733190384</v>
      </c>
      <c r="AA62" s="29" t="n">
        <v>78991.02398100642</v>
      </c>
      <c r="AB62" s="29" t="n">
        <v>30611.93724870643</v>
      </c>
      <c r="AC62" s="29" t="n">
        <v>101816.9966091798</v>
      </c>
      <c r="AD62" s="29" t="n">
        <v>9466.988602752603</v>
      </c>
      <c r="AE62" s="29" t="n">
        <v>61877.4169027106</v>
      </c>
      <c r="AF62" s="29" t="n">
        <v>50155.8418386653</v>
      </c>
      <c r="AG62" s="29" t="n">
        <v>8731.605126139175</v>
      </c>
      <c r="AH62" s="29" t="n">
        <v>470278.9827121764</v>
      </c>
      <c r="AI62" s="29" t="n">
        <v>41782.13314944538</v>
      </c>
      <c r="AJ62" s="29" t="n">
        <v>64457.97002092041</v>
      </c>
      <c r="AK62" s="29" t="n">
        <v>44621.27628830053</v>
      </c>
      <c r="AL62" s="29" t="n">
        <v>41006.4499282001</v>
      </c>
      <c r="AM62" s="29" t="n">
        <v>174156.3814575601</v>
      </c>
      <c r="AN62" s="29" t="n">
        <v>46055.06990212043</v>
      </c>
      <c r="AO62" s="29" t="n">
        <v>32881.56591346798</v>
      </c>
      <c r="AP62" s="29" t="n">
        <v>28748.67526835937</v>
      </c>
      <c r="AQ62" s="29" t="n">
        <v>346420.9134658251</v>
      </c>
      <c r="AR62" s="29" t="n">
        <v>59841.65685258402</v>
      </c>
      <c r="AS62" s="29" t="n">
        <v>87043.33521840771</v>
      </c>
      <c r="AT62" s="29" t="n">
        <v>66180.6391807719</v>
      </c>
      <c r="AU62" s="29" t="n">
        <v>155320.7308004898</v>
      </c>
      <c r="AV62" s="29" t="n">
        <v>1900076.781854179</v>
      </c>
      <c r="AW62" s="29" t="n">
        <v>60250.06373803066</v>
      </c>
      <c r="AX62" s="29" t="n">
        <v>93930.82010281018</v>
      </c>
      <c r="AY62" s="29" t="n">
        <v>956940.3302242109</v>
      </c>
      <c r="AZ62" s="29" t="n">
        <v>1600513.954455253</v>
      </c>
      <c r="BA62" s="29" t="n">
        <v>455549.4229580976</v>
      </c>
      <c r="BB62" s="29" t="n">
        <v>1051668.75818756</v>
      </c>
      <c r="BC62" s="29" t="n">
        <v>396841.3726296679</v>
      </c>
      <c r="BD62" s="29" t="n">
        <v>34522.03790734938</v>
      </c>
      <c r="BE62" s="29" t="n">
        <v>119024.0935191177</v>
      </c>
      <c r="BF62" s="29" t="n">
        <v>52079.35795569811</v>
      </c>
      <c r="BG62" s="29" t="n">
        <v>44537.49720909939</v>
      </c>
      <c r="BH62" s="29" t="n">
        <v>125343.4698186359</v>
      </c>
      <c r="BI62" s="29" t="n">
        <v>16289.05966595392</v>
      </c>
      <c r="BJ62" s="29" t="n">
        <v>54721.82029674501</v>
      </c>
      <c r="BK62" s="29" t="n">
        <v>757266.0779120994</v>
      </c>
      <c r="BL62" s="29" t="n">
        <v>482656.404569406</v>
      </c>
      <c r="BM62" s="29" t="n">
        <v>171219.0993965778</v>
      </c>
      <c r="BN62" s="29" t="n">
        <v>315058.32383424</v>
      </c>
      <c r="BO62" s="29" t="n">
        <v>102418.2508345978</v>
      </c>
      <c r="BP62" s="29" t="n">
        <v>1032113.356675875</v>
      </c>
      <c r="BQ62" s="29" t="n">
        <v>62765.50979632782</v>
      </c>
      <c r="BR62" s="29" t="n">
        <v>74480.46609224594</v>
      </c>
      <c r="BS62" s="29" t="n">
        <v>28742791.43474489</v>
      </c>
      <c r="BT62" s="29" t="n">
        <v>97000.14005512104</v>
      </c>
      <c r="BU62" s="29" t="n">
        <v>180018.9758376449</v>
      </c>
      <c r="BV62" s="29" t="n">
        <v>451384.2343158667</v>
      </c>
      <c r="BW62" s="29" t="n">
        <v>28241.73453048909</v>
      </c>
      <c r="BX62" s="29" t="n">
        <v>48386.41154907683</v>
      </c>
      <c r="BY62" s="29" t="n">
        <v>1024828.606667664</v>
      </c>
      <c r="BZ62" s="29" t="n">
        <v>19558.27264458742</v>
      </c>
      <c r="CA62" s="29" t="n">
        <v>573426.0396231679</v>
      </c>
      <c r="CB62" s="29" t="n">
        <v>32385.69385227036</v>
      </c>
      <c r="CC62" s="29" t="n">
        <v>1292.953414055834</v>
      </c>
      <c r="CD62" s="29" t="n">
        <v>88276.81969026453</v>
      </c>
      <c r="CE62" s="29" t="n">
        <v>132579.9871301072</v>
      </c>
      <c r="CF62" s="29" t="n">
        <v>21948.90587499771</v>
      </c>
      <c r="CG62" s="29" t="n">
        <v>39261.90539532747</v>
      </c>
      <c r="CH62" s="29" t="n">
        <v>198843.8211167144</v>
      </c>
      <c r="CI62" s="29" t="n">
        <v>37782.07076660428</v>
      </c>
      <c r="CJ62" s="29" t="n">
        <v>200505.9462940041</v>
      </c>
      <c r="CK62" s="29" t="n">
        <v>19032.99345051264</v>
      </c>
      <c r="CL62" s="29" t="n">
        <v>42386.06850565314</v>
      </c>
      <c r="CM62" s="29" t="n">
        <v>14552.54819375063</v>
      </c>
      <c r="CN62" s="29" t="n">
        <v>4954624.71117653</v>
      </c>
      <c r="CO62" s="29" t="n">
        <v>3006234.322813819</v>
      </c>
      <c r="CP62" s="29" t="n">
        <v>7002.353930626916</v>
      </c>
      <c r="CQ62" s="29" t="n">
        <v>57538.2929508208</v>
      </c>
      <c r="CR62" s="29" t="n">
        <v>81026.07299655402</v>
      </c>
      <c r="CS62" s="29" t="n">
        <v>12308.21975032644</v>
      </c>
      <c r="CT62" s="29" t="n">
        <v>11238.75815749524</v>
      </c>
      <c r="CU62" s="29" t="n">
        <v>221416.0859740895</v>
      </c>
      <c r="CV62" s="29" t="n">
        <v>599593.8792661405</v>
      </c>
      <c r="CW62" s="29" t="n">
        <v>80176.94062639914</v>
      </c>
      <c r="CX62" s="29" t="n">
        <v>18359.83035004136</v>
      </c>
      <c r="CY62" s="29" t="n">
        <v>289699.4817262755</v>
      </c>
      <c r="CZ62" s="29" t="n">
        <v>32253.67019131147</v>
      </c>
      <c r="DA62" s="29" t="n">
        <v>38287.72517902076</v>
      </c>
      <c r="DB62" s="29" t="n">
        <v>217631.3420384601</v>
      </c>
      <c r="DC62" s="29" t="n">
        <v>54785.80210769372</v>
      </c>
      <c r="DD62" s="29" t="n">
        <v>9921.259530844176</v>
      </c>
      <c r="DE62" s="29" t="n">
        <v>0</v>
      </c>
      <c r="DF62" s="29">
        <f>SUM(C62:DE62)</f>
        <v/>
      </c>
      <c r="DG62" s="29" t="n">
        <v>0</v>
      </c>
      <c r="DH62" s="29" t="n">
        <v>0</v>
      </c>
      <c r="DI62" s="29" t="n">
        <v>17732603.68397468</v>
      </c>
      <c r="DJ62" s="29" t="n">
        <v>0</v>
      </c>
      <c r="DK62" s="29">
        <f>SUM(DG62:DJ62)</f>
        <v/>
      </c>
      <c r="DL62" s="29">
        <f>DF62+DK62</f>
        <v/>
      </c>
    </row>
    <row r="63">
      <c r="A63" s="30" t="inlineStr">
        <is>
          <t>289</t>
        </is>
      </c>
      <c r="B63" s="30" t="inlineStr">
        <is>
          <t>Fabricación de otros productos elaborados de metal; actividades de servicios de trabajo de metales</t>
        </is>
      </c>
      <c r="C63" s="31" t="n">
        <v>1721868.950909394</v>
      </c>
      <c r="D63" s="31" t="n">
        <v>37361.20899457368</v>
      </c>
      <c r="E63" s="31" t="n">
        <v>1153.339217174742</v>
      </c>
      <c r="F63" s="31" t="n">
        <v>16932.0594322166</v>
      </c>
      <c r="G63" s="31" t="n">
        <v>6077.576856849947</v>
      </c>
      <c r="H63" s="31" t="n">
        <v>1001366.023382396</v>
      </c>
      <c r="I63" s="31" t="n">
        <v>370.008102382306</v>
      </c>
      <c r="J63" s="31" t="n">
        <v>18798016.54138231</v>
      </c>
      <c r="K63" s="31" t="n">
        <v>982342.2031401538</v>
      </c>
      <c r="L63" s="31" t="n">
        <v>37458.30907175632</v>
      </c>
      <c r="M63" s="31" t="n">
        <v>33297.0372024409</v>
      </c>
      <c r="N63" s="31" t="n">
        <v>927278.1749458998</v>
      </c>
      <c r="O63" s="31" t="n">
        <v>638285.7975134351</v>
      </c>
      <c r="P63" s="31" t="n">
        <v>1552817.681729554</v>
      </c>
      <c r="Q63" s="31" t="n">
        <v>4228539.925368711</v>
      </c>
      <c r="R63" s="31" t="n">
        <v>1958175.502068988</v>
      </c>
      <c r="S63" s="31" t="n">
        <v>229150.4853251543</v>
      </c>
      <c r="T63" s="31" t="n">
        <v>137799.9047015313</v>
      </c>
      <c r="U63" s="31" t="n">
        <v>435902.3818995153</v>
      </c>
      <c r="V63" s="31" t="n">
        <v>909864.8978607809</v>
      </c>
      <c r="W63" s="31" t="n">
        <v>1506108.274411586</v>
      </c>
      <c r="X63" s="31" t="n">
        <v>48592.32841242843</v>
      </c>
      <c r="Y63" s="31" t="n">
        <v>1574967.773612377</v>
      </c>
      <c r="Z63" s="31" t="n">
        <v>622878.6475444522</v>
      </c>
      <c r="AA63" s="31" t="n">
        <v>720252.8504246409</v>
      </c>
      <c r="AB63" s="31" t="n">
        <v>836589.7890946935</v>
      </c>
      <c r="AC63" s="31" t="n">
        <v>1873472.354059435</v>
      </c>
      <c r="AD63" s="31" t="n">
        <v>204497.4016840721</v>
      </c>
      <c r="AE63" s="31" t="n">
        <v>752941.9391315669</v>
      </c>
      <c r="AF63" s="31" t="n">
        <v>806956.4643188281</v>
      </c>
      <c r="AG63" s="31" t="n">
        <v>141153.5768039183</v>
      </c>
      <c r="AH63" s="31" t="n">
        <v>207297.1190360242</v>
      </c>
      <c r="AI63" s="31" t="n">
        <v>1052845.830769143</v>
      </c>
      <c r="AJ63" s="31" t="n">
        <v>667083.7452831727</v>
      </c>
      <c r="AK63" s="31" t="n">
        <v>534970.6981656341</v>
      </c>
      <c r="AL63" s="31" t="n">
        <v>561560.5017165807</v>
      </c>
      <c r="AM63" s="31" t="n">
        <v>2273023.713221652</v>
      </c>
      <c r="AN63" s="31" t="n">
        <v>266263.7340258965</v>
      </c>
      <c r="AO63" s="31" t="n">
        <v>191367.075289228</v>
      </c>
      <c r="AP63" s="31" t="n">
        <v>180647.1821781395</v>
      </c>
      <c r="AQ63" s="31" t="n">
        <v>9381492.943629578</v>
      </c>
      <c r="AR63" s="31" t="n">
        <v>954773.4403981843</v>
      </c>
      <c r="AS63" s="31" t="n">
        <v>460038.7975311622</v>
      </c>
      <c r="AT63" s="31" t="n">
        <v>141497.8555507285</v>
      </c>
      <c r="AU63" s="31" t="n">
        <v>881505.5512119583</v>
      </c>
      <c r="AV63" s="31" t="n">
        <v>2561266.734145859</v>
      </c>
      <c r="AW63" s="31" t="n">
        <v>475109.7220698168</v>
      </c>
      <c r="AX63" s="31" t="n">
        <v>1533607.895786491</v>
      </c>
      <c r="AY63" s="31" t="n">
        <v>1560532.599601299</v>
      </c>
      <c r="AZ63" s="31" t="n">
        <v>4677423.852282628</v>
      </c>
      <c r="BA63" s="31" t="n">
        <v>5839105.159572225</v>
      </c>
      <c r="BB63" s="31" t="n">
        <v>7550427.641996292</v>
      </c>
      <c r="BC63" s="31" t="n">
        <v>2524639.220195902</v>
      </c>
      <c r="BD63" s="31" t="n">
        <v>762287.4061772948</v>
      </c>
      <c r="BE63" s="31" t="n">
        <v>1153780.306238074</v>
      </c>
      <c r="BF63" s="31" t="n">
        <v>629855.0787591853</v>
      </c>
      <c r="BG63" s="31" t="n">
        <v>722402.7176542827</v>
      </c>
      <c r="BH63" s="31" t="n">
        <v>2058268.457330529</v>
      </c>
      <c r="BI63" s="31" t="n">
        <v>61503.12383304122</v>
      </c>
      <c r="BJ63" s="31" t="n">
        <v>305293.0340203918</v>
      </c>
      <c r="BK63" s="31" t="n">
        <v>18075541.99409306</v>
      </c>
      <c r="BL63" s="31" t="n">
        <v>11127293.06097411</v>
      </c>
      <c r="BM63" s="31" t="n">
        <v>1038838.533893913</v>
      </c>
      <c r="BN63" s="31" t="n">
        <v>1819082.659157268</v>
      </c>
      <c r="BO63" s="31" t="n">
        <v>1756371.881532454</v>
      </c>
      <c r="BP63" s="31" t="n">
        <v>575049.0253679071</v>
      </c>
      <c r="BQ63" s="31" t="n">
        <v>301183.6526284488</v>
      </c>
      <c r="BR63" s="31" t="n">
        <v>855996.0636743014</v>
      </c>
      <c r="BS63" s="31" t="n">
        <v>24564877.21043818</v>
      </c>
      <c r="BT63" s="31" t="n">
        <v>2165348.819442654</v>
      </c>
      <c r="BU63" s="31" t="n">
        <v>2655799.144551463</v>
      </c>
      <c r="BV63" s="31" t="n">
        <v>2594376.556002792</v>
      </c>
      <c r="BW63" s="31" t="n">
        <v>466619.4570629804</v>
      </c>
      <c r="BX63" s="31" t="n">
        <v>482563.6974845296</v>
      </c>
      <c r="BY63" s="31" t="n">
        <v>392400.0850518561</v>
      </c>
      <c r="BZ63" s="31" t="n">
        <v>447797.7919649149</v>
      </c>
      <c r="CA63" s="31" t="n">
        <v>692426.7935481184</v>
      </c>
      <c r="CB63" s="31" t="n">
        <v>630642.3142745325</v>
      </c>
      <c r="CC63" s="31" t="n">
        <v>30585.76041751118</v>
      </c>
      <c r="CD63" s="31" t="n">
        <v>834376.1290911089</v>
      </c>
      <c r="CE63" s="31" t="n">
        <v>2858713.226629819</v>
      </c>
      <c r="CF63" s="31" t="n">
        <v>843174.3493791177</v>
      </c>
      <c r="CG63" s="31" t="n">
        <v>422232.3485118297</v>
      </c>
      <c r="CH63" s="31" t="n">
        <v>2375926.623085706</v>
      </c>
      <c r="CI63" s="31" t="n">
        <v>313241.2437826169</v>
      </c>
      <c r="CJ63" s="31" t="n">
        <v>101442.8420046124</v>
      </c>
      <c r="CK63" s="31" t="n">
        <v>23138.85666912276</v>
      </c>
      <c r="CL63" s="31" t="n">
        <v>94218.34480386272</v>
      </c>
      <c r="CM63" s="31" t="n">
        <v>87876.35801732958</v>
      </c>
      <c r="CN63" s="31" t="n">
        <v>1577256.286506135</v>
      </c>
      <c r="CO63" s="31" t="n">
        <v>1108596.832482114</v>
      </c>
      <c r="CP63" s="31" t="n">
        <v>70076.79813991347</v>
      </c>
      <c r="CQ63" s="31" t="n">
        <v>1622161.726418403</v>
      </c>
      <c r="CR63" s="31" t="n">
        <v>662607.6242352356</v>
      </c>
      <c r="CS63" s="31" t="n">
        <v>18430.83552272555</v>
      </c>
      <c r="CT63" s="31" t="n">
        <v>16829.37965703703</v>
      </c>
      <c r="CU63" s="31" t="n">
        <v>1849686.310031004</v>
      </c>
      <c r="CV63" s="31" t="n">
        <v>905776.2715302175</v>
      </c>
      <c r="CW63" s="31" t="n">
        <v>231191.9837983523</v>
      </c>
      <c r="CX63" s="31" t="n">
        <v>93284.24624558182</v>
      </c>
      <c r="CY63" s="31" t="n">
        <v>596875.1848587804</v>
      </c>
      <c r="CZ63" s="31" t="n">
        <v>245976.9219728233</v>
      </c>
      <c r="DA63" s="31" t="n">
        <v>596963.4933275054</v>
      </c>
      <c r="DB63" s="31" t="n">
        <v>185915.556688495</v>
      </c>
      <c r="DC63" s="31" t="n">
        <v>1091891.207349515</v>
      </c>
      <c r="DD63" s="31" t="n">
        <v>43063.34769420121</v>
      </c>
      <c r="DE63" s="31" t="n">
        <v>0</v>
      </c>
      <c r="DF63" s="31">
        <f>SUM(C63:DE63)</f>
        <v/>
      </c>
      <c r="DG63" s="31" t="n">
        <v>0</v>
      </c>
      <c r="DH63" s="31" t="n">
        <v>0</v>
      </c>
      <c r="DI63" s="31" t="n">
        <v>41739984.79920406</v>
      </c>
      <c r="DJ63" s="31" t="n">
        <v>0</v>
      </c>
      <c r="DK63" s="31">
        <f>SUM(DG63:DJ63)</f>
        <v/>
      </c>
      <c r="DL63" s="31">
        <f>DF63+DK63</f>
        <v/>
      </c>
    </row>
    <row r="64">
      <c r="A64" s="28" t="inlineStr">
        <is>
          <t>291</t>
        </is>
      </c>
      <c r="B64" s="28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64" s="29" t="n">
        <v>6492799.912699902</v>
      </c>
      <c r="D64" s="29" t="n">
        <v>35855.90771957245</v>
      </c>
      <c r="E64" s="29" t="n">
        <v>999.734307065898</v>
      </c>
      <c r="F64" s="29" t="n">
        <v>1073.036791425877</v>
      </c>
      <c r="G64" s="29" t="n">
        <v>7825.020055679031</v>
      </c>
      <c r="H64" s="29" t="n">
        <v>895069.2005084498</v>
      </c>
      <c r="I64" s="29" t="n">
        <v>468.3497042661864</v>
      </c>
      <c r="J64" s="29" t="n">
        <v>5826662.307694469</v>
      </c>
      <c r="K64" s="29" t="n">
        <v>646271.7194107256</v>
      </c>
      <c r="L64" s="29" t="n">
        <v>49050.6461156305</v>
      </c>
      <c r="M64" s="29" t="n">
        <v>135999.7265797793</v>
      </c>
      <c r="N64" s="29" t="n">
        <v>398263.6407462431</v>
      </c>
      <c r="O64" s="29" t="n">
        <v>193509.9931725259</v>
      </c>
      <c r="P64" s="29" t="n">
        <v>143921.4358926115</v>
      </c>
      <c r="Q64" s="29" t="n">
        <v>2302069.627866133</v>
      </c>
      <c r="R64" s="29" t="n">
        <v>239556.7862574692</v>
      </c>
      <c r="S64" s="29" t="n">
        <v>270613.5580388352</v>
      </c>
      <c r="T64" s="29" t="n">
        <v>131205.2824277489</v>
      </c>
      <c r="U64" s="29" t="n">
        <v>191928.9814330366</v>
      </c>
      <c r="V64" s="29" t="n">
        <v>233456.4687904505</v>
      </c>
      <c r="W64" s="29" t="n">
        <v>199487.1240350402</v>
      </c>
      <c r="X64" s="29" t="n">
        <v>41958.14449118827</v>
      </c>
      <c r="Y64" s="29" t="n">
        <v>509632.4626802688</v>
      </c>
      <c r="Z64" s="29" t="n">
        <v>102393.6195648398</v>
      </c>
      <c r="AA64" s="29" t="n">
        <v>103575.6971400559</v>
      </c>
      <c r="AB64" s="29" t="n">
        <v>174470.8823430709</v>
      </c>
      <c r="AC64" s="29" t="n">
        <v>428603.4286126368</v>
      </c>
      <c r="AD64" s="29" t="n">
        <v>63673.17481958577</v>
      </c>
      <c r="AE64" s="29" t="n">
        <v>367720.2459402822</v>
      </c>
      <c r="AF64" s="29" t="n">
        <v>79675.80720343319</v>
      </c>
      <c r="AG64" s="29" t="n">
        <v>84567.03272513545</v>
      </c>
      <c r="AH64" s="29" t="n">
        <v>45725.88926549816</v>
      </c>
      <c r="AI64" s="29" t="n">
        <v>256358.8973101974</v>
      </c>
      <c r="AJ64" s="29" t="n">
        <v>626198.6277760069</v>
      </c>
      <c r="AK64" s="29" t="n">
        <v>83955.14761065642</v>
      </c>
      <c r="AL64" s="29" t="n">
        <v>195253.0252312909</v>
      </c>
      <c r="AM64" s="29" t="n">
        <v>184911.251345859</v>
      </c>
      <c r="AN64" s="29" t="n">
        <v>185787.4482073011</v>
      </c>
      <c r="AO64" s="29" t="n">
        <v>32647.93849837112</v>
      </c>
      <c r="AP64" s="29" t="n">
        <v>116875.632436053</v>
      </c>
      <c r="AQ64" s="29" t="n">
        <v>636111.8445230359</v>
      </c>
      <c r="AR64" s="29" t="n">
        <v>57773.05210413272</v>
      </c>
      <c r="AS64" s="29" t="n">
        <v>211164.5842040331</v>
      </c>
      <c r="AT64" s="29" t="n">
        <v>78878.25141941335</v>
      </c>
      <c r="AU64" s="29" t="n">
        <v>1170312.565988312</v>
      </c>
      <c r="AV64" s="29" t="n">
        <v>1515560.853381406</v>
      </c>
      <c r="AW64" s="29" t="n">
        <v>154677.7578360095</v>
      </c>
      <c r="AX64" s="29" t="n">
        <v>367153.8317046408</v>
      </c>
      <c r="AY64" s="29" t="n">
        <v>390638.5987590949</v>
      </c>
      <c r="AZ64" s="29" t="n">
        <v>1885133.187588417</v>
      </c>
      <c r="BA64" s="29" t="n">
        <v>6370091.83433786</v>
      </c>
      <c r="BB64" s="29" t="n">
        <v>7714875.408719791</v>
      </c>
      <c r="BC64" s="29" t="n">
        <v>3850559.824808191</v>
      </c>
      <c r="BD64" s="29" t="n">
        <v>19526.60928505951</v>
      </c>
      <c r="BE64" s="29" t="n">
        <v>697261.7852821623</v>
      </c>
      <c r="BF64" s="29" t="n">
        <v>62506.07813089834</v>
      </c>
      <c r="BG64" s="29" t="n">
        <v>272470.7034222922</v>
      </c>
      <c r="BH64" s="29" t="n">
        <v>372643.3965406775</v>
      </c>
      <c r="BI64" s="29" t="n">
        <v>51359.87575323636</v>
      </c>
      <c r="BJ64" s="29" t="n">
        <v>151636.9168858653</v>
      </c>
      <c r="BK64" s="29" t="n">
        <v>11694222.87924467</v>
      </c>
      <c r="BL64" s="29" t="n">
        <v>2212553.4846057</v>
      </c>
      <c r="BM64" s="29" t="n">
        <v>173721.5629275292</v>
      </c>
      <c r="BN64" s="29" t="n">
        <v>128723.9817184542</v>
      </c>
      <c r="BO64" s="29" t="n">
        <v>941806.1862006725</v>
      </c>
      <c r="BP64" s="29" t="n">
        <v>4425769.358435672</v>
      </c>
      <c r="BQ64" s="29" t="n">
        <v>199520.2345373458</v>
      </c>
      <c r="BR64" s="29" t="n">
        <v>903756.7478761219</v>
      </c>
      <c r="BS64" s="29" t="n">
        <v>24123104.33180235</v>
      </c>
      <c r="BT64" s="29" t="n">
        <v>54313.50306781442</v>
      </c>
      <c r="BU64" s="29" t="n">
        <v>156328.2578031491</v>
      </c>
      <c r="BV64" s="29" t="n">
        <v>252187.3764606196</v>
      </c>
      <c r="BW64" s="29" t="n">
        <v>78853.69207998505</v>
      </c>
      <c r="BX64" s="29" t="n">
        <v>29246.38140229331</v>
      </c>
      <c r="BY64" s="29" t="n">
        <v>387322.0614180985</v>
      </c>
      <c r="BZ64" s="29" t="n">
        <v>347095.8688777107</v>
      </c>
      <c r="CA64" s="29" t="n">
        <v>521124.7897105499</v>
      </c>
      <c r="CB64" s="29" t="n">
        <v>210076.0230704841</v>
      </c>
      <c r="CC64" s="29" t="n">
        <v>37409.50263643768</v>
      </c>
      <c r="CD64" s="29" t="n">
        <v>42518.33571422858</v>
      </c>
      <c r="CE64" s="29" t="n">
        <v>669851.4045786444</v>
      </c>
      <c r="CF64" s="29" t="n">
        <v>12486.01153321041</v>
      </c>
      <c r="CG64" s="29" t="n">
        <v>175086.1727921788</v>
      </c>
      <c r="CH64" s="29" t="n">
        <v>1756900.129655413</v>
      </c>
      <c r="CI64" s="29" t="n">
        <v>15605.59306199223</v>
      </c>
      <c r="CJ64" s="29" t="n">
        <v>100890.6230836944</v>
      </c>
      <c r="CK64" s="29" t="n">
        <v>12839.81264859721</v>
      </c>
      <c r="CL64" s="29" t="n">
        <v>66612.51219269069</v>
      </c>
      <c r="CM64" s="29" t="n">
        <v>14395.28337179267</v>
      </c>
      <c r="CN64" s="29" t="n">
        <v>1159992.491880141</v>
      </c>
      <c r="CO64" s="29" t="n">
        <v>725674.3084158615</v>
      </c>
      <c r="CP64" s="29" t="n">
        <v>8123.645128360135</v>
      </c>
      <c r="CQ64" s="29" t="n">
        <v>326428.4296818037</v>
      </c>
      <c r="CR64" s="29" t="n">
        <v>167260.207683025</v>
      </c>
      <c r="CS64" s="29" t="n">
        <v>19793.44109508154</v>
      </c>
      <c r="CT64" s="29" t="n">
        <v>18073.58838928345</v>
      </c>
      <c r="CU64" s="29" t="n">
        <v>289825.8049324434</v>
      </c>
      <c r="CV64" s="29" t="n">
        <v>963998.9332521739</v>
      </c>
      <c r="CW64" s="29" t="n">
        <v>56173.52211106506</v>
      </c>
      <c r="CX64" s="29" t="n">
        <v>70020.86461702248</v>
      </c>
      <c r="CY64" s="29" t="n">
        <v>568764.740808703</v>
      </c>
      <c r="CZ64" s="29" t="n">
        <v>266771.9770673492</v>
      </c>
      <c r="DA64" s="29" t="n">
        <v>31914.2755536895</v>
      </c>
      <c r="DB64" s="29" t="n">
        <v>117859.4800496451</v>
      </c>
      <c r="DC64" s="29" t="n">
        <v>224702.738225584</v>
      </c>
      <c r="DD64" s="29" t="n">
        <v>4613.368586198791</v>
      </c>
      <c r="DE64" s="29" t="n">
        <v>0</v>
      </c>
      <c r="DF64" s="29">
        <f>SUM(C64:DE64)</f>
        <v/>
      </c>
      <c r="DG64" s="29" t="n">
        <v>0</v>
      </c>
      <c r="DH64" s="29" t="n">
        <v>0</v>
      </c>
      <c r="DI64" s="29" t="n">
        <v>30307180.49467657</v>
      </c>
      <c r="DJ64" s="29" t="n">
        <v>0</v>
      </c>
      <c r="DK64" s="29">
        <f>SUM(DG64:DJ64)</f>
        <v/>
      </c>
      <c r="DL64" s="29">
        <f>DF64+DK64</f>
        <v/>
      </c>
    </row>
    <row r="65">
      <c r="A65" s="30" t="inlineStr">
        <is>
          <t>292</t>
        </is>
      </c>
      <c r="B65" s="30" t="inlineStr">
        <is>
          <t>Fabricación de maquinaria de uso especial</t>
        </is>
      </c>
      <c r="C65" s="31" t="n">
        <v>380464.1621855004</v>
      </c>
      <c r="D65" s="31" t="n">
        <v>17580.95172385826</v>
      </c>
      <c r="E65" s="31" t="n">
        <v>8968.594094004768</v>
      </c>
      <c r="F65" s="31" t="n">
        <v>4933.463348522786</v>
      </c>
      <c r="G65" s="31" t="n">
        <v>3678.110848428518</v>
      </c>
      <c r="H65" s="31" t="n">
        <v>62630.75158107957</v>
      </c>
      <c r="I65" s="31" t="n">
        <v>244.9151528235028</v>
      </c>
      <c r="J65" s="31" t="n">
        <v>321950.3296938689</v>
      </c>
      <c r="K65" s="31" t="n">
        <v>414914.068091126</v>
      </c>
      <c r="L65" s="31" t="n">
        <v>78033.88272324478</v>
      </c>
      <c r="M65" s="31" t="n">
        <v>75733.33053125923</v>
      </c>
      <c r="N65" s="31" t="n">
        <v>55392.56033968963</v>
      </c>
      <c r="O65" s="31" t="n">
        <v>23217.22282537925</v>
      </c>
      <c r="P65" s="31" t="n">
        <v>169308.0774730639</v>
      </c>
      <c r="Q65" s="31" t="n">
        <v>1285929.374407125</v>
      </c>
      <c r="R65" s="31" t="n">
        <v>153538.9789876786</v>
      </c>
      <c r="S65" s="31" t="n">
        <v>23979.62487530467</v>
      </c>
      <c r="T65" s="31" t="n">
        <v>25282.51237886742</v>
      </c>
      <c r="U65" s="31" t="n">
        <v>226917.3357003345</v>
      </c>
      <c r="V65" s="31" t="n">
        <v>34273.74420006333</v>
      </c>
      <c r="W65" s="31" t="n">
        <v>30774.08397702536</v>
      </c>
      <c r="X65" s="31" t="n">
        <v>6946.356042982467</v>
      </c>
      <c r="Y65" s="31" t="n">
        <v>53089.55883522639</v>
      </c>
      <c r="Z65" s="31" t="n">
        <v>9926.229663966058</v>
      </c>
      <c r="AA65" s="31" t="n">
        <v>19823.66666379959</v>
      </c>
      <c r="AB65" s="31" t="n">
        <v>32345.27580652009</v>
      </c>
      <c r="AC65" s="31" t="n">
        <v>395310.6929935327</v>
      </c>
      <c r="AD65" s="31" t="n">
        <v>5932.709350758299</v>
      </c>
      <c r="AE65" s="31" t="n">
        <v>37736.74177837629</v>
      </c>
      <c r="AF65" s="31" t="n">
        <v>563493.6678860723</v>
      </c>
      <c r="AG65" s="31" t="n">
        <v>15476.13212994</v>
      </c>
      <c r="AH65" s="31" t="n">
        <v>24353.9682449605</v>
      </c>
      <c r="AI65" s="31" t="n">
        <v>25017.79049705564</v>
      </c>
      <c r="AJ65" s="31" t="n">
        <v>61417.72809770935</v>
      </c>
      <c r="AK65" s="31" t="n">
        <v>35123.03709352089</v>
      </c>
      <c r="AL65" s="31" t="n">
        <v>38953.9975653224</v>
      </c>
      <c r="AM65" s="31" t="n">
        <v>1447901.687045189</v>
      </c>
      <c r="AN65" s="31" t="n">
        <v>20000.03747468934</v>
      </c>
      <c r="AO65" s="31" t="n">
        <v>11853.89294926946</v>
      </c>
      <c r="AP65" s="31" t="n">
        <v>18974.59452516218</v>
      </c>
      <c r="AQ65" s="31" t="n">
        <v>1787270.163152744</v>
      </c>
      <c r="AR65" s="31" t="n">
        <v>40847.20364584919</v>
      </c>
      <c r="AS65" s="31" t="n">
        <v>41338.27306344124</v>
      </c>
      <c r="AT65" s="31" t="n">
        <v>7539.879435189046</v>
      </c>
      <c r="AU65" s="31" t="n">
        <v>72932.14336427694</v>
      </c>
      <c r="AV65" s="31" t="n">
        <v>185199.0089704723</v>
      </c>
      <c r="AW65" s="31" t="n">
        <v>18141.70119026712</v>
      </c>
      <c r="AX65" s="31" t="n">
        <v>82385.80927568654</v>
      </c>
      <c r="AY65" s="31" t="n">
        <v>55612.23353749099</v>
      </c>
      <c r="AZ65" s="31" t="n">
        <v>174058.0852827459</v>
      </c>
      <c r="BA65" s="31" t="n">
        <v>624635.158715894</v>
      </c>
      <c r="BB65" s="31" t="n">
        <v>2704699.381127073</v>
      </c>
      <c r="BC65" s="31" t="n">
        <v>179939.6713055939</v>
      </c>
      <c r="BD65" s="31" t="n">
        <v>530997.6476078429</v>
      </c>
      <c r="BE65" s="31" t="n">
        <v>32977.46263379599</v>
      </c>
      <c r="BF65" s="31" t="n">
        <v>4508.612723043787</v>
      </c>
      <c r="BG65" s="31" t="n">
        <v>17328.70189485126</v>
      </c>
      <c r="BH65" s="31" t="n">
        <v>54377.09370262622</v>
      </c>
      <c r="BI65" s="31" t="n">
        <v>7883.335625313848</v>
      </c>
      <c r="BJ65" s="31" t="n">
        <v>12142.99292422215</v>
      </c>
      <c r="BK65" s="31" t="n">
        <v>847229.7219601481</v>
      </c>
      <c r="BL65" s="31" t="n">
        <v>269739.1857127547</v>
      </c>
      <c r="BM65" s="31" t="n">
        <v>28150.1884577045</v>
      </c>
      <c r="BN65" s="31" t="n">
        <v>43721.92231369325</v>
      </c>
      <c r="BO65" s="31" t="n">
        <v>189500.6785463901</v>
      </c>
      <c r="BP65" s="31" t="n">
        <v>121872.6269987741</v>
      </c>
      <c r="BQ65" s="31" t="n">
        <v>15574.4679081954</v>
      </c>
      <c r="BR65" s="31" t="n">
        <v>331227.0867817658</v>
      </c>
      <c r="BS65" s="31" t="n">
        <v>7349231.49305236</v>
      </c>
      <c r="BT65" s="31" t="n">
        <v>479764.7595584083</v>
      </c>
      <c r="BU65" s="31" t="n">
        <v>1151696.044627417</v>
      </c>
      <c r="BV65" s="31" t="n">
        <v>449935.2307121875</v>
      </c>
      <c r="BW65" s="31" t="n">
        <v>15730.45713891077</v>
      </c>
      <c r="BX65" s="31" t="n">
        <v>216631.3371726456</v>
      </c>
      <c r="BY65" s="31" t="n">
        <v>215223.0350942821</v>
      </c>
      <c r="BZ65" s="31" t="n">
        <v>21482.21137286151</v>
      </c>
      <c r="CA65" s="31" t="n">
        <v>114644.4382650607</v>
      </c>
      <c r="CB65" s="31" t="n">
        <v>104832.0219681549</v>
      </c>
      <c r="CC65" s="31" t="n">
        <v>2285.87656401086</v>
      </c>
      <c r="CD65" s="31" t="n">
        <v>41538.71261676776</v>
      </c>
      <c r="CE65" s="31" t="n">
        <v>64107.73220184338</v>
      </c>
      <c r="CF65" s="31" t="n">
        <v>12844.77333699986</v>
      </c>
      <c r="CG65" s="31" t="n">
        <v>29864.02822052239</v>
      </c>
      <c r="CH65" s="31" t="n">
        <v>184829.0007636474</v>
      </c>
      <c r="CI65" s="31" t="n">
        <v>12584.26455482171</v>
      </c>
      <c r="CJ65" s="31" t="n">
        <v>46403.18543931815</v>
      </c>
      <c r="CK65" s="31" t="n">
        <v>11456.15261417242</v>
      </c>
      <c r="CL65" s="31" t="n">
        <v>17499.32428150828</v>
      </c>
      <c r="CM65" s="31" t="n">
        <v>28557.23676779987</v>
      </c>
      <c r="CN65" s="31" t="n">
        <v>85772.88316560711</v>
      </c>
      <c r="CO65" s="31" t="n">
        <v>53766.76900211805</v>
      </c>
      <c r="CP65" s="31" t="n">
        <v>32380.69559779204</v>
      </c>
      <c r="CQ65" s="31" t="n">
        <v>188685.5273940597</v>
      </c>
      <c r="CR65" s="31" t="n">
        <v>157531.8084033632</v>
      </c>
      <c r="CS65" s="31" t="n">
        <v>13523.43711671971</v>
      </c>
      <c r="CT65" s="31" t="n">
        <v>12348.38524953022</v>
      </c>
      <c r="CU65" s="31" t="n">
        <v>728880.7511087784</v>
      </c>
      <c r="CV65" s="31" t="n">
        <v>657767.0875443375</v>
      </c>
      <c r="CW65" s="31" t="n">
        <v>89857.96097909848</v>
      </c>
      <c r="CX65" s="31" t="n">
        <v>7972.663020807509</v>
      </c>
      <c r="CY65" s="31" t="n">
        <v>205537.3763322853</v>
      </c>
      <c r="CZ65" s="31" t="n">
        <v>20952.36188904547</v>
      </c>
      <c r="DA65" s="31" t="n">
        <v>252105.618846813</v>
      </c>
      <c r="DB65" s="31" t="n">
        <v>91116.04993436977</v>
      </c>
      <c r="DC65" s="31" t="n">
        <v>100654.9380709609</v>
      </c>
      <c r="DD65" s="31" t="n">
        <v>27656.77221689057</v>
      </c>
      <c r="DE65" s="31" t="n">
        <v>0</v>
      </c>
      <c r="DF65" s="31">
        <f>SUM(C65:DE65)</f>
        <v/>
      </c>
      <c r="DG65" s="31" t="n">
        <v>0</v>
      </c>
      <c r="DH65" s="31" t="n">
        <v>0</v>
      </c>
      <c r="DI65" s="31" t="n">
        <v>113920459.7814352</v>
      </c>
      <c r="DJ65" s="31" t="n">
        <v>0</v>
      </c>
      <c r="DK65" s="31">
        <f>SUM(DG65:DJ65)</f>
        <v/>
      </c>
      <c r="DL65" s="31">
        <f>DF65+DK65</f>
        <v/>
      </c>
    </row>
    <row r="66">
      <c r="A66" s="28" t="inlineStr">
        <is>
          <t>29300</t>
        </is>
      </c>
      <c r="B66" s="28" t="inlineStr">
        <is>
          <t>29300 - Fabricación de aparatos de uso doméstico n.c.p.</t>
        </is>
      </c>
      <c r="C66" s="29" t="n">
        <v>102804.4081763292</v>
      </c>
      <c r="D66" s="29" t="n">
        <v>9335.122643656461</v>
      </c>
      <c r="E66" s="29" t="n">
        <v>32.77395583145834</v>
      </c>
      <c r="F66" s="29" t="n">
        <v>95.1029286640847</v>
      </c>
      <c r="G66" s="29" t="n">
        <v>256.5250185699546</v>
      </c>
      <c r="H66" s="29" t="n">
        <v>33037.63400731821</v>
      </c>
      <c r="I66" s="29" t="n">
        <v>15.42494793885791</v>
      </c>
      <c r="J66" s="29" t="n">
        <v>318375.4071123207</v>
      </c>
      <c r="K66" s="29" t="n">
        <v>161917.4461430518</v>
      </c>
      <c r="L66" s="29" t="n">
        <v>1085.642766137813</v>
      </c>
      <c r="M66" s="29" t="n">
        <v>5213.715198673193</v>
      </c>
      <c r="N66" s="29" t="n">
        <v>39941.04264542383</v>
      </c>
      <c r="O66" s="29" t="n">
        <v>31775.47906879801</v>
      </c>
      <c r="P66" s="29" t="n">
        <v>39178.46172192117</v>
      </c>
      <c r="Q66" s="29" t="n">
        <v>206459.1843205537</v>
      </c>
      <c r="R66" s="29" t="n">
        <v>50027.13684289037</v>
      </c>
      <c r="S66" s="29" t="n">
        <v>33131.32904522831</v>
      </c>
      <c r="T66" s="29" t="n">
        <v>22424.69286728674</v>
      </c>
      <c r="U66" s="29" t="n">
        <v>25314.07807930433</v>
      </c>
      <c r="V66" s="29" t="n">
        <v>33704.8630956611</v>
      </c>
      <c r="W66" s="29" t="n">
        <v>35320.49543195961</v>
      </c>
      <c r="X66" s="29" t="n">
        <v>5677.763895099546</v>
      </c>
      <c r="Y66" s="29" t="n">
        <v>38408.01012423739</v>
      </c>
      <c r="Z66" s="29" t="n">
        <v>11976.02036027031</v>
      </c>
      <c r="AA66" s="29" t="n">
        <v>22498.85577180457</v>
      </c>
      <c r="AB66" s="29" t="n">
        <v>30062.58420414714</v>
      </c>
      <c r="AC66" s="29" t="n">
        <v>69598.64077081509</v>
      </c>
      <c r="AD66" s="29" t="n">
        <v>9695.558388889598</v>
      </c>
      <c r="AE66" s="29" t="n">
        <v>50024.59992863456</v>
      </c>
      <c r="AF66" s="29" t="n">
        <v>19748.44037327194</v>
      </c>
      <c r="AG66" s="29" t="n">
        <v>12091.9861590175</v>
      </c>
      <c r="AH66" s="29" t="n">
        <v>6455.407187135861</v>
      </c>
      <c r="AI66" s="29" t="n">
        <v>43578.22987827281</v>
      </c>
      <c r="AJ66" s="29" t="n">
        <v>84131.77591330002</v>
      </c>
      <c r="AK66" s="29" t="n">
        <v>14388.68004408228</v>
      </c>
      <c r="AL66" s="29" t="n">
        <v>25696.79335871171</v>
      </c>
      <c r="AM66" s="29" t="n">
        <v>360747.4491609225</v>
      </c>
      <c r="AN66" s="29" t="n">
        <v>26124.13815770542</v>
      </c>
      <c r="AO66" s="29" t="n">
        <v>6019.034540873616</v>
      </c>
      <c r="AP66" s="29" t="n">
        <v>16782.9016733091</v>
      </c>
      <c r="AQ66" s="29" t="n">
        <v>526289.394604957</v>
      </c>
      <c r="AR66" s="29" t="n">
        <v>25857.41266342696</v>
      </c>
      <c r="AS66" s="29" t="n">
        <v>12579.4617392279</v>
      </c>
      <c r="AT66" s="29" t="n">
        <v>11108.89657901989</v>
      </c>
      <c r="AU66" s="29" t="n">
        <v>95320.51026654593</v>
      </c>
      <c r="AV66" s="29" t="n">
        <v>197422.9311322907</v>
      </c>
      <c r="AW66" s="29" t="n">
        <v>24787.04612597651</v>
      </c>
      <c r="AX66" s="29" t="n">
        <v>65812.54054043387</v>
      </c>
      <c r="AY66" s="29" t="n">
        <v>22397.75154292241</v>
      </c>
      <c r="AZ66" s="29" t="n">
        <v>78218.50512755828</v>
      </c>
      <c r="BA66" s="29" t="n">
        <v>630562.375690127</v>
      </c>
      <c r="BB66" s="29" t="n">
        <v>217150.7595684842</v>
      </c>
      <c r="BC66" s="29" t="n">
        <v>3146701.412063926</v>
      </c>
      <c r="BD66" s="29" t="n">
        <v>123009.3366311469</v>
      </c>
      <c r="BE66" s="29" t="n">
        <v>17868.25414722499</v>
      </c>
      <c r="BF66" s="29" t="n">
        <v>4823.289287848376</v>
      </c>
      <c r="BG66" s="29" t="n">
        <v>16939.07860296158</v>
      </c>
      <c r="BH66" s="29" t="n">
        <v>39234.17902970399</v>
      </c>
      <c r="BI66" s="29" t="n">
        <v>302854.4551332254</v>
      </c>
      <c r="BJ66" s="29" t="n">
        <v>98159.94775715782</v>
      </c>
      <c r="BK66" s="29" t="n">
        <v>725353.4288650762</v>
      </c>
      <c r="BL66" s="29" t="n">
        <v>280343.0289659455</v>
      </c>
      <c r="BM66" s="29" t="n">
        <v>21063.97419750337</v>
      </c>
      <c r="BN66" s="29" t="n">
        <v>38456.81891936515</v>
      </c>
      <c r="BO66" s="29" t="n">
        <v>45059.49461378843</v>
      </c>
      <c r="BP66" s="29" t="n">
        <v>13572.34117769645</v>
      </c>
      <c r="BQ66" s="29" t="n">
        <v>7089.439207035461</v>
      </c>
      <c r="BR66" s="29" t="n">
        <v>112425.8078088559</v>
      </c>
      <c r="BS66" s="29" t="n">
        <v>679535.0251921307</v>
      </c>
      <c r="BT66" s="29" t="n">
        <v>59149.78865944287</v>
      </c>
      <c r="BU66" s="29" t="n">
        <v>65512.65808517301</v>
      </c>
      <c r="BV66" s="29" t="n">
        <v>84965.74671017344</v>
      </c>
      <c r="BW66" s="29" t="n">
        <v>62866.62946233503</v>
      </c>
      <c r="BX66" s="29" t="n">
        <v>16197.68297650179</v>
      </c>
      <c r="BY66" s="29" t="n">
        <v>50195.7519902155</v>
      </c>
      <c r="BZ66" s="29" t="n">
        <v>47073.14650635966</v>
      </c>
      <c r="CA66" s="29" t="n">
        <v>10263.82968707812</v>
      </c>
      <c r="CB66" s="29" t="n">
        <v>48367.34791482345</v>
      </c>
      <c r="CC66" s="29" t="n">
        <v>4825.292409205737</v>
      </c>
      <c r="CD66" s="29" t="n">
        <v>14168.470465197</v>
      </c>
      <c r="CE66" s="29" t="n">
        <v>100640.1745641197</v>
      </c>
      <c r="CF66" s="29" t="n">
        <v>14795.82548494667</v>
      </c>
      <c r="CG66" s="29" t="n">
        <v>30243.62222652845</v>
      </c>
      <c r="CH66" s="29" t="n">
        <v>175728.9982644941</v>
      </c>
      <c r="CI66" s="29" t="n">
        <v>5901.584673629492</v>
      </c>
      <c r="CJ66" s="29" t="n">
        <v>13918.8220160912</v>
      </c>
      <c r="CK66" s="29" t="n">
        <v>1887.103812014153</v>
      </c>
      <c r="CL66" s="29" t="n">
        <v>12363.2614063833</v>
      </c>
      <c r="CM66" s="29" t="n">
        <v>4092.92518874044</v>
      </c>
      <c r="CN66" s="29" t="n">
        <v>513829.8760449006</v>
      </c>
      <c r="CO66" s="29" t="n">
        <v>321100.712830876</v>
      </c>
      <c r="CP66" s="29" t="n">
        <v>2789.367181987885</v>
      </c>
      <c r="CQ66" s="29" t="n">
        <v>39900.23385297664</v>
      </c>
      <c r="CR66" s="29" t="n">
        <v>49421.97746894875</v>
      </c>
      <c r="CS66" s="29" t="n">
        <v>1178.309783380119</v>
      </c>
      <c r="CT66" s="29" t="n">
        <v>1075.926410045494</v>
      </c>
      <c r="CU66" s="29" t="n">
        <v>103090.8280512793</v>
      </c>
      <c r="CV66" s="29" t="n">
        <v>59466.16907320441</v>
      </c>
      <c r="CW66" s="29" t="n">
        <v>431618.8107054086</v>
      </c>
      <c r="CX66" s="29" t="n">
        <v>3754.121210221067</v>
      </c>
      <c r="CY66" s="29" t="n">
        <v>79735.61344935995</v>
      </c>
      <c r="CZ66" s="29" t="n">
        <v>12782.72195800514</v>
      </c>
      <c r="DA66" s="29" t="n">
        <v>14168.60741151358</v>
      </c>
      <c r="DB66" s="29" t="n">
        <v>10299.57389362388</v>
      </c>
      <c r="DC66" s="29" t="n">
        <v>63788.47774143433</v>
      </c>
      <c r="DD66" s="29" t="n">
        <v>1256.926189177157</v>
      </c>
      <c r="DE66" s="29" t="n">
        <v>0</v>
      </c>
      <c r="DF66" s="29">
        <f>SUM(C66:DE66)</f>
        <v/>
      </c>
      <c r="DG66" s="29" t="n">
        <v>0</v>
      </c>
      <c r="DH66" s="29" t="n">
        <v>0</v>
      </c>
      <c r="DI66" s="29" t="n">
        <v>41043862.73569367</v>
      </c>
      <c r="DJ66" s="29" t="n">
        <v>0</v>
      </c>
      <c r="DK66" s="29">
        <f>SUM(DG66:DJ66)</f>
        <v/>
      </c>
      <c r="DL66" s="29">
        <f>DF66+DK66</f>
        <v/>
      </c>
    </row>
    <row r="67">
      <c r="A67" s="30" t="inlineStr">
        <is>
          <t>30000</t>
        </is>
      </c>
      <c r="B67" s="30" t="inlineStr">
        <is>
          <t>30000 - Fabricación de maquinaria de oficina, contabilidad e informática</t>
        </is>
      </c>
      <c r="C67" s="31" t="n">
        <v>1164.353868658324</v>
      </c>
      <c r="D67" s="31" t="n">
        <v>111.9440931891645</v>
      </c>
      <c r="E67" s="31" t="n">
        <v>4.125316663575964</v>
      </c>
      <c r="F67" s="31" t="n">
        <v>9.125445987105754</v>
      </c>
      <c r="G67" s="31" t="n">
        <v>32.28926465797579</v>
      </c>
      <c r="H67" s="31" t="n">
        <v>4141.467695644676</v>
      </c>
      <c r="I67" s="31" t="n">
        <v>2.001930415166355</v>
      </c>
      <c r="J67" s="31" t="n">
        <v>169105.5536351456</v>
      </c>
      <c r="K67" s="31" t="n">
        <v>111920.8496108598</v>
      </c>
      <c r="L67" s="31" t="n">
        <v>1317.507888766322</v>
      </c>
      <c r="M67" s="31" t="n">
        <v>7231.669822189092</v>
      </c>
      <c r="N67" s="31" t="n">
        <v>17654.58574247872</v>
      </c>
      <c r="O67" s="31" t="n">
        <v>8647.088082021201</v>
      </c>
      <c r="P67" s="31" t="n">
        <v>19158.39433324579</v>
      </c>
      <c r="Q67" s="31" t="n">
        <v>15085.72413093465</v>
      </c>
      <c r="R67" s="31" t="n">
        <v>49289.6191685263</v>
      </c>
      <c r="S67" s="31" t="n">
        <v>9340.305875240929</v>
      </c>
      <c r="T67" s="31" t="n">
        <v>6594.801322705671</v>
      </c>
      <c r="U67" s="31" t="n">
        <v>18316.9083840095</v>
      </c>
      <c r="V67" s="31" t="n">
        <v>3788.091297363482</v>
      </c>
      <c r="W67" s="31" t="n">
        <v>18033.35520789735</v>
      </c>
      <c r="X67" s="31" t="n">
        <v>3188.071667311052</v>
      </c>
      <c r="Y67" s="31" t="n">
        <v>24889.72610332576</v>
      </c>
      <c r="Z67" s="31" t="n">
        <v>35.26070879567979</v>
      </c>
      <c r="AA67" s="31" t="n">
        <v>9829.883573996991</v>
      </c>
      <c r="AB67" s="31" t="n">
        <v>796.3603142363778</v>
      </c>
      <c r="AC67" s="31" t="n">
        <v>16930.21010203299</v>
      </c>
      <c r="AD67" s="31" t="n">
        <v>19596.68124230859</v>
      </c>
      <c r="AE67" s="31" t="n">
        <v>22373.73288371177</v>
      </c>
      <c r="AF67" s="31" t="n">
        <v>21662.75424387418</v>
      </c>
      <c r="AG67" s="31" t="n">
        <v>8893.744509121771</v>
      </c>
      <c r="AH67" s="31" t="n">
        <v>6052.212326043131</v>
      </c>
      <c r="AI67" s="31" t="n">
        <v>11519.82475647656</v>
      </c>
      <c r="AJ67" s="31" t="n">
        <v>28953.21031912263</v>
      </c>
      <c r="AK67" s="31" t="n">
        <v>30166.10373270863</v>
      </c>
      <c r="AL67" s="31" t="n">
        <v>43475.74959130726</v>
      </c>
      <c r="AM67" s="31" t="n">
        <v>239919.6607427546</v>
      </c>
      <c r="AN67" s="31" t="n">
        <v>208261.4385719272</v>
      </c>
      <c r="AO67" s="31" t="n">
        <v>2533.851697050215</v>
      </c>
      <c r="AP67" s="31" t="n">
        <v>32086.33036692891</v>
      </c>
      <c r="AQ67" s="31" t="n">
        <v>160663.5596439634</v>
      </c>
      <c r="AR67" s="31" t="n">
        <v>14419.47806403813</v>
      </c>
      <c r="AS67" s="31" t="n">
        <v>60959.96407190855</v>
      </c>
      <c r="AT67" s="31" t="n">
        <v>3164.970659539333</v>
      </c>
      <c r="AU67" s="31" t="n">
        <v>55887.577404711</v>
      </c>
      <c r="AV67" s="31" t="n">
        <v>132286.9168727965</v>
      </c>
      <c r="AW67" s="31" t="n">
        <v>778.3096474256763</v>
      </c>
      <c r="AX67" s="31" t="n">
        <v>121306.2875970985</v>
      </c>
      <c r="AY67" s="31" t="n">
        <v>22519.74279332695</v>
      </c>
      <c r="AZ67" s="31" t="n">
        <v>71856.26469224345</v>
      </c>
      <c r="BA67" s="31" t="n">
        <v>50743.38204204832</v>
      </c>
      <c r="BB67" s="31" t="n">
        <v>20733.44113731031</v>
      </c>
      <c r="BC67" s="31" t="n">
        <v>9843.118775033274</v>
      </c>
      <c r="BD67" s="31" t="n">
        <v>353582.9828147467</v>
      </c>
      <c r="BE67" s="31" t="n">
        <v>16447.39621887327</v>
      </c>
      <c r="BF67" s="31" t="n">
        <v>1783.501915457259</v>
      </c>
      <c r="BG67" s="31" t="n">
        <v>9777.114017962138</v>
      </c>
      <c r="BH67" s="31" t="n">
        <v>31070.32214846194</v>
      </c>
      <c r="BI67" s="31" t="n">
        <v>480.3283919271528</v>
      </c>
      <c r="BJ67" s="31" t="n">
        <v>59866.61290060741</v>
      </c>
      <c r="BK67" s="31" t="n">
        <v>13375.72849193462</v>
      </c>
      <c r="BL67" s="31" t="n">
        <v>38690.05552034891</v>
      </c>
      <c r="BM67" s="31" t="n">
        <v>10438.07469774082</v>
      </c>
      <c r="BN67" s="31" t="n">
        <v>32458.94842015441</v>
      </c>
      <c r="BO67" s="31" t="n">
        <v>347304.0872138282</v>
      </c>
      <c r="BP67" s="31" t="n">
        <v>29539.88951016868</v>
      </c>
      <c r="BQ67" s="31" t="n">
        <v>112.1124120857252</v>
      </c>
      <c r="BR67" s="31" t="n">
        <v>6521.223352722883</v>
      </c>
      <c r="BS67" s="31" t="n">
        <v>536032.5955987922</v>
      </c>
      <c r="BT67" s="31" t="n">
        <v>399878.1361354489</v>
      </c>
      <c r="BU67" s="31" t="n">
        <v>538601.4216444477</v>
      </c>
      <c r="BV67" s="31" t="n">
        <v>785207.6013476534</v>
      </c>
      <c r="BW67" s="31" t="n">
        <v>28.81815630947499</v>
      </c>
      <c r="BX67" s="31" t="n">
        <v>42212.61572212415</v>
      </c>
      <c r="BY67" s="31" t="n">
        <v>93310.31044292606</v>
      </c>
      <c r="BZ67" s="31" t="n">
        <v>20.0702311330146</v>
      </c>
      <c r="CA67" s="31" t="n">
        <v>882.1414114414183</v>
      </c>
      <c r="CB67" s="31" t="n">
        <v>41247.62976148491</v>
      </c>
      <c r="CC67" s="31" t="n">
        <v>1.966761898610689</v>
      </c>
      <c r="CD67" s="31" t="n">
        <v>196.9858245449572</v>
      </c>
      <c r="CE67" s="31" t="n">
        <v>149.6078795211305</v>
      </c>
      <c r="CF67" s="31" t="n">
        <v>15759.2274276861</v>
      </c>
      <c r="CG67" s="31" t="n">
        <v>99511.58291377206</v>
      </c>
      <c r="CH67" s="31" t="n">
        <v>26611.31334388223</v>
      </c>
      <c r="CI67" s="31" t="n">
        <v>73741.07431521636</v>
      </c>
      <c r="CJ67" s="31" t="n">
        <v>225280.5630591369</v>
      </c>
      <c r="CK67" s="31" t="n">
        <v>53036.70876568824</v>
      </c>
      <c r="CL67" s="31" t="n">
        <v>299104.2204016854</v>
      </c>
      <c r="CM67" s="31" t="n">
        <v>115275.6365842274</v>
      </c>
      <c r="CN67" s="31" t="n">
        <v>95.60340424945154</v>
      </c>
      <c r="CO67" s="31" t="n">
        <v>58.55809813276606</v>
      </c>
      <c r="CP67" s="31" t="n">
        <v>45.81620293325105</v>
      </c>
      <c r="CQ67" s="31" t="n">
        <v>473515.0293498546</v>
      </c>
      <c r="CR67" s="31" t="n">
        <v>1161871.452949733</v>
      </c>
      <c r="CS67" s="31" t="n">
        <v>88179.63229089364</v>
      </c>
      <c r="CT67" s="31" t="n">
        <v>80517.70132784046</v>
      </c>
      <c r="CU67" s="31" t="n">
        <v>841406.7235074668</v>
      </c>
      <c r="CV67" s="31" t="n">
        <v>2544439.10610118</v>
      </c>
      <c r="CW67" s="31" t="n">
        <v>624929.5720564546</v>
      </c>
      <c r="CX67" s="31" t="n">
        <v>83647.53675505392</v>
      </c>
      <c r="CY67" s="31" t="n">
        <v>939169.3768039057</v>
      </c>
      <c r="CZ67" s="31" t="n">
        <v>164488.575854816</v>
      </c>
      <c r="DA67" s="31" t="n">
        <v>43393.00582666074</v>
      </c>
      <c r="DB67" s="31" t="n">
        <v>90783.98664721998</v>
      </c>
      <c r="DC67" s="31" t="n">
        <v>51448.04608787707</v>
      </c>
      <c r="DD67" s="31" t="n">
        <v>3964.51133696227</v>
      </c>
      <c r="DE67" s="31" t="n">
        <v>0</v>
      </c>
      <c r="DF67" s="31">
        <f>SUM(C67:DE67)</f>
        <v/>
      </c>
      <c r="DG67" s="31" t="n">
        <v>0</v>
      </c>
      <c r="DH67" s="31" t="n">
        <v>0</v>
      </c>
      <c r="DI67" s="31" t="n">
        <v>5161236.119268299</v>
      </c>
      <c r="DJ67" s="31" t="n">
        <v>0</v>
      </c>
      <c r="DK67" s="31">
        <f>SUM(DG67:DJ67)</f>
        <v/>
      </c>
      <c r="DL67" s="31">
        <f>DF67+DK67</f>
        <v/>
      </c>
    </row>
    <row r="68">
      <c r="A68" s="28" t="inlineStr">
        <is>
          <t>311/12</t>
        </is>
      </c>
      <c r="B68" s="28" t="inlineStr">
        <is>
          <t>31100 - Fabricación de motores, generadores y transformadores eléctricos. 31200 - Fabricación de aparatos de distribución y control de la energía eléctrica</t>
        </is>
      </c>
      <c r="C68" s="29" t="n">
        <v>1874157.137475244</v>
      </c>
      <c r="D68" s="29" t="n">
        <v>32384.58671801021</v>
      </c>
      <c r="E68" s="29" t="n">
        <v>1043.933003216586</v>
      </c>
      <c r="F68" s="29" t="n">
        <v>1629.310409300886</v>
      </c>
      <c r="G68" s="29" t="n">
        <v>8170.967655325828</v>
      </c>
      <c r="H68" s="29" t="n">
        <v>338214.5436700294</v>
      </c>
      <c r="I68" s="29" t="n">
        <v>482.2535729411384</v>
      </c>
      <c r="J68" s="29" t="n">
        <v>317387.7936608974</v>
      </c>
      <c r="K68" s="29" t="n">
        <v>36489.35690189363</v>
      </c>
      <c r="L68" s="29" t="n">
        <v>21518.5489631876</v>
      </c>
      <c r="M68" s="29" t="n">
        <v>66078.40912602648</v>
      </c>
      <c r="N68" s="29" t="n">
        <v>888308.2761229945</v>
      </c>
      <c r="O68" s="29" t="n">
        <v>12237.68979706951</v>
      </c>
      <c r="P68" s="29" t="n">
        <v>341297.5243826294</v>
      </c>
      <c r="Q68" s="29" t="n">
        <v>1728648.806390736</v>
      </c>
      <c r="R68" s="29" t="n">
        <v>1887946.040617329</v>
      </c>
      <c r="S68" s="29" t="n">
        <v>956041.6977411716</v>
      </c>
      <c r="T68" s="29" t="n">
        <v>327491.2999099367</v>
      </c>
      <c r="U68" s="29" t="n">
        <v>977647.0960823767</v>
      </c>
      <c r="V68" s="29" t="n">
        <v>418134.3126483513</v>
      </c>
      <c r="W68" s="29" t="n">
        <v>238255.2454231147</v>
      </c>
      <c r="X68" s="29" t="n">
        <v>65021.51282296998</v>
      </c>
      <c r="Y68" s="29" t="n">
        <v>811641.5435275009</v>
      </c>
      <c r="Z68" s="29" t="n">
        <v>89045.17091383846</v>
      </c>
      <c r="AA68" s="29" t="n">
        <v>446315.4069880378</v>
      </c>
      <c r="AB68" s="29" t="n">
        <v>758569.1627882621</v>
      </c>
      <c r="AC68" s="29" t="n">
        <v>1184829.81146024</v>
      </c>
      <c r="AD68" s="29" t="n">
        <v>123954.4960399675</v>
      </c>
      <c r="AE68" s="29" t="n">
        <v>300240.8220186942</v>
      </c>
      <c r="AF68" s="29" t="n">
        <v>15456.9188437772</v>
      </c>
      <c r="AG68" s="29" t="n">
        <v>13477.45845266492</v>
      </c>
      <c r="AH68" s="29" t="n">
        <v>202889.1246586377</v>
      </c>
      <c r="AI68" s="29" t="n">
        <v>408834.3665225294</v>
      </c>
      <c r="AJ68" s="29" t="n">
        <v>516025.713215218</v>
      </c>
      <c r="AK68" s="29" t="n">
        <v>165047.5405136351</v>
      </c>
      <c r="AL68" s="29" t="n">
        <v>121670.8323082173</v>
      </c>
      <c r="AM68" s="29" t="n">
        <v>1995027.364857392</v>
      </c>
      <c r="AN68" s="29" t="n">
        <v>680559.0316204072</v>
      </c>
      <c r="AO68" s="29" t="n">
        <v>101242.3376764308</v>
      </c>
      <c r="AP68" s="29" t="n">
        <v>106511.1332210969</v>
      </c>
      <c r="AQ68" s="29" t="n">
        <v>1249550.280877467</v>
      </c>
      <c r="AR68" s="29" t="n">
        <v>36339.9307004285</v>
      </c>
      <c r="AS68" s="29" t="n">
        <v>257520.8127416197</v>
      </c>
      <c r="AT68" s="29" t="n">
        <v>74449.35456885495</v>
      </c>
      <c r="AU68" s="29" t="n">
        <v>1250708.859072108</v>
      </c>
      <c r="AV68" s="29" t="n">
        <v>1590938.910675257</v>
      </c>
      <c r="AW68" s="29" t="n">
        <v>79937.28225577605</v>
      </c>
      <c r="AX68" s="29" t="n">
        <v>94448.99797196742</v>
      </c>
      <c r="AY68" s="29" t="n">
        <v>370957.5524200392</v>
      </c>
      <c r="AZ68" s="29" t="n">
        <v>618129.0407829768</v>
      </c>
      <c r="BA68" s="29" t="n">
        <v>2205981.842043465</v>
      </c>
      <c r="BB68" s="29" t="n">
        <v>1210576.323001571</v>
      </c>
      <c r="BC68" s="29" t="n">
        <v>2428200.815695169</v>
      </c>
      <c r="BD68" s="29" t="n">
        <v>14615.20594282229</v>
      </c>
      <c r="BE68" s="29" t="n">
        <v>4372465.070497753</v>
      </c>
      <c r="BF68" s="29" t="n">
        <v>259866.3620939127</v>
      </c>
      <c r="BG68" s="29" t="n">
        <v>902772.9876893028</v>
      </c>
      <c r="BH68" s="29" t="n">
        <v>4091037.47405421</v>
      </c>
      <c r="BI68" s="29" t="n">
        <v>2229377.57408173</v>
      </c>
      <c r="BJ68" s="29" t="n">
        <v>691250.460231003</v>
      </c>
      <c r="BK68" s="29" t="n">
        <v>999880.8304317272</v>
      </c>
      <c r="BL68" s="29" t="n">
        <v>541261.7019184348</v>
      </c>
      <c r="BM68" s="29" t="n">
        <v>77282.67711473255</v>
      </c>
      <c r="BN68" s="29" t="n">
        <v>256739.1316843505</v>
      </c>
      <c r="BO68" s="29" t="n">
        <v>305603.1530178349</v>
      </c>
      <c r="BP68" s="29" t="n">
        <v>878450.0031852724</v>
      </c>
      <c r="BQ68" s="29" t="n">
        <v>12803.43339959473</v>
      </c>
      <c r="BR68" s="29" t="n">
        <v>118569.8186757676</v>
      </c>
      <c r="BS68" s="29" t="n">
        <v>5954798.703961798</v>
      </c>
      <c r="BT68" s="29" t="n">
        <v>50092.31845571613</v>
      </c>
      <c r="BU68" s="29" t="n">
        <v>191299.6695482082</v>
      </c>
      <c r="BV68" s="29" t="n">
        <v>280574.5992709738</v>
      </c>
      <c r="BW68" s="29" t="n">
        <v>495304.5882305054</v>
      </c>
      <c r="BX68" s="29" t="n">
        <v>28909.55596945954</v>
      </c>
      <c r="BY68" s="29" t="n">
        <v>1795470.61080452</v>
      </c>
      <c r="BZ68" s="29" t="n">
        <v>15053.78460646102</v>
      </c>
      <c r="CA68" s="29" t="n">
        <v>291543.6726306226</v>
      </c>
      <c r="CB68" s="29" t="n">
        <v>126277.2743948779</v>
      </c>
      <c r="CC68" s="29" t="n">
        <v>442.628561417588</v>
      </c>
      <c r="CD68" s="29" t="n">
        <v>33129.47574581527</v>
      </c>
      <c r="CE68" s="29" t="n">
        <v>874598.9948365645</v>
      </c>
      <c r="CF68" s="29" t="n">
        <v>4517.022769614214</v>
      </c>
      <c r="CG68" s="29" t="n">
        <v>299923.8277979148</v>
      </c>
      <c r="CH68" s="29" t="n">
        <v>7654512.015967449</v>
      </c>
      <c r="CI68" s="29" t="n">
        <v>13380.85134391955</v>
      </c>
      <c r="CJ68" s="29" t="n">
        <v>77089.01813361005</v>
      </c>
      <c r="CK68" s="29" t="n">
        <v>8295.607958672397</v>
      </c>
      <c r="CL68" s="29" t="n">
        <v>19116.81050428653</v>
      </c>
      <c r="CM68" s="29" t="n">
        <v>6836.680786517216</v>
      </c>
      <c r="CN68" s="29" t="n">
        <v>351851.2186553747</v>
      </c>
      <c r="CO68" s="29" t="n">
        <v>219289.2252172903</v>
      </c>
      <c r="CP68" s="29" t="n">
        <v>4382.915523678853</v>
      </c>
      <c r="CQ68" s="29" t="n">
        <v>80135.59803425039</v>
      </c>
      <c r="CR68" s="29" t="n">
        <v>203537.3594277523</v>
      </c>
      <c r="CS68" s="29" t="n">
        <v>7233.471088361545</v>
      </c>
      <c r="CT68" s="29" t="n">
        <v>6604.954562919076</v>
      </c>
      <c r="CU68" s="29" t="n">
        <v>865594.9721674662</v>
      </c>
      <c r="CV68" s="29" t="n">
        <v>354143.9873465305</v>
      </c>
      <c r="CW68" s="29" t="n">
        <v>128983.4065620827</v>
      </c>
      <c r="CX68" s="29" t="n">
        <v>21769.31402759703</v>
      </c>
      <c r="CY68" s="29" t="n">
        <v>139160.2927976427</v>
      </c>
      <c r="CZ68" s="29" t="n">
        <v>49328.24407429332</v>
      </c>
      <c r="DA68" s="29" t="n">
        <v>26424.97797934078</v>
      </c>
      <c r="DB68" s="29" t="n">
        <v>232386.4802021925</v>
      </c>
      <c r="DC68" s="29" t="n">
        <v>1087708.645034196</v>
      </c>
      <c r="DD68" s="29" t="n">
        <v>6239.715183695318</v>
      </c>
      <c r="DE68" s="29" t="n">
        <v>0</v>
      </c>
      <c r="DF68" s="29">
        <f>SUM(C68:DE68)</f>
        <v/>
      </c>
      <c r="DG68" s="29" t="n">
        <v>0</v>
      </c>
      <c r="DH68" s="29" t="n">
        <v>0</v>
      </c>
      <c r="DI68" s="29" t="n">
        <v>13517708.7704617</v>
      </c>
      <c r="DJ68" s="29" t="n">
        <v>0</v>
      </c>
      <c r="DK68" s="29">
        <f>SUM(DG68:DJ68)</f>
        <v/>
      </c>
      <c r="DL68" s="29">
        <f>DF68+DK68</f>
        <v/>
      </c>
    </row>
    <row r="69">
      <c r="A69" s="30" t="inlineStr">
        <is>
          <t>31300</t>
        </is>
      </c>
      <c r="B69" s="30" t="inlineStr">
        <is>
          <t>31300 - Fabricación de hilos y cables aislados</t>
        </is>
      </c>
      <c r="C69" s="31" t="n">
        <v>70078.9851144811</v>
      </c>
      <c r="D69" s="31" t="n">
        <v>2565.772570280812</v>
      </c>
      <c r="E69" s="31" t="n">
        <v>92.71598810811724</v>
      </c>
      <c r="F69" s="31" t="n">
        <v>21.5299794618029</v>
      </c>
      <c r="G69" s="31" t="n">
        <v>725.6972790674612</v>
      </c>
      <c r="H69" s="31" t="n">
        <v>17435.46981662897</v>
      </c>
      <c r="I69" s="31" t="n">
        <v>42.18158397901059</v>
      </c>
      <c r="J69" s="31" t="n">
        <v>840032.5058264341</v>
      </c>
      <c r="K69" s="31" t="n">
        <v>2252.807265201713</v>
      </c>
      <c r="L69" s="31" t="n">
        <v>10322.49569019285</v>
      </c>
      <c r="M69" s="31" t="n">
        <v>12970.20417286372</v>
      </c>
      <c r="N69" s="31" t="n">
        <v>884.8245991977901</v>
      </c>
      <c r="O69" s="31" t="n">
        <v>620.9583354828753</v>
      </c>
      <c r="P69" s="31" t="n">
        <v>426.4950286728532</v>
      </c>
      <c r="Q69" s="31" t="n">
        <v>32757.47742026311</v>
      </c>
      <c r="R69" s="31" t="n">
        <v>3798.809125651709</v>
      </c>
      <c r="S69" s="31" t="n">
        <v>658.4582892463859</v>
      </c>
      <c r="T69" s="31" t="n">
        <v>985.2431689523908</v>
      </c>
      <c r="U69" s="31" t="n">
        <v>57758.38869782946</v>
      </c>
      <c r="V69" s="31" t="n">
        <v>406.8661536946478</v>
      </c>
      <c r="W69" s="31" t="n">
        <v>24186.8573473185</v>
      </c>
      <c r="X69" s="31" t="n">
        <v>2973.22586868057</v>
      </c>
      <c r="Y69" s="31" t="n">
        <v>32906.03476964925</v>
      </c>
      <c r="Z69" s="31" t="n">
        <v>162.4898560898916</v>
      </c>
      <c r="AA69" s="31" t="n">
        <v>365.6652466632822</v>
      </c>
      <c r="AB69" s="31" t="n">
        <v>560.7350243503985</v>
      </c>
      <c r="AC69" s="31" t="n">
        <v>4012.870318358439</v>
      </c>
      <c r="AD69" s="31" t="n">
        <v>26022.29956166915</v>
      </c>
      <c r="AE69" s="31" t="n">
        <v>1125.343871923521</v>
      </c>
      <c r="AF69" s="31" t="n">
        <v>268.5535877555803</v>
      </c>
      <c r="AG69" s="31" t="n">
        <v>1175.895623872501</v>
      </c>
      <c r="AH69" s="31" t="n">
        <v>93.47423282792022</v>
      </c>
      <c r="AI69" s="31" t="n">
        <v>14798.65860877727</v>
      </c>
      <c r="AJ69" s="31" t="n">
        <v>38277.89964879071</v>
      </c>
      <c r="AK69" s="31" t="n">
        <v>5763.009495530086</v>
      </c>
      <c r="AL69" s="31" t="n">
        <v>9492.416411407827</v>
      </c>
      <c r="AM69" s="31" t="n">
        <v>11445.13808368862</v>
      </c>
      <c r="AN69" s="31" t="n">
        <v>823.2499569286144</v>
      </c>
      <c r="AO69" s="31" t="n">
        <v>928.6098162070415</v>
      </c>
      <c r="AP69" s="31" t="n">
        <v>2090.163389048409</v>
      </c>
      <c r="AQ69" s="31" t="n">
        <v>22953.72633404584</v>
      </c>
      <c r="AR69" s="31" t="n">
        <v>1463.755998030349</v>
      </c>
      <c r="AS69" s="31" t="n">
        <v>38759.82628129077</v>
      </c>
      <c r="AT69" s="31" t="n">
        <v>2418.100243844784</v>
      </c>
      <c r="AU69" s="31" t="n">
        <v>40380.47666393836</v>
      </c>
      <c r="AV69" s="31" t="n">
        <v>5324.012536979312</v>
      </c>
      <c r="AW69" s="31" t="n">
        <v>141301.5759861729</v>
      </c>
      <c r="AX69" s="31" t="n">
        <v>5389.73451052886</v>
      </c>
      <c r="AY69" s="31" t="n">
        <v>164248.4293168492</v>
      </c>
      <c r="AZ69" s="31" t="n">
        <v>351666.0561247816</v>
      </c>
      <c r="BA69" s="31" t="n">
        <v>447415.1027572303</v>
      </c>
      <c r="BB69" s="31" t="n">
        <v>174928.8496931273</v>
      </c>
      <c r="BC69" s="31" t="n">
        <v>339343.6300757162</v>
      </c>
      <c r="BD69" s="31" t="n">
        <v>513.5660180021089</v>
      </c>
      <c r="BE69" s="31" t="n">
        <v>945803.0249541708</v>
      </c>
      <c r="BF69" s="31" t="n">
        <v>2258150.193184793</v>
      </c>
      <c r="BG69" s="31" t="n">
        <v>959265.6568398275</v>
      </c>
      <c r="BH69" s="31" t="n">
        <v>2184600.231569399</v>
      </c>
      <c r="BI69" s="31" t="n">
        <v>353401.1446964057</v>
      </c>
      <c r="BJ69" s="31" t="n">
        <v>186793.6978190484</v>
      </c>
      <c r="BK69" s="31" t="n">
        <v>3310282.488554623</v>
      </c>
      <c r="BL69" s="31" t="n">
        <v>997873.3592653503</v>
      </c>
      <c r="BM69" s="31" t="n">
        <v>25462.86551422475</v>
      </c>
      <c r="BN69" s="31" t="n">
        <v>106582.3954109495</v>
      </c>
      <c r="BO69" s="31" t="n">
        <v>265549.282020378</v>
      </c>
      <c r="BP69" s="31" t="n">
        <v>4523936.76608715</v>
      </c>
      <c r="BQ69" s="31" t="n">
        <v>1446.207083411221</v>
      </c>
      <c r="BR69" s="31" t="n">
        <v>1706.222657234151</v>
      </c>
      <c r="BS69" s="31" t="n">
        <v>13088166.12275883</v>
      </c>
      <c r="BT69" s="31" t="n">
        <v>1359.259227522676</v>
      </c>
      <c r="BU69" s="31" t="n">
        <v>664720.3055606484</v>
      </c>
      <c r="BV69" s="31" t="n">
        <v>256314.7073031442</v>
      </c>
      <c r="BW69" s="31" t="n">
        <v>276385.2342767493</v>
      </c>
      <c r="BX69" s="31" t="n">
        <v>1645.550906632425</v>
      </c>
      <c r="BY69" s="31" t="n">
        <v>40783.93054636589</v>
      </c>
      <c r="BZ69" s="31" t="n">
        <v>1306.21141172757</v>
      </c>
      <c r="CA69" s="31" t="n">
        <v>19028.8173195697</v>
      </c>
      <c r="CB69" s="31" t="n">
        <v>12012.67879547854</v>
      </c>
      <c r="CC69" s="31" t="n">
        <v>20.19778989112327</v>
      </c>
      <c r="CD69" s="31" t="n">
        <v>2584.28772798985</v>
      </c>
      <c r="CE69" s="31" t="n">
        <v>84700.82372986276</v>
      </c>
      <c r="CF69" s="31" t="n">
        <v>401.3546832253209</v>
      </c>
      <c r="CG69" s="31" t="n">
        <v>723322.4774436073</v>
      </c>
      <c r="CH69" s="31" t="n">
        <v>18074729.45923707</v>
      </c>
      <c r="CI69" s="31" t="n">
        <v>158822.5152240961</v>
      </c>
      <c r="CJ69" s="31" t="n">
        <v>11340.24074204151</v>
      </c>
      <c r="CK69" s="31" t="n">
        <v>571.1108377166842</v>
      </c>
      <c r="CL69" s="31" t="n">
        <v>1225.387439688253</v>
      </c>
      <c r="CM69" s="31" t="n">
        <v>418.863806561431</v>
      </c>
      <c r="CN69" s="31" t="n">
        <v>65914.77814261115</v>
      </c>
      <c r="CO69" s="31" t="n">
        <v>41190.94334696695</v>
      </c>
      <c r="CP69" s="31" t="n">
        <v>206.3680628260612</v>
      </c>
      <c r="CQ69" s="31" t="n">
        <v>979.3980838765677</v>
      </c>
      <c r="CR69" s="31" t="n">
        <v>3241.141911487291</v>
      </c>
      <c r="CS69" s="31" t="n">
        <v>6171.088938725086</v>
      </c>
      <c r="CT69" s="31" t="n">
        <v>5634.88283095415</v>
      </c>
      <c r="CU69" s="31" t="n">
        <v>21862.46894267358</v>
      </c>
      <c r="CV69" s="31" t="n">
        <v>300632.1162144601</v>
      </c>
      <c r="CW69" s="31" t="n">
        <v>2000.675093309385</v>
      </c>
      <c r="CX69" s="31" t="n">
        <v>35022.37194712034</v>
      </c>
      <c r="CY69" s="31" t="n">
        <v>9907.403603975141</v>
      </c>
      <c r="CZ69" s="31" t="n">
        <v>39153.49268119322</v>
      </c>
      <c r="DA69" s="31" t="n">
        <v>28107.70645080918</v>
      </c>
      <c r="DB69" s="31" t="n">
        <v>12034.32713918084</v>
      </c>
      <c r="DC69" s="31" t="n">
        <v>2313.039577779722</v>
      </c>
      <c r="DD69" s="31" t="n">
        <v>327.1473314174727</v>
      </c>
      <c r="DE69" s="31" t="n">
        <v>0</v>
      </c>
      <c r="DF69" s="31">
        <f>SUM(C69:DE69)</f>
        <v/>
      </c>
      <c r="DG69" s="31" t="n">
        <v>0</v>
      </c>
      <c r="DH69" s="31" t="n">
        <v>0</v>
      </c>
      <c r="DI69" s="31" t="n">
        <v>566939.4469778999</v>
      </c>
      <c r="DJ69" s="31" t="n">
        <v>0</v>
      </c>
      <c r="DK69" s="31">
        <f>SUM(DG69:DJ69)</f>
        <v/>
      </c>
      <c r="DL69" s="31">
        <f>DF69+DK69</f>
        <v/>
      </c>
    </row>
    <row r="70">
      <c r="A70" s="28" t="inlineStr">
        <is>
          <t>314/15/19</t>
        </is>
      </c>
      <c r="B70" s="28" t="inlineStr">
        <is>
          <t>31400 - Fabricación de acumuladores, pilas y baterías primarias. 31500 - Fabricación de lámparas eléctricas y equipo de iluminación. 31900 - Fabricación de equipo eléctrico n.c.p.</t>
        </is>
      </c>
      <c r="C70" s="29" t="n">
        <v>181114.1256785055</v>
      </c>
      <c r="D70" s="29" t="n">
        <v>5419.871933355749</v>
      </c>
      <c r="E70" s="29" t="n">
        <v>26.62886251305939</v>
      </c>
      <c r="F70" s="29" t="n">
        <v>17848.65046270855</v>
      </c>
      <c r="G70" s="29" t="n">
        <v>209.9629052347041</v>
      </c>
      <c r="H70" s="29" t="n">
        <v>110157.4212682662</v>
      </c>
      <c r="I70" s="29" t="n">
        <v>13.74997341120176</v>
      </c>
      <c r="J70" s="29" t="n">
        <v>577566.7910043916</v>
      </c>
      <c r="K70" s="29" t="n">
        <v>186159.6875477802</v>
      </c>
      <c r="L70" s="29" t="n">
        <v>6241.21519046891</v>
      </c>
      <c r="M70" s="29" t="n">
        <v>21087.65900187076</v>
      </c>
      <c r="N70" s="29" t="n">
        <v>60703.58259685981</v>
      </c>
      <c r="O70" s="29" t="n">
        <v>14033.5499199759</v>
      </c>
      <c r="P70" s="29" t="n">
        <v>20400.69251194362</v>
      </c>
      <c r="Q70" s="29" t="n">
        <v>200698.7768998225</v>
      </c>
      <c r="R70" s="29" t="n">
        <v>115025.7063988281</v>
      </c>
      <c r="S70" s="29" t="n">
        <v>41091.18800121698</v>
      </c>
      <c r="T70" s="29" t="n">
        <v>19322.59836806717</v>
      </c>
      <c r="U70" s="29" t="n">
        <v>40901.68848965703</v>
      </c>
      <c r="V70" s="29" t="n">
        <v>33057.88128678087</v>
      </c>
      <c r="W70" s="29" t="n">
        <v>29818.49377892211</v>
      </c>
      <c r="X70" s="29" t="n">
        <v>6479.154586992181</v>
      </c>
      <c r="Y70" s="29" t="n">
        <v>42753.46022437436</v>
      </c>
      <c r="Z70" s="29" t="n">
        <v>9511.816022320598</v>
      </c>
      <c r="AA70" s="29" t="n">
        <v>25683.29493501913</v>
      </c>
      <c r="AB70" s="29" t="n">
        <v>26898.55879407939</v>
      </c>
      <c r="AC70" s="29" t="n">
        <v>92671.27784123659</v>
      </c>
      <c r="AD70" s="29" t="n">
        <v>13456.96949144166</v>
      </c>
      <c r="AE70" s="29" t="n">
        <v>28349.83904898643</v>
      </c>
      <c r="AF70" s="29" t="n">
        <v>25612.13304378936</v>
      </c>
      <c r="AG70" s="29" t="n">
        <v>10539.36175886644</v>
      </c>
      <c r="AH70" s="29" t="n">
        <v>5679.936474943768</v>
      </c>
      <c r="AI70" s="29" t="n">
        <v>50063.05369081525</v>
      </c>
      <c r="AJ70" s="29" t="n">
        <v>29287.37644115216</v>
      </c>
      <c r="AK70" s="29" t="n">
        <v>29258.0506512173</v>
      </c>
      <c r="AL70" s="29" t="n">
        <v>39862.11622723735</v>
      </c>
      <c r="AM70" s="29" t="n">
        <v>74678.60410207513</v>
      </c>
      <c r="AN70" s="29" t="n">
        <v>18861.33394537047</v>
      </c>
      <c r="AO70" s="29" t="n">
        <v>9292.745814871818</v>
      </c>
      <c r="AP70" s="29" t="n">
        <v>11060.77610944396</v>
      </c>
      <c r="AQ70" s="29" t="n">
        <v>217059.4524159719</v>
      </c>
      <c r="AR70" s="29" t="n">
        <v>24691.99944796836</v>
      </c>
      <c r="AS70" s="29" t="n">
        <v>47607.30415388863</v>
      </c>
      <c r="AT70" s="29" t="n">
        <v>27468.80245491268</v>
      </c>
      <c r="AU70" s="29" t="n">
        <v>134348.0574757385</v>
      </c>
      <c r="AV70" s="29" t="n">
        <v>1713984.515059753</v>
      </c>
      <c r="AW70" s="29" t="n">
        <v>234424.8687411657</v>
      </c>
      <c r="AX70" s="29" t="n">
        <v>56096.87756288263</v>
      </c>
      <c r="AY70" s="29" t="n">
        <v>97890.16921380314</v>
      </c>
      <c r="AZ70" s="29" t="n">
        <v>180228.5660998378</v>
      </c>
      <c r="BA70" s="29" t="n">
        <v>1277443.737288781</v>
      </c>
      <c r="BB70" s="29" t="n">
        <v>773987.9794498428</v>
      </c>
      <c r="BC70" s="29" t="n">
        <v>213748.7074445601</v>
      </c>
      <c r="BD70" s="29" t="n">
        <v>69143.7286972717</v>
      </c>
      <c r="BE70" s="29" t="n">
        <v>566745.1102050121</v>
      </c>
      <c r="BF70" s="29" t="n">
        <v>142663.1430780459</v>
      </c>
      <c r="BG70" s="29" t="n">
        <v>2303398.782664791</v>
      </c>
      <c r="BH70" s="29" t="n">
        <v>1956817.916149615</v>
      </c>
      <c r="BI70" s="29" t="n">
        <v>1136857.156098396</v>
      </c>
      <c r="BJ70" s="29" t="n">
        <v>407753.1463555958</v>
      </c>
      <c r="BK70" s="29" t="n">
        <v>2698091.573985758</v>
      </c>
      <c r="BL70" s="29" t="n">
        <v>421978.9180938666</v>
      </c>
      <c r="BM70" s="29" t="n">
        <v>104336.4045866629</v>
      </c>
      <c r="BN70" s="29" t="n">
        <v>283159.8030972442</v>
      </c>
      <c r="BO70" s="29" t="n">
        <v>129023.1765003475</v>
      </c>
      <c r="BP70" s="29" t="n">
        <v>2233998.371847963</v>
      </c>
      <c r="BQ70" s="29" t="n">
        <v>2816.859701156483</v>
      </c>
      <c r="BR70" s="29" t="n">
        <v>5351.64269640332</v>
      </c>
      <c r="BS70" s="29" t="n">
        <v>3106267.290751114</v>
      </c>
      <c r="BT70" s="29" t="n">
        <v>2147281.616596309</v>
      </c>
      <c r="BU70" s="29" t="n">
        <v>4535418.339672199</v>
      </c>
      <c r="BV70" s="29" t="n">
        <v>8245469.135467025</v>
      </c>
      <c r="BW70" s="29" t="n">
        <v>348682.284011378</v>
      </c>
      <c r="BX70" s="29" t="n">
        <v>78434.91542231265</v>
      </c>
      <c r="BY70" s="29" t="n">
        <v>536190.7730564619</v>
      </c>
      <c r="BZ70" s="29" t="n">
        <v>5457.834332976221</v>
      </c>
      <c r="CA70" s="29" t="n">
        <v>64092.207460062</v>
      </c>
      <c r="CB70" s="29" t="n">
        <v>41036.43814601029</v>
      </c>
      <c r="CC70" s="29" t="n">
        <v>167.022980647943</v>
      </c>
      <c r="CD70" s="29" t="n">
        <v>7489.68042435538</v>
      </c>
      <c r="CE70" s="29" t="n">
        <v>287774.6919695602</v>
      </c>
      <c r="CF70" s="29" t="n">
        <v>12137.67173603666</v>
      </c>
      <c r="CG70" s="29" t="n">
        <v>289168.4128605864</v>
      </c>
      <c r="CH70" s="29" t="n">
        <v>4511898.599136026</v>
      </c>
      <c r="CI70" s="29" t="n">
        <v>6577.041317135711</v>
      </c>
      <c r="CJ70" s="29" t="n">
        <v>7143.143735210848</v>
      </c>
      <c r="CK70" s="29" t="n">
        <v>716.9004564134493</v>
      </c>
      <c r="CL70" s="29" t="n">
        <v>28864.38679007995</v>
      </c>
      <c r="CM70" s="29" t="n">
        <v>2425.053197954327</v>
      </c>
      <c r="CN70" s="29" t="n">
        <v>594184.1570940245</v>
      </c>
      <c r="CO70" s="29" t="n">
        <v>370697.1778658876</v>
      </c>
      <c r="CP70" s="29" t="n">
        <v>3641.4369159035</v>
      </c>
      <c r="CQ70" s="29" t="n">
        <v>205517.9094818442</v>
      </c>
      <c r="CR70" s="29" t="n">
        <v>2275387.435959831</v>
      </c>
      <c r="CS70" s="29" t="n">
        <v>20169.46364573582</v>
      </c>
      <c r="CT70" s="29" t="n">
        <v>18416.9383289411</v>
      </c>
      <c r="CU70" s="29" t="n">
        <v>4325450.598683758</v>
      </c>
      <c r="CV70" s="29" t="n">
        <v>1786948.646661652</v>
      </c>
      <c r="CW70" s="29" t="n">
        <v>394235.6173167439</v>
      </c>
      <c r="CX70" s="29" t="n">
        <v>56566.23464374759</v>
      </c>
      <c r="CY70" s="29" t="n">
        <v>213294.371970189</v>
      </c>
      <c r="CZ70" s="29" t="n">
        <v>93785.58480451776</v>
      </c>
      <c r="DA70" s="29" t="n">
        <v>20937.46996242295</v>
      </c>
      <c r="DB70" s="29" t="n">
        <v>64892.32621807208</v>
      </c>
      <c r="DC70" s="29" t="n">
        <v>128178.1166936585</v>
      </c>
      <c r="DD70" s="29" t="n">
        <v>41478.75695438044</v>
      </c>
      <c r="DE70" s="29" t="n">
        <v>0</v>
      </c>
      <c r="DF70" s="29">
        <f>SUM(C70:DE70)</f>
        <v/>
      </c>
      <c r="DG70" s="29" t="n">
        <v>0</v>
      </c>
      <c r="DH70" s="29" t="n">
        <v>0</v>
      </c>
      <c r="DI70" s="29" t="n">
        <v>10685973.91524327</v>
      </c>
      <c r="DJ70" s="29" t="n">
        <v>0</v>
      </c>
      <c r="DK70" s="29">
        <f>SUM(DG70:DJ70)</f>
        <v/>
      </c>
      <c r="DL70" s="29">
        <f>DF70+DK70</f>
        <v/>
      </c>
    </row>
    <row r="71">
      <c r="A71" s="30" t="inlineStr">
        <is>
          <t>32100/32200</t>
        </is>
      </c>
      <c r="B71" s="3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71" s="31" t="n">
        <v>85192.37454759631</v>
      </c>
      <c r="D71" s="31" t="n">
        <v>5081.020795080749</v>
      </c>
      <c r="E71" s="31" t="n">
        <v>203.3118637921135</v>
      </c>
      <c r="F71" s="31" t="n">
        <v>0</v>
      </c>
      <c r="G71" s="31" t="n">
        <v>1591.342220114394</v>
      </c>
      <c r="H71" s="31" t="n">
        <v>47802.35998019861</v>
      </c>
      <c r="I71" s="31" t="n">
        <v>757.0279898575519</v>
      </c>
      <c r="J71" s="31" t="n">
        <v>139618.3671563267</v>
      </c>
      <c r="K71" s="31" t="n">
        <v>327739.8498153497</v>
      </c>
      <c r="L71" s="31" t="n">
        <v>56974.07176994094</v>
      </c>
      <c r="M71" s="31" t="n">
        <v>25428.22034141238</v>
      </c>
      <c r="N71" s="31" t="n">
        <v>19506.36154550181</v>
      </c>
      <c r="O71" s="31" t="n">
        <v>17941.23455012845</v>
      </c>
      <c r="P71" s="31" t="n">
        <v>8390.478792101641</v>
      </c>
      <c r="Q71" s="31" t="n">
        <v>30698.95112744767</v>
      </c>
      <c r="R71" s="31" t="n">
        <v>25705.90712496184</v>
      </c>
      <c r="S71" s="31" t="n">
        <v>5926.089287639606</v>
      </c>
      <c r="T71" s="31" t="n">
        <v>4806.394415179709</v>
      </c>
      <c r="U71" s="31" t="n">
        <v>9601.483723909818</v>
      </c>
      <c r="V71" s="31" t="n">
        <v>2352.763566272986</v>
      </c>
      <c r="W71" s="31" t="n">
        <v>2743.328456973732</v>
      </c>
      <c r="X71" s="31" t="n">
        <v>1675.962145267593</v>
      </c>
      <c r="Y71" s="31" t="n">
        <v>28863.60626103915</v>
      </c>
      <c r="Z71" s="31" t="n">
        <v>5250.498077567988</v>
      </c>
      <c r="AA71" s="31" t="n">
        <v>6665.166897600257</v>
      </c>
      <c r="AB71" s="31" t="n">
        <v>6186.913598915723</v>
      </c>
      <c r="AC71" s="31" t="n">
        <v>20110.83258110609</v>
      </c>
      <c r="AD71" s="31" t="n">
        <v>1886.150390793019</v>
      </c>
      <c r="AE71" s="31" t="n">
        <v>10209.51043320876</v>
      </c>
      <c r="AF71" s="31" t="n">
        <v>2593.419839450101</v>
      </c>
      <c r="AG71" s="31" t="n">
        <v>2387.094164129782</v>
      </c>
      <c r="AH71" s="31" t="n">
        <v>1180.999506575804</v>
      </c>
      <c r="AI71" s="31" t="n">
        <v>10343.58148824803</v>
      </c>
      <c r="AJ71" s="31" t="n">
        <v>15776.41862410999</v>
      </c>
      <c r="AK71" s="31" t="n">
        <v>15367.59300307334</v>
      </c>
      <c r="AL71" s="31" t="n">
        <v>25299.65710177952</v>
      </c>
      <c r="AM71" s="31" t="n">
        <v>33821.11264905538</v>
      </c>
      <c r="AN71" s="31" t="n">
        <v>12339.48074168459</v>
      </c>
      <c r="AO71" s="31" t="n">
        <v>5057.330540839455</v>
      </c>
      <c r="AP71" s="31" t="n">
        <v>14089.78355425502</v>
      </c>
      <c r="AQ71" s="31" t="n">
        <v>35758.67548778752</v>
      </c>
      <c r="AR71" s="31" t="n">
        <v>3922.854798271695</v>
      </c>
      <c r="AS71" s="31" t="n">
        <v>3728.794855279302</v>
      </c>
      <c r="AT71" s="31" t="n">
        <v>3185.944066770911</v>
      </c>
      <c r="AU71" s="31" t="n">
        <v>44404.43704308795</v>
      </c>
      <c r="AV71" s="31" t="n">
        <v>28376.6977635535</v>
      </c>
      <c r="AW71" s="31" t="n">
        <v>6428.019446547029</v>
      </c>
      <c r="AX71" s="31" t="n">
        <v>2853.228361019355</v>
      </c>
      <c r="AY71" s="31" t="n">
        <v>83308.37957782682</v>
      </c>
      <c r="AZ71" s="31" t="n">
        <v>59519.52606399571</v>
      </c>
      <c r="BA71" s="31" t="n">
        <v>141170.2715674228</v>
      </c>
      <c r="BB71" s="31" t="n">
        <v>139675.0412303125</v>
      </c>
      <c r="BC71" s="31" t="n">
        <v>101581.9264034679</v>
      </c>
      <c r="BD71" s="31" t="n">
        <v>7724.627098569132</v>
      </c>
      <c r="BE71" s="31" t="n">
        <v>338135.1149737166</v>
      </c>
      <c r="BF71" s="31" t="n">
        <v>26614.12496009396</v>
      </c>
      <c r="BG71" s="31" t="n">
        <v>386646.4127563665</v>
      </c>
      <c r="BH71" s="31" t="n">
        <v>46456801.1014761</v>
      </c>
      <c r="BI71" s="31" t="n">
        <v>3897276.202359723</v>
      </c>
      <c r="BJ71" s="31" t="n">
        <v>430808.1771485488</v>
      </c>
      <c r="BK71" s="31" t="n">
        <v>149635.3120144474</v>
      </c>
      <c r="BL71" s="31" t="n">
        <v>28908.98863282629</v>
      </c>
      <c r="BM71" s="31" t="n">
        <v>9776.80750311072</v>
      </c>
      <c r="BN71" s="31" t="n">
        <v>26583.09254284644</v>
      </c>
      <c r="BO71" s="31" t="n">
        <v>92802.04843410631</v>
      </c>
      <c r="BP71" s="31" t="n">
        <v>379021.2918437389</v>
      </c>
      <c r="BQ71" s="31" t="n">
        <v>45556.26938682525</v>
      </c>
      <c r="BR71" s="31" t="n">
        <v>29252.13940561955</v>
      </c>
      <c r="BS71" s="31" t="n">
        <v>1798382.198164102</v>
      </c>
      <c r="BT71" s="31" t="n">
        <v>208103.368822871</v>
      </c>
      <c r="BU71" s="31" t="n">
        <v>350988.7107885574</v>
      </c>
      <c r="BV71" s="31" t="n">
        <v>367524.6521298322</v>
      </c>
      <c r="BW71" s="31" t="n">
        <v>948102.3905707273</v>
      </c>
      <c r="BX71" s="31" t="n">
        <v>20445.26207314549</v>
      </c>
      <c r="BY71" s="31" t="n">
        <v>63324.17045185163</v>
      </c>
      <c r="BZ71" s="31" t="n">
        <v>8369.473062740821</v>
      </c>
      <c r="CA71" s="31" t="n">
        <v>221214.4351814747</v>
      </c>
      <c r="CB71" s="31" t="n">
        <v>16228.62100829741</v>
      </c>
      <c r="CC71" s="31" t="n">
        <v>3960.698963032336</v>
      </c>
      <c r="CD71" s="31" t="n">
        <v>423493.0415560429</v>
      </c>
      <c r="CE71" s="31" t="n">
        <v>194120.0311023569</v>
      </c>
      <c r="CF71" s="31" t="n">
        <v>9981.262646567819</v>
      </c>
      <c r="CG71" s="31" t="n">
        <v>33998305.96903341</v>
      </c>
      <c r="CH71" s="31" t="n">
        <v>19920456.53017415</v>
      </c>
      <c r="CI71" s="31" t="n">
        <v>46684.75711173043</v>
      </c>
      <c r="CJ71" s="31" t="n">
        <v>24126.3349196319</v>
      </c>
      <c r="CK71" s="31" t="n">
        <v>140303.5368844781</v>
      </c>
      <c r="CL71" s="31" t="n">
        <v>41240.07048222621</v>
      </c>
      <c r="CM71" s="31" t="n">
        <v>18765.04659988775</v>
      </c>
      <c r="CN71" s="31" t="n">
        <v>166133.731278365</v>
      </c>
      <c r="CO71" s="31" t="n">
        <v>77282.09073082659</v>
      </c>
      <c r="CP71" s="31" t="n">
        <v>11488.69190641817</v>
      </c>
      <c r="CQ71" s="31" t="n">
        <v>13302.71255006954</v>
      </c>
      <c r="CR71" s="31" t="n">
        <v>1259787.23313425</v>
      </c>
      <c r="CS71" s="31" t="n">
        <v>7925.415488431843</v>
      </c>
      <c r="CT71" s="31" t="n">
        <v>7236.77589277607</v>
      </c>
      <c r="CU71" s="31" t="n">
        <v>614149.2039777311</v>
      </c>
      <c r="CV71" s="31" t="n">
        <v>382977.3663770175</v>
      </c>
      <c r="CW71" s="31" t="n">
        <v>74703.9804233269</v>
      </c>
      <c r="CX71" s="31" t="n">
        <v>26338.04410835866</v>
      </c>
      <c r="CY71" s="31" t="n">
        <v>186723.3428156127</v>
      </c>
      <c r="CZ71" s="31" t="n">
        <v>38502.23250941443</v>
      </c>
      <c r="DA71" s="31" t="n">
        <v>116665.0380924547</v>
      </c>
      <c r="DB71" s="31" t="n">
        <v>36582.36956088609</v>
      </c>
      <c r="DC71" s="31" t="n">
        <v>141910.9346082226</v>
      </c>
      <c r="DD71" s="31" t="n">
        <v>3451.7888466606</v>
      </c>
      <c r="DE71" s="31" t="n">
        <v>0</v>
      </c>
      <c r="DF71" s="31">
        <f>SUM(C71:DE71)</f>
        <v/>
      </c>
      <c r="DG71" s="31" t="n">
        <v>0</v>
      </c>
      <c r="DH71" s="31" t="n">
        <v>0</v>
      </c>
      <c r="DI71" s="31" t="n">
        <v>44416839.76200493</v>
      </c>
      <c r="DJ71" s="31" t="n">
        <v>0</v>
      </c>
      <c r="DK71" s="31">
        <f>SUM(DG71:DJ71)</f>
        <v/>
      </c>
      <c r="DL71" s="31">
        <f>DF71+DK71</f>
        <v/>
      </c>
    </row>
    <row r="72">
      <c r="A72" s="28" t="inlineStr">
        <is>
          <t>32300</t>
        </is>
      </c>
      <c r="B72" s="28" t="inlineStr">
        <is>
          <t>32300 - Fabricación de receptores de radio y televisión, aparatos de grabación y reproducción de sonido y video, y productos conexos</t>
        </is>
      </c>
      <c r="C72" s="29" t="n">
        <v>16394.30926416659</v>
      </c>
      <c r="D72" s="29" t="n">
        <v>59.98445067940983</v>
      </c>
      <c r="E72" s="29" t="n">
        <v>0.6266360307358182</v>
      </c>
      <c r="F72" s="29" t="n">
        <v>0</v>
      </c>
      <c r="G72" s="29" t="n">
        <v>4.904742663588183</v>
      </c>
      <c r="H72" s="29" t="n">
        <v>1779.520458141598</v>
      </c>
      <c r="I72" s="29" t="n">
        <v>0.2882214178882854</v>
      </c>
      <c r="J72" s="29" t="n">
        <v>22.03817152045744</v>
      </c>
      <c r="K72" s="29" t="n">
        <v>7092.723217062339</v>
      </c>
      <c r="L72" s="29" t="n">
        <v>223.9373306366228</v>
      </c>
      <c r="M72" s="29" t="n">
        <v>1860.307828162471</v>
      </c>
      <c r="N72" s="29" t="n">
        <v>4727.788398497295</v>
      </c>
      <c r="O72" s="29" t="n">
        <v>3034.378097826782</v>
      </c>
      <c r="P72" s="29" t="n">
        <v>1511.379527342428</v>
      </c>
      <c r="Q72" s="29" t="n">
        <v>23142.68968863658</v>
      </c>
      <c r="R72" s="29" t="n">
        <v>2631.530825704005</v>
      </c>
      <c r="S72" s="29" t="n">
        <v>2900.429751582115</v>
      </c>
      <c r="T72" s="29" t="n">
        <v>4500.005643110395</v>
      </c>
      <c r="U72" s="29" t="n">
        <v>2191.636346554697</v>
      </c>
      <c r="V72" s="29" t="n">
        <v>5254.13220548523</v>
      </c>
      <c r="W72" s="29" t="n">
        <v>1037.006371160646</v>
      </c>
      <c r="X72" s="29" t="n">
        <v>439.3256339095516</v>
      </c>
      <c r="Y72" s="29" t="n">
        <v>2125.68736394557</v>
      </c>
      <c r="Z72" s="29" t="n">
        <v>52.36514556716168</v>
      </c>
      <c r="AA72" s="29" t="n">
        <v>1294.441305183752</v>
      </c>
      <c r="AB72" s="29" t="n">
        <v>1620.14432593741</v>
      </c>
      <c r="AC72" s="29" t="n">
        <v>11793.45568219894</v>
      </c>
      <c r="AD72" s="29" t="n">
        <v>670.8788798113035</v>
      </c>
      <c r="AE72" s="29" t="n">
        <v>5811.923269550854</v>
      </c>
      <c r="AF72" s="29" t="n">
        <v>2868.694141421955</v>
      </c>
      <c r="AG72" s="29" t="n">
        <v>1172.793808282688</v>
      </c>
      <c r="AH72" s="29" t="n">
        <v>537.4199014188358</v>
      </c>
      <c r="AI72" s="29" t="n">
        <v>2687.340709251882</v>
      </c>
      <c r="AJ72" s="29" t="n">
        <v>13816.28549937223</v>
      </c>
      <c r="AK72" s="29" t="n">
        <v>111998.2022601316</v>
      </c>
      <c r="AL72" s="29" t="n">
        <v>111843.7161563975</v>
      </c>
      <c r="AM72" s="29" t="n">
        <v>573.7962136730055</v>
      </c>
      <c r="AN72" s="29" t="n">
        <v>2253.057531673875</v>
      </c>
      <c r="AO72" s="29" t="n">
        <v>290.4617718340819</v>
      </c>
      <c r="AP72" s="29" t="n">
        <v>1348.687963352899</v>
      </c>
      <c r="AQ72" s="29" t="n">
        <v>56270.9860806217</v>
      </c>
      <c r="AR72" s="29" t="n">
        <v>797.4677439131194</v>
      </c>
      <c r="AS72" s="29" t="n">
        <v>1453.590979998976</v>
      </c>
      <c r="AT72" s="29" t="n">
        <v>865.0974245189532</v>
      </c>
      <c r="AU72" s="29" t="n">
        <v>8420.072466472877</v>
      </c>
      <c r="AV72" s="29" t="n">
        <v>44107.74269952637</v>
      </c>
      <c r="AW72" s="29" t="n">
        <v>23039.15976045547</v>
      </c>
      <c r="AX72" s="29" t="n">
        <v>11865.80485303618</v>
      </c>
      <c r="AY72" s="29" t="n">
        <v>13568.27444238604</v>
      </c>
      <c r="AZ72" s="29" t="n">
        <v>35265.45132353359</v>
      </c>
      <c r="BA72" s="29" t="n">
        <v>146348.3985027689</v>
      </c>
      <c r="BB72" s="29" t="n">
        <v>236405.5747689794</v>
      </c>
      <c r="BC72" s="29" t="n">
        <v>41721.69857896032</v>
      </c>
      <c r="BD72" s="29" t="n">
        <v>3222.912975348394</v>
      </c>
      <c r="BE72" s="29" t="n">
        <v>32323.27473980298</v>
      </c>
      <c r="BF72" s="29" t="n">
        <v>7009.085538042211</v>
      </c>
      <c r="BG72" s="29" t="n">
        <v>33245.37281581009</v>
      </c>
      <c r="BH72" s="29" t="n">
        <v>477056.0950195753</v>
      </c>
      <c r="BI72" s="29" t="n">
        <v>151740.0815069159</v>
      </c>
      <c r="BJ72" s="29" t="n">
        <v>193568.7867339801</v>
      </c>
      <c r="BK72" s="29" t="n">
        <v>3830937.280477162</v>
      </c>
      <c r="BL72" s="29" t="n">
        <v>20226.26855925298</v>
      </c>
      <c r="BM72" s="29" t="n">
        <v>9819.41585210053</v>
      </c>
      <c r="BN72" s="29" t="n">
        <v>5967.692868058623</v>
      </c>
      <c r="BO72" s="29" t="n">
        <v>14409.31165244802</v>
      </c>
      <c r="BP72" s="29" t="n">
        <v>185962.1898324209</v>
      </c>
      <c r="BQ72" s="29" t="n">
        <v>56.40102643443961</v>
      </c>
      <c r="BR72" s="29" t="n">
        <v>3644.545259610274</v>
      </c>
      <c r="BS72" s="29" t="n">
        <v>548127.0424530278</v>
      </c>
      <c r="BT72" s="29" t="n">
        <v>44644.4466531889</v>
      </c>
      <c r="BU72" s="29" t="n">
        <v>137387.639473778</v>
      </c>
      <c r="BV72" s="29" t="n">
        <v>298454.8719702634</v>
      </c>
      <c r="BW72" s="29" t="n">
        <v>218583.1884782289</v>
      </c>
      <c r="BX72" s="29" t="n">
        <v>6551.16752695486</v>
      </c>
      <c r="BY72" s="29" t="n">
        <v>2171.361346739802</v>
      </c>
      <c r="BZ72" s="29" t="n">
        <v>4000.981907294901</v>
      </c>
      <c r="CA72" s="29" t="n">
        <v>143.4696634850609</v>
      </c>
      <c r="CB72" s="29" t="n">
        <v>2546.091238576681</v>
      </c>
      <c r="CC72" s="29" t="n">
        <v>435.346451972592</v>
      </c>
      <c r="CD72" s="29" t="n">
        <v>18.23576634833448</v>
      </c>
      <c r="CE72" s="29" t="n">
        <v>5234.822155146798</v>
      </c>
      <c r="CF72" s="29" t="n">
        <v>71.94031105902056</v>
      </c>
      <c r="CG72" s="29" t="n">
        <v>59791.09441769753</v>
      </c>
      <c r="CH72" s="29" t="n">
        <v>100007.6997931954</v>
      </c>
      <c r="CI72" s="29" t="n">
        <v>211.9582316536856</v>
      </c>
      <c r="CJ72" s="29" t="n">
        <v>246.0113792280726</v>
      </c>
      <c r="CK72" s="29" t="n">
        <v>28.80416529531844</v>
      </c>
      <c r="CL72" s="29" t="n">
        <v>9198.305862058574</v>
      </c>
      <c r="CM72" s="29" t="n">
        <v>365.3893979997808</v>
      </c>
      <c r="CN72" s="29" t="n">
        <v>12329.50996122424</v>
      </c>
      <c r="CO72" s="29" t="n">
        <v>7704.860133335433</v>
      </c>
      <c r="CP72" s="29" t="n">
        <v>154.1507979301852</v>
      </c>
      <c r="CQ72" s="29" t="n">
        <v>10446.66592189371</v>
      </c>
      <c r="CR72" s="29" t="n">
        <v>170497.1064615094</v>
      </c>
      <c r="CS72" s="29" t="n">
        <v>4470.081703903047</v>
      </c>
      <c r="CT72" s="29" t="n">
        <v>4081.676167105986</v>
      </c>
      <c r="CU72" s="29" t="n">
        <v>511378.2898136514</v>
      </c>
      <c r="CV72" s="29" t="n">
        <v>217759.6503676935</v>
      </c>
      <c r="CW72" s="29" t="n">
        <v>445134.5998640766</v>
      </c>
      <c r="CX72" s="29" t="n">
        <v>1148.747360939676</v>
      </c>
      <c r="CY72" s="29" t="n">
        <v>748307.0701423292</v>
      </c>
      <c r="CZ72" s="29" t="n">
        <v>224954.5912264112</v>
      </c>
      <c r="DA72" s="29" t="n">
        <v>36.0449599099521</v>
      </c>
      <c r="DB72" s="29" t="n">
        <v>65920.94383497289</v>
      </c>
      <c r="DC72" s="29" t="n">
        <v>58935.29316973213</v>
      </c>
      <c r="DD72" s="29" t="n">
        <v>492.0693093429488</v>
      </c>
      <c r="DE72" s="29" t="n">
        <v>0</v>
      </c>
      <c r="DF72" s="29">
        <f>SUM(C72:DE72)</f>
        <v/>
      </c>
      <c r="DG72" s="29" t="n">
        <v>0</v>
      </c>
      <c r="DH72" s="29" t="n">
        <v>0</v>
      </c>
      <c r="DI72" s="29" t="n">
        <v>13632751.01802108</v>
      </c>
      <c r="DJ72" s="29" t="n">
        <v>0</v>
      </c>
      <c r="DK72" s="29">
        <f>SUM(DG72:DJ72)</f>
        <v/>
      </c>
      <c r="DL72" s="29">
        <f>DF72+DK72</f>
        <v/>
      </c>
    </row>
    <row r="73">
      <c r="A73" s="30" t="inlineStr">
        <is>
          <t>331/332</t>
        </is>
      </c>
      <c r="B73" s="3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73" s="31" t="n">
        <v>255932.6309106995</v>
      </c>
      <c r="D73" s="31" t="n">
        <v>12796.73983992723</v>
      </c>
      <c r="E73" s="31" t="n">
        <v>291.1364914372479</v>
      </c>
      <c r="F73" s="31" t="n">
        <v>172.8939548288327</v>
      </c>
      <c r="G73" s="31" t="n">
        <v>2278.754333361419</v>
      </c>
      <c r="H73" s="31" t="n">
        <v>13001.55945597169</v>
      </c>
      <c r="I73" s="31" t="n">
        <v>137.675051399777</v>
      </c>
      <c r="J73" s="31" t="n">
        <v>38337.82196817434</v>
      </c>
      <c r="K73" s="31" t="n">
        <v>23167.59184350116</v>
      </c>
      <c r="L73" s="31" t="n">
        <v>4982.659829565657</v>
      </c>
      <c r="M73" s="31" t="n">
        <v>17528.36634202682</v>
      </c>
      <c r="N73" s="31" t="n">
        <v>8438.40235167297</v>
      </c>
      <c r="O73" s="31" t="n">
        <v>4571.693553583367</v>
      </c>
      <c r="P73" s="31" t="n">
        <v>3507.555980369545</v>
      </c>
      <c r="Q73" s="31" t="n">
        <v>124914.0851246232</v>
      </c>
      <c r="R73" s="31" t="n">
        <v>8465.369200420962</v>
      </c>
      <c r="S73" s="31" t="n">
        <v>4810.438920883373</v>
      </c>
      <c r="T73" s="31" t="n">
        <v>9124.654063998301</v>
      </c>
      <c r="U73" s="31" t="n">
        <v>5710.926208175728</v>
      </c>
      <c r="V73" s="31" t="n">
        <v>3738.056667256967</v>
      </c>
      <c r="W73" s="31" t="n">
        <v>3818.927861305534</v>
      </c>
      <c r="X73" s="31" t="n">
        <v>1151.64913876009</v>
      </c>
      <c r="Y73" s="31" t="n">
        <v>10487.69681103429</v>
      </c>
      <c r="Z73" s="31" t="n">
        <v>1544.912057831601</v>
      </c>
      <c r="AA73" s="31" t="n">
        <v>3486.964874058748</v>
      </c>
      <c r="AB73" s="31" t="n">
        <v>3028.225338899587</v>
      </c>
      <c r="AC73" s="31" t="n">
        <v>63250.56413160809</v>
      </c>
      <c r="AD73" s="31" t="n">
        <v>1993.579949700277</v>
      </c>
      <c r="AE73" s="31" t="n">
        <v>5823.332755817514</v>
      </c>
      <c r="AF73" s="31" t="n">
        <v>3785.550208884058</v>
      </c>
      <c r="AG73" s="31" t="n">
        <v>1520.048338497563</v>
      </c>
      <c r="AH73" s="31" t="n">
        <v>3675.553209411078</v>
      </c>
      <c r="AI73" s="31" t="n">
        <v>6084.062708826725</v>
      </c>
      <c r="AJ73" s="31" t="n">
        <v>33532.68844938597</v>
      </c>
      <c r="AK73" s="31" t="n">
        <v>955539.3300808489</v>
      </c>
      <c r="AL73" s="31" t="n">
        <v>859266.2003401669</v>
      </c>
      <c r="AM73" s="31" t="n">
        <v>35336.07149703464</v>
      </c>
      <c r="AN73" s="31" t="n">
        <v>15404.04878572053</v>
      </c>
      <c r="AO73" s="31" t="n">
        <v>3989.960629220612</v>
      </c>
      <c r="AP73" s="31" t="n">
        <v>5533.80388447182</v>
      </c>
      <c r="AQ73" s="31" t="n">
        <v>418101.2189167907</v>
      </c>
      <c r="AR73" s="31" t="n">
        <v>3894.770771962675</v>
      </c>
      <c r="AS73" s="31" t="n">
        <v>22180.42580822841</v>
      </c>
      <c r="AT73" s="31" t="n">
        <v>1471.632604275148</v>
      </c>
      <c r="AU73" s="31" t="n">
        <v>13663.08114935242</v>
      </c>
      <c r="AV73" s="31" t="n">
        <v>28791.86097661911</v>
      </c>
      <c r="AW73" s="31" t="n">
        <v>8531.507983470578</v>
      </c>
      <c r="AX73" s="31" t="n">
        <v>12493.74417331065</v>
      </c>
      <c r="AY73" s="31" t="n">
        <v>111222.4224826615</v>
      </c>
      <c r="AZ73" s="31" t="n">
        <v>110082.074247256</v>
      </c>
      <c r="BA73" s="31" t="n">
        <v>278259.8324253929</v>
      </c>
      <c r="BB73" s="31" t="n">
        <v>582622.9737849986</v>
      </c>
      <c r="BC73" s="31" t="n">
        <v>224189.1190943135</v>
      </c>
      <c r="BD73" s="31" t="n">
        <v>21303.65179084354</v>
      </c>
      <c r="BE73" s="31" t="n">
        <v>245399.0858323878</v>
      </c>
      <c r="BF73" s="31" t="n">
        <v>8264.87378340022</v>
      </c>
      <c r="BG73" s="31" t="n">
        <v>175737.7048758033</v>
      </c>
      <c r="BH73" s="31" t="n">
        <v>1186708.487895925</v>
      </c>
      <c r="BI73" s="31" t="n">
        <v>250840.3917465293</v>
      </c>
      <c r="BJ73" s="31" t="n">
        <v>1495021.216970139</v>
      </c>
      <c r="BK73" s="31" t="n">
        <v>173483.5501268227</v>
      </c>
      <c r="BL73" s="31" t="n">
        <v>46712.72446504643</v>
      </c>
      <c r="BM73" s="31" t="n">
        <v>23448.97527404383</v>
      </c>
      <c r="BN73" s="31" t="n">
        <v>11258.24420128851</v>
      </c>
      <c r="BO73" s="31" t="n">
        <v>67427.342943658</v>
      </c>
      <c r="BP73" s="31" t="n">
        <v>91746.02283181873</v>
      </c>
      <c r="BQ73" s="31" t="n">
        <v>4698.766140335154</v>
      </c>
      <c r="BR73" s="31" t="n">
        <v>7970.475404628957</v>
      </c>
      <c r="BS73" s="31" t="n">
        <v>3870721.56215929</v>
      </c>
      <c r="BT73" s="31" t="n">
        <v>46171.31155240595</v>
      </c>
      <c r="BU73" s="31" t="n">
        <v>94037.73934799636</v>
      </c>
      <c r="BV73" s="31" t="n">
        <v>165270.1936718071</v>
      </c>
      <c r="BW73" s="31" t="n">
        <v>1756781.576929984</v>
      </c>
      <c r="BX73" s="31" t="n">
        <v>12921.25908712059</v>
      </c>
      <c r="BY73" s="31" t="n">
        <v>37206.32781418122</v>
      </c>
      <c r="BZ73" s="31" t="n">
        <v>2476.067321197966</v>
      </c>
      <c r="CA73" s="31" t="n">
        <v>86243.02664385074</v>
      </c>
      <c r="CB73" s="31" t="n">
        <v>8216.270861903564</v>
      </c>
      <c r="CC73" s="31" t="n">
        <v>236.752913426675</v>
      </c>
      <c r="CD73" s="31" t="n">
        <v>15132.81638842899</v>
      </c>
      <c r="CE73" s="31" t="n">
        <v>43633.29913790687</v>
      </c>
      <c r="CF73" s="31" t="n">
        <v>2620.494223584132</v>
      </c>
      <c r="CG73" s="31" t="n">
        <v>54731.05346836454</v>
      </c>
      <c r="CH73" s="31" t="n">
        <v>414722.0754005797</v>
      </c>
      <c r="CI73" s="31" t="n">
        <v>11054.36511520009</v>
      </c>
      <c r="CJ73" s="31" t="n">
        <v>50845.68706218616</v>
      </c>
      <c r="CK73" s="31" t="n">
        <v>6649.782298470545</v>
      </c>
      <c r="CL73" s="31" t="n">
        <v>90893.55852650979</v>
      </c>
      <c r="CM73" s="31" t="n">
        <v>11844.62593899118</v>
      </c>
      <c r="CN73" s="31" t="n">
        <v>113619.369680323</v>
      </c>
      <c r="CO73" s="31" t="n">
        <v>69740.1323303728</v>
      </c>
      <c r="CP73" s="31" t="n">
        <v>1831.01545502924</v>
      </c>
      <c r="CQ73" s="31" t="n">
        <v>27411.18492897387</v>
      </c>
      <c r="CR73" s="31" t="n">
        <v>137325.8037045383</v>
      </c>
      <c r="CS73" s="31" t="n">
        <v>40357.89179172181</v>
      </c>
      <c r="CT73" s="31" t="n">
        <v>36858.76882326036</v>
      </c>
      <c r="CU73" s="31" t="n">
        <v>1318177.924363256</v>
      </c>
      <c r="CV73" s="31" t="n">
        <v>1884890.55485909</v>
      </c>
      <c r="CW73" s="31" t="n">
        <v>438546.7056040028</v>
      </c>
      <c r="CX73" s="31" t="n">
        <v>25941.80335370172</v>
      </c>
      <c r="CY73" s="31" t="n">
        <v>5916098.328255755</v>
      </c>
      <c r="CZ73" s="31" t="n">
        <v>1777213.34387235</v>
      </c>
      <c r="DA73" s="31" t="n">
        <v>8639.280817668674</v>
      </c>
      <c r="DB73" s="31" t="n">
        <v>195779.9280990839</v>
      </c>
      <c r="DC73" s="31" t="n">
        <v>436996.2367513331</v>
      </c>
      <c r="DD73" s="31" t="n">
        <v>2220.623179990605</v>
      </c>
      <c r="DE73" s="31" t="n">
        <v>0</v>
      </c>
      <c r="DF73" s="31">
        <f>SUM(C73:DE73)</f>
        <v/>
      </c>
      <c r="DG73" s="31" t="n">
        <v>0</v>
      </c>
      <c r="DH73" s="31" t="n">
        <v>0</v>
      </c>
      <c r="DI73" s="31" t="n">
        <v>15189469.36780091</v>
      </c>
      <c r="DJ73" s="31" t="n">
        <v>0</v>
      </c>
      <c r="DK73" s="31">
        <f>SUM(DG73:DJ73)</f>
        <v/>
      </c>
      <c r="DL73" s="31">
        <f>DF73+DK73</f>
        <v/>
      </c>
    </row>
    <row r="74">
      <c r="A74" s="28" t="inlineStr">
        <is>
          <t>341/2</t>
        </is>
      </c>
      <c r="B74" s="28" t="inlineStr">
        <is>
          <t>Fabricación de vehículos automotores. Fabricación de carrocerías para vehículos automotores; fabricación de remolques y semirremolques</t>
        </is>
      </c>
      <c r="C74" s="29" t="n">
        <v>6217937.155543153</v>
      </c>
      <c r="D74" s="29" t="n">
        <v>134578.9490295477</v>
      </c>
      <c r="E74" s="29" t="n">
        <v>283.7109084833201</v>
      </c>
      <c r="F74" s="29" t="n">
        <v>0</v>
      </c>
      <c r="G74" s="29" t="n">
        <v>2220.633555541835</v>
      </c>
      <c r="H74" s="29" t="n">
        <v>23329.62265540496</v>
      </c>
      <c r="I74" s="29" t="n">
        <v>144.1371310467127</v>
      </c>
      <c r="J74" s="29" t="n">
        <v>371866.1454066146</v>
      </c>
      <c r="K74" s="29" t="n">
        <v>263941.2574905144</v>
      </c>
      <c r="L74" s="29" t="n">
        <v>3724.733002585617</v>
      </c>
      <c r="M74" s="29" t="n">
        <v>7332.582756471931</v>
      </c>
      <c r="N74" s="29" t="n">
        <v>331320.6674716558</v>
      </c>
      <c r="O74" s="29" t="n">
        <v>94357.36322501488</v>
      </c>
      <c r="P74" s="29" t="n">
        <v>31015.94725575457</v>
      </c>
      <c r="Q74" s="29" t="n">
        <v>453682.2948458889</v>
      </c>
      <c r="R74" s="29" t="n">
        <v>152312.0484187815</v>
      </c>
      <c r="S74" s="29" t="n">
        <v>68238.13814884736</v>
      </c>
      <c r="T74" s="29" t="n">
        <v>468193.0575361755</v>
      </c>
      <c r="U74" s="29" t="n">
        <v>101948.0735850657</v>
      </c>
      <c r="V74" s="29" t="n">
        <v>85690.69727731861</v>
      </c>
      <c r="W74" s="29" t="n">
        <v>41992.96766405959</v>
      </c>
      <c r="X74" s="29" t="n">
        <v>16415.05625600637</v>
      </c>
      <c r="Y74" s="29" t="n">
        <v>151488.6588315383</v>
      </c>
      <c r="Z74" s="29" t="n">
        <v>22431.56618098012</v>
      </c>
      <c r="AA74" s="29" t="n">
        <v>81078.65071389891</v>
      </c>
      <c r="AB74" s="29" t="n">
        <v>11098.13876285968</v>
      </c>
      <c r="AC74" s="29" t="n">
        <v>252202.8591446777</v>
      </c>
      <c r="AD74" s="29" t="n">
        <v>95631.81870897213</v>
      </c>
      <c r="AE74" s="29" t="n">
        <v>122221.3672943861</v>
      </c>
      <c r="AF74" s="29" t="n">
        <v>86115.54903936018</v>
      </c>
      <c r="AG74" s="29" t="n">
        <v>32072.52906218776</v>
      </c>
      <c r="AH74" s="29" t="n">
        <v>24739.68905674012</v>
      </c>
      <c r="AI74" s="29" t="n">
        <v>84727.78852219618</v>
      </c>
      <c r="AJ74" s="29" t="n">
        <v>511110.4815307071</v>
      </c>
      <c r="AK74" s="29" t="n">
        <v>103486.4670020771</v>
      </c>
      <c r="AL74" s="29" t="n">
        <v>88906.02757522144</v>
      </c>
      <c r="AM74" s="29" t="n">
        <v>407717.2816272979</v>
      </c>
      <c r="AN74" s="29" t="n">
        <v>166338.9787119479</v>
      </c>
      <c r="AO74" s="29" t="n">
        <v>29942.98436088675</v>
      </c>
      <c r="AP74" s="29" t="n">
        <v>51780.86067849706</v>
      </c>
      <c r="AQ74" s="29" t="n">
        <v>385600.2941124678</v>
      </c>
      <c r="AR74" s="29" t="n">
        <v>34458.11321161997</v>
      </c>
      <c r="AS74" s="29" t="n">
        <v>143778.4848247136</v>
      </c>
      <c r="AT74" s="29" t="n">
        <v>18681.99263814485</v>
      </c>
      <c r="AU74" s="29" t="n">
        <v>257804.7206147843</v>
      </c>
      <c r="AV74" s="29" t="n">
        <v>902782.9901086247</v>
      </c>
      <c r="AW74" s="29" t="n">
        <v>357078.1756656304</v>
      </c>
      <c r="AX74" s="29" t="n">
        <v>595144.8097097561</v>
      </c>
      <c r="AY74" s="29" t="n">
        <v>137432.5901548688</v>
      </c>
      <c r="AZ74" s="29" t="n">
        <v>435682.7936461365</v>
      </c>
      <c r="BA74" s="29" t="n">
        <v>193573.2090695177</v>
      </c>
      <c r="BB74" s="29" t="n">
        <v>13108468.52523869</v>
      </c>
      <c r="BC74" s="29" t="n">
        <v>34528.28487074518</v>
      </c>
      <c r="BD74" s="29" t="n">
        <v>2167.083834346469</v>
      </c>
      <c r="BE74" s="29" t="n">
        <v>515389.3502005941</v>
      </c>
      <c r="BF74" s="29" t="n">
        <v>67966.12692728238</v>
      </c>
      <c r="BG74" s="29" t="n">
        <v>51955.29454365603</v>
      </c>
      <c r="BH74" s="29" t="n">
        <v>253670.4983016381</v>
      </c>
      <c r="BI74" s="29" t="n">
        <v>4103.349254653776</v>
      </c>
      <c r="BJ74" s="29" t="n">
        <v>63589.08553505134</v>
      </c>
      <c r="BK74" s="29" t="n">
        <v>127083763.993786</v>
      </c>
      <c r="BL74" s="29" t="n">
        <v>9016304.579246793</v>
      </c>
      <c r="BM74" s="29" t="n">
        <v>693871.1336763354</v>
      </c>
      <c r="BN74" s="29" t="n">
        <v>61704.24825443916</v>
      </c>
      <c r="BO74" s="29" t="n">
        <v>485885.7524392304</v>
      </c>
      <c r="BP74" s="29" t="n">
        <v>1564299.44908768</v>
      </c>
      <c r="BQ74" s="29" t="n">
        <v>52639.4700596235</v>
      </c>
      <c r="BR74" s="29" t="n">
        <v>15389.72696414344</v>
      </c>
      <c r="BS74" s="29" t="n">
        <v>1464324.435250474</v>
      </c>
      <c r="BT74" s="29" t="n">
        <v>2932135.511755321</v>
      </c>
      <c r="BU74" s="29" t="n">
        <v>10289720.74958038</v>
      </c>
      <c r="BV74" s="29" t="n">
        <v>6717224.884388909</v>
      </c>
      <c r="BW74" s="29" t="n">
        <v>548019.8918414534</v>
      </c>
      <c r="BX74" s="29" t="n">
        <v>54658.99998413993</v>
      </c>
      <c r="BY74" s="29" t="n">
        <v>474180.146663304</v>
      </c>
      <c r="BZ74" s="29" t="n">
        <v>2619.455348492872</v>
      </c>
      <c r="CA74" s="29" t="n">
        <v>43229229.41322045</v>
      </c>
      <c r="CB74" s="29" t="n">
        <v>259883.3508049642</v>
      </c>
      <c r="CC74" s="29" t="n">
        <v>17127.79543291355</v>
      </c>
      <c r="CD74" s="29" t="n">
        <v>8210.893406080684</v>
      </c>
      <c r="CE74" s="29" t="n">
        <v>4888430.546164709</v>
      </c>
      <c r="CF74" s="29" t="n">
        <v>92098.2393182418</v>
      </c>
      <c r="CG74" s="29" t="n">
        <v>158282.1920893475</v>
      </c>
      <c r="CH74" s="29" t="n">
        <v>1744615.548937848</v>
      </c>
      <c r="CI74" s="29" t="n">
        <v>12669.65393253926</v>
      </c>
      <c r="CJ74" s="29" t="n">
        <v>205063.5260463953</v>
      </c>
      <c r="CK74" s="29" t="n">
        <v>23876.96278455546</v>
      </c>
      <c r="CL74" s="29" t="n">
        <v>259887.1910229268</v>
      </c>
      <c r="CM74" s="29" t="n">
        <v>34615.44225750782</v>
      </c>
      <c r="CN74" s="29" t="n">
        <v>45306.35484875106</v>
      </c>
      <c r="CO74" s="29" t="n">
        <v>22518.84330359461</v>
      </c>
      <c r="CP74" s="29" t="n">
        <v>25197.3859298797</v>
      </c>
      <c r="CQ74" s="29" t="n">
        <v>50318.54312843894</v>
      </c>
      <c r="CR74" s="29" t="n">
        <v>591370.8353958856</v>
      </c>
      <c r="CS74" s="29" t="n">
        <v>29759.53482323009</v>
      </c>
      <c r="CT74" s="29" t="n">
        <v>27173.72792673532</v>
      </c>
      <c r="CU74" s="29" t="n">
        <v>1081554.202678831</v>
      </c>
      <c r="CV74" s="29" t="n">
        <v>1449733.210145444</v>
      </c>
      <c r="CW74" s="29" t="n">
        <v>116449.9958440791</v>
      </c>
      <c r="CX74" s="29" t="n">
        <v>86984.27124195619</v>
      </c>
      <c r="CY74" s="29" t="n">
        <v>652175.8523821107</v>
      </c>
      <c r="CZ74" s="29" t="n">
        <v>168297.9506389212</v>
      </c>
      <c r="DA74" s="29" t="n">
        <v>2282540.420012727</v>
      </c>
      <c r="DB74" s="29" t="n">
        <v>176576.5689523244</v>
      </c>
      <c r="DC74" s="29" t="n">
        <v>407577.3083032477</v>
      </c>
      <c r="DD74" s="29" t="n">
        <v>308767.8759584534</v>
      </c>
      <c r="DE74" s="29" t="n">
        <v>0</v>
      </c>
      <c r="DF74" s="29">
        <f>SUM(C74:DE74)</f>
        <v/>
      </c>
      <c r="DG74" s="29" t="n">
        <v>0</v>
      </c>
      <c r="DH74" s="29" t="n">
        <v>0</v>
      </c>
      <c r="DI74" s="29" t="n">
        <v>240944510.0639363</v>
      </c>
      <c r="DJ74" s="29" t="n">
        <v>0</v>
      </c>
      <c r="DK74" s="29">
        <f>SUM(DG74:DJ74)</f>
        <v/>
      </c>
      <c r="DL74" s="29">
        <f>DF74+DK74</f>
        <v/>
      </c>
    </row>
    <row r="75">
      <c r="A75" s="30" t="inlineStr">
        <is>
          <t>34300</t>
        </is>
      </c>
      <c r="B75" s="30" t="inlineStr">
        <is>
          <t>34300 - Fabricación de partes; piezas y accesorios para vehículos automotores y sus motores</t>
        </is>
      </c>
      <c r="C75" s="31" t="n">
        <v>1807886.566089839</v>
      </c>
      <c r="D75" s="31" t="n">
        <v>24885.35018034525</v>
      </c>
      <c r="E75" s="31" t="n">
        <v>633.0724063149274</v>
      </c>
      <c r="F75" s="31" t="n">
        <v>1123.523333391087</v>
      </c>
      <c r="G75" s="31" t="n">
        <v>4955.12081669991</v>
      </c>
      <c r="H75" s="31" t="n">
        <v>53501.17783748993</v>
      </c>
      <c r="I75" s="31" t="n">
        <v>289.3835720666925</v>
      </c>
      <c r="J75" s="31" t="n">
        <v>299752.7042577495</v>
      </c>
      <c r="K75" s="31" t="n">
        <v>200902.620527791</v>
      </c>
      <c r="L75" s="31" t="n">
        <v>8656.854197876131</v>
      </c>
      <c r="M75" s="31" t="n">
        <v>12113.90407405891</v>
      </c>
      <c r="N75" s="31" t="n">
        <v>263830.4624961757</v>
      </c>
      <c r="O75" s="31" t="n">
        <v>78259.49748585849</v>
      </c>
      <c r="P75" s="31" t="n">
        <v>43129.23579613125</v>
      </c>
      <c r="Q75" s="31" t="n">
        <v>360761.6606795687</v>
      </c>
      <c r="R75" s="31" t="n">
        <v>99811.63568863054</v>
      </c>
      <c r="S75" s="31" t="n">
        <v>64544.85034079582</v>
      </c>
      <c r="T75" s="31" t="n">
        <v>651843.3047791787</v>
      </c>
      <c r="U75" s="31" t="n">
        <v>69738.1706161343</v>
      </c>
      <c r="V75" s="31" t="n">
        <v>129659.9566794264</v>
      </c>
      <c r="W75" s="31" t="n">
        <v>38019.40695803304</v>
      </c>
      <c r="X75" s="31" t="n">
        <v>11513.62102673348</v>
      </c>
      <c r="Y75" s="31" t="n">
        <v>73524.77433595833</v>
      </c>
      <c r="Z75" s="31" t="n">
        <v>10551.55404262677</v>
      </c>
      <c r="AA75" s="31" t="n">
        <v>56930.19763998729</v>
      </c>
      <c r="AB75" s="31" t="n">
        <v>39708.92507645278</v>
      </c>
      <c r="AC75" s="31" t="n">
        <v>174264.2558896482</v>
      </c>
      <c r="AD75" s="31" t="n">
        <v>35881.98106108182</v>
      </c>
      <c r="AE75" s="31" t="n">
        <v>150233.9376364878</v>
      </c>
      <c r="AF75" s="31" t="n">
        <v>80164.93563797191</v>
      </c>
      <c r="AG75" s="31" t="n">
        <v>28227.45106675355</v>
      </c>
      <c r="AH75" s="31" t="n">
        <v>24548.82916394358</v>
      </c>
      <c r="AI75" s="31" t="n">
        <v>74243.31580149804</v>
      </c>
      <c r="AJ75" s="31" t="n">
        <v>902305.8708740817</v>
      </c>
      <c r="AK75" s="31" t="n">
        <v>61928.93157379619</v>
      </c>
      <c r="AL75" s="31" t="n">
        <v>72847.46977714474</v>
      </c>
      <c r="AM75" s="31" t="n">
        <v>46834.15020035394</v>
      </c>
      <c r="AN75" s="31" t="n">
        <v>141084.6063305348</v>
      </c>
      <c r="AO75" s="31" t="n">
        <v>17965.74383356948</v>
      </c>
      <c r="AP75" s="31" t="n">
        <v>34029.99060541987</v>
      </c>
      <c r="AQ75" s="31" t="n">
        <v>370270.5734955787</v>
      </c>
      <c r="AR75" s="31" t="n">
        <v>26622.98890624099</v>
      </c>
      <c r="AS75" s="31" t="n">
        <v>89044.85905956986</v>
      </c>
      <c r="AT75" s="31" t="n">
        <v>27885.21540337924</v>
      </c>
      <c r="AU75" s="31" t="n">
        <v>239624.8898102543</v>
      </c>
      <c r="AV75" s="31" t="n">
        <v>1322100.374433144</v>
      </c>
      <c r="AW75" s="31" t="n">
        <v>594790.9527351604</v>
      </c>
      <c r="AX75" s="31" t="n">
        <v>1016056.327088283</v>
      </c>
      <c r="AY75" s="31" t="n">
        <v>86756.94947478597</v>
      </c>
      <c r="AZ75" s="31" t="n">
        <v>408119.6436482</v>
      </c>
      <c r="BA75" s="31" t="n">
        <v>509488.8776934675</v>
      </c>
      <c r="BB75" s="31" t="n">
        <v>3910688.06207619</v>
      </c>
      <c r="BC75" s="31" t="n">
        <v>223626.1369692514</v>
      </c>
      <c r="BD75" s="31" t="n">
        <v>1655.170675409422</v>
      </c>
      <c r="BE75" s="31" t="n">
        <v>211826.4496658414</v>
      </c>
      <c r="BF75" s="31" t="n">
        <v>125436.9412478695</v>
      </c>
      <c r="BG75" s="31" t="n">
        <v>48081.31529940058</v>
      </c>
      <c r="BH75" s="31" t="n">
        <v>230981.6193347571</v>
      </c>
      <c r="BI75" s="31" t="n">
        <v>8452.752009363709</v>
      </c>
      <c r="BJ75" s="31" t="n">
        <v>22209.8105887916</v>
      </c>
      <c r="BK75" s="31" t="n">
        <v>37116086.1274794</v>
      </c>
      <c r="BL75" s="31" t="n">
        <v>2737501.344743449</v>
      </c>
      <c r="BM75" s="31" t="n">
        <v>240464.1535945756</v>
      </c>
      <c r="BN75" s="31" t="n">
        <v>106637.5760189772</v>
      </c>
      <c r="BO75" s="31" t="n">
        <v>782751.0487324554</v>
      </c>
      <c r="BP75" s="31" t="n">
        <v>514192.974443728</v>
      </c>
      <c r="BQ75" s="31" t="n">
        <v>7942.768638578804</v>
      </c>
      <c r="BR75" s="31" t="n">
        <v>75605.60024659548</v>
      </c>
      <c r="BS75" s="31" t="n">
        <v>2113523.10833185</v>
      </c>
      <c r="BT75" s="31" t="n">
        <v>843288.6633571947</v>
      </c>
      <c r="BU75" s="31" t="n">
        <v>2483183.738832836</v>
      </c>
      <c r="BV75" s="31" t="n">
        <v>1792303.739997455</v>
      </c>
      <c r="BW75" s="31" t="n">
        <v>113568.3956323691</v>
      </c>
      <c r="BX75" s="31" t="n">
        <v>17581.7273345722</v>
      </c>
      <c r="BY75" s="31" t="n">
        <v>106303.9015052544</v>
      </c>
      <c r="BZ75" s="31" t="n">
        <v>72147.59172847123</v>
      </c>
      <c r="CA75" s="31" t="n">
        <v>11973832.86547773</v>
      </c>
      <c r="CB75" s="31" t="n">
        <v>118130.1417735001</v>
      </c>
      <c r="CC75" s="31" t="n">
        <v>12110.45061537082</v>
      </c>
      <c r="CD75" s="31" t="n">
        <v>22408.66350127208</v>
      </c>
      <c r="CE75" s="31" t="n">
        <v>1390834.569793131</v>
      </c>
      <c r="CF75" s="31" t="n">
        <v>27336.46665146521</v>
      </c>
      <c r="CG75" s="31" t="n">
        <v>44062.30615361584</v>
      </c>
      <c r="CH75" s="31" t="n">
        <v>360534.4742553263</v>
      </c>
      <c r="CI75" s="31" t="n">
        <v>9556.117193090635</v>
      </c>
      <c r="CJ75" s="31" t="n">
        <v>45298.54957847462</v>
      </c>
      <c r="CK75" s="31" t="n">
        <v>4296.053690091364</v>
      </c>
      <c r="CL75" s="31" t="n">
        <v>51474.78309084408</v>
      </c>
      <c r="CM75" s="31" t="n">
        <v>3729.85529883648</v>
      </c>
      <c r="CN75" s="31" t="n">
        <v>38468.25803232242</v>
      </c>
      <c r="CO75" s="31" t="n">
        <v>23987.62840742527</v>
      </c>
      <c r="CP75" s="31" t="n">
        <v>1751.214498989725</v>
      </c>
      <c r="CQ75" s="31" t="n">
        <v>45354.37735940729</v>
      </c>
      <c r="CR75" s="31" t="n">
        <v>61475.60064591785</v>
      </c>
      <c r="CS75" s="31" t="n">
        <v>9896.762167924691</v>
      </c>
      <c r="CT75" s="31" t="n">
        <v>9036.832198629207</v>
      </c>
      <c r="CU75" s="31" t="n">
        <v>254320.6006844684</v>
      </c>
      <c r="CV75" s="31" t="n">
        <v>482218.2288689502</v>
      </c>
      <c r="CW75" s="31" t="n">
        <v>126359.1438959041</v>
      </c>
      <c r="CX75" s="31" t="n">
        <v>27384.89911115054</v>
      </c>
      <c r="CY75" s="31" t="n">
        <v>182356.5891254325</v>
      </c>
      <c r="CZ75" s="31" t="n">
        <v>15923.61992939917</v>
      </c>
      <c r="DA75" s="31" t="n">
        <v>587256.4280559889</v>
      </c>
      <c r="DB75" s="31" t="n">
        <v>118256.6059477078</v>
      </c>
      <c r="DC75" s="31" t="n">
        <v>65864.997342884</v>
      </c>
      <c r="DD75" s="31" t="n">
        <v>59671.74816572922</v>
      </c>
      <c r="DE75" s="31" t="n">
        <v>0</v>
      </c>
      <c r="DF75" s="31">
        <f>SUM(C75:DE75)</f>
        <v/>
      </c>
      <c r="DG75" s="31" t="n">
        <v>0</v>
      </c>
      <c r="DH75" s="31" t="n">
        <v>0</v>
      </c>
      <c r="DI75" s="31" t="n">
        <v>72647382.06168142</v>
      </c>
      <c r="DJ75" s="31" t="n">
        <v>0</v>
      </c>
      <c r="DK75" s="31">
        <f>SUM(DG75:DJ75)</f>
        <v/>
      </c>
      <c r="DL75" s="31">
        <f>DF75+DK75</f>
        <v/>
      </c>
    </row>
    <row r="76">
      <c r="A76" s="28" t="inlineStr">
        <is>
          <t>351/2/3/9</t>
        </is>
      </c>
      <c r="B76" s="28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76" s="29" t="n">
        <v>879862.6787857156</v>
      </c>
      <c r="D76" s="29" t="n">
        <v>77400.10661913779</v>
      </c>
      <c r="E76" s="29" t="n">
        <v>3137.51349509924</v>
      </c>
      <c r="F76" s="29" t="n">
        <v>1090.438564659104</v>
      </c>
      <c r="G76" s="29" t="n">
        <v>24557.63081310049</v>
      </c>
      <c r="H76" s="29" t="n">
        <v>60373.02892612764</v>
      </c>
      <c r="I76" s="29" t="n">
        <v>1427.591239883136</v>
      </c>
      <c r="J76" s="29" t="n">
        <v>169621.724677445</v>
      </c>
      <c r="K76" s="29" t="n">
        <v>78113.1702278111</v>
      </c>
      <c r="L76" s="29" t="n">
        <v>33528.22424561201</v>
      </c>
      <c r="M76" s="29" t="n">
        <v>27469.4758850084</v>
      </c>
      <c r="N76" s="29" t="n">
        <v>30040.89583072643</v>
      </c>
      <c r="O76" s="29" t="n">
        <v>20964.64790922555</v>
      </c>
      <c r="P76" s="29" t="n">
        <v>15756.08662857712</v>
      </c>
      <c r="Q76" s="29" t="n">
        <v>106151.102014972</v>
      </c>
      <c r="R76" s="29" t="n">
        <v>27125.69419691811</v>
      </c>
      <c r="S76" s="29" t="n">
        <v>20974.83125397106</v>
      </c>
      <c r="T76" s="29" t="n">
        <v>30833.29029862997</v>
      </c>
      <c r="U76" s="29" t="n">
        <v>29212.01222228513</v>
      </c>
      <c r="V76" s="29" t="n">
        <v>19706.26908242513</v>
      </c>
      <c r="W76" s="29" t="n">
        <v>13903.87953251773</v>
      </c>
      <c r="X76" s="29" t="n">
        <v>4825.464011887531</v>
      </c>
      <c r="Y76" s="29" t="n">
        <v>37514.80275073829</v>
      </c>
      <c r="Z76" s="29" t="n">
        <v>4430.882449431178</v>
      </c>
      <c r="AA76" s="29" t="n">
        <v>10940.99067234956</v>
      </c>
      <c r="AB76" s="29" t="n">
        <v>20019.87357649635</v>
      </c>
      <c r="AC76" s="29" t="n">
        <v>51862.37855280076</v>
      </c>
      <c r="AD76" s="29" t="n">
        <v>7820.51970447003</v>
      </c>
      <c r="AE76" s="29" t="n">
        <v>27430.92386622286</v>
      </c>
      <c r="AF76" s="29" t="n">
        <v>10740.13778188174</v>
      </c>
      <c r="AG76" s="29" t="n">
        <v>3458.844373757674</v>
      </c>
      <c r="AH76" s="29" t="n">
        <v>3429.571147889538</v>
      </c>
      <c r="AI76" s="29" t="n">
        <v>17934.30839492596</v>
      </c>
      <c r="AJ76" s="29" t="n">
        <v>52654.79009188544</v>
      </c>
      <c r="AK76" s="29" t="n">
        <v>16285.16541148525</v>
      </c>
      <c r="AL76" s="29" t="n">
        <v>21172.22703395672</v>
      </c>
      <c r="AM76" s="29" t="n">
        <v>27051.46444495548</v>
      </c>
      <c r="AN76" s="29" t="n">
        <v>26202.52655619644</v>
      </c>
      <c r="AO76" s="29" t="n">
        <v>31145.34507867363</v>
      </c>
      <c r="AP76" s="29" t="n">
        <v>20501.89662196265</v>
      </c>
      <c r="AQ76" s="29" t="n">
        <v>91151.15201865845</v>
      </c>
      <c r="AR76" s="29" t="n">
        <v>16445.10145518948</v>
      </c>
      <c r="AS76" s="29" t="n">
        <v>37285.45506987283</v>
      </c>
      <c r="AT76" s="29" t="n">
        <v>8578.41865530502</v>
      </c>
      <c r="AU76" s="29" t="n">
        <v>47567.77496520638</v>
      </c>
      <c r="AV76" s="29" t="n">
        <v>65085.14721876602</v>
      </c>
      <c r="AW76" s="29" t="n">
        <v>16216.25091569861</v>
      </c>
      <c r="AX76" s="29" t="n">
        <v>33076.30788508015</v>
      </c>
      <c r="AY76" s="29" t="n">
        <v>14177.57044693472</v>
      </c>
      <c r="AZ76" s="29" t="n">
        <v>38615.89385038606</v>
      </c>
      <c r="BA76" s="29" t="n">
        <v>20539.87968150275</v>
      </c>
      <c r="BB76" s="29" t="n">
        <v>83980.91363199581</v>
      </c>
      <c r="BC76" s="29" t="n">
        <v>10857.01618951105</v>
      </c>
      <c r="BD76" s="29" t="n">
        <v>388.6367714220656</v>
      </c>
      <c r="BE76" s="29" t="n">
        <v>10758.32486421774</v>
      </c>
      <c r="BF76" s="29" t="n">
        <v>4531.095200467524</v>
      </c>
      <c r="BG76" s="29" t="n">
        <v>5708.098366084345</v>
      </c>
      <c r="BH76" s="29" t="n">
        <v>21531.18476412131</v>
      </c>
      <c r="BI76" s="29" t="n">
        <v>2050.462053206248</v>
      </c>
      <c r="BJ76" s="29" t="n">
        <v>7787.682015132844</v>
      </c>
      <c r="BK76" s="29" t="n">
        <v>212437.1459766442</v>
      </c>
      <c r="BL76" s="29" t="n">
        <v>241404.6180948066</v>
      </c>
      <c r="BM76" s="29" t="n">
        <v>4330452.5323685</v>
      </c>
      <c r="BN76" s="29" t="n">
        <v>17357.91123868187</v>
      </c>
      <c r="BO76" s="29" t="n">
        <v>20941.13911697808</v>
      </c>
      <c r="BP76" s="29" t="n">
        <v>120339.3407047887</v>
      </c>
      <c r="BQ76" s="29" t="n">
        <v>27601.72346436785</v>
      </c>
      <c r="BR76" s="29" t="n">
        <v>35497.34166451103</v>
      </c>
      <c r="BS76" s="29" t="n">
        <v>276822.8412042642</v>
      </c>
      <c r="BT76" s="29" t="n">
        <v>44180.89367824441</v>
      </c>
      <c r="BU76" s="29" t="n">
        <v>169337.8775842352</v>
      </c>
      <c r="BV76" s="29" t="n">
        <v>247593.0783588013</v>
      </c>
      <c r="BW76" s="29" t="n">
        <v>26168.09896154502</v>
      </c>
      <c r="BX76" s="29" t="n">
        <v>52978.96229959729</v>
      </c>
      <c r="BY76" s="29" t="n">
        <v>75194.45183326054</v>
      </c>
      <c r="BZ76" s="29" t="n">
        <v>26723.7552816842</v>
      </c>
      <c r="CA76" s="29" t="n">
        <v>666128.2427399646</v>
      </c>
      <c r="CB76" s="29" t="n">
        <v>889413.3227434269</v>
      </c>
      <c r="CC76" s="29" t="n">
        <v>749.9118167249992</v>
      </c>
      <c r="CD76" s="29" t="n">
        <v>88191.10251715135</v>
      </c>
      <c r="CE76" s="29" t="n">
        <v>1636402.766375805</v>
      </c>
      <c r="CF76" s="29" t="n">
        <v>11325.61873042158</v>
      </c>
      <c r="CG76" s="29" t="n">
        <v>48653.53799645122</v>
      </c>
      <c r="CH76" s="29" t="n">
        <v>174316.8633689593</v>
      </c>
      <c r="CI76" s="29" t="n">
        <v>40908.93781684919</v>
      </c>
      <c r="CJ76" s="29" t="n">
        <v>207128.9022439462</v>
      </c>
      <c r="CK76" s="29" t="n">
        <v>17755.76167779916</v>
      </c>
      <c r="CL76" s="29" t="n">
        <v>37473.68965564339</v>
      </c>
      <c r="CM76" s="29" t="n">
        <v>11951.65475760754</v>
      </c>
      <c r="CN76" s="29" t="n">
        <v>46022.13409803186</v>
      </c>
      <c r="CO76" s="29" t="n">
        <v>36641.06623076507</v>
      </c>
      <c r="CP76" s="29" t="n">
        <v>6830.714901391068</v>
      </c>
      <c r="CQ76" s="29" t="n">
        <v>31579.85982437753</v>
      </c>
      <c r="CR76" s="29" t="n">
        <v>94531.1978843973</v>
      </c>
      <c r="CS76" s="29" t="n">
        <v>13600.98688918591</v>
      </c>
      <c r="CT76" s="29" t="n">
        <v>12419.19671988062</v>
      </c>
      <c r="CU76" s="29" t="n">
        <v>231167.0209845407</v>
      </c>
      <c r="CV76" s="29" t="n">
        <v>662990.675412942</v>
      </c>
      <c r="CW76" s="29" t="n">
        <v>55946.90711118648</v>
      </c>
      <c r="CX76" s="29" t="n">
        <v>55184.99576448699</v>
      </c>
      <c r="CY76" s="29" t="n">
        <v>295475.2325437404</v>
      </c>
      <c r="CZ76" s="29" t="n">
        <v>28882.62041938383</v>
      </c>
      <c r="DA76" s="29" t="n">
        <v>39015.29054917818</v>
      </c>
      <c r="DB76" s="29" t="n">
        <v>243604.2831302471</v>
      </c>
      <c r="DC76" s="29" t="n">
        <v>50577.26541651462</v>
      </c>
      <c r="DD76" s="29" t="n">
        <v>10687.8744396328</v>
      </c>
      <c r="DE76" s="29" t="n">
        <v>0</v>
      </c>
      <c r="DF76" s="29">
        <f>SUM(C76:DE76)</f>
        <v/>
      </c>
      <c r="DG76" s="29" t="n">
        <v>0</v>
      </c>
      <c r="DH76" s="29" t="n">
        <v>0</v>
      </c>
      <c r="DI76" s="29" t="n">
        <v>22111111.94010004</v>
      </c>
      <c r="DJ76" s="29" t="n">
        <v>0</v>
      </c>
      <c r="DK76" s="29">
        <f>SUM(DG76:DJ76)</f>
        <v/>
      </c>
      <c r="DL76" s="29">
        <f>DF76+DK76</f>
        <v/>
      </c>
    </row>
    <row r="77">
      <c r="A77" s="30" t="inlineStr">
        <is>
          <t>361/9</t>
        </is>
      </c>
      <c r="B77" s="30" t="inlineStr">
        <is>
          <t>Fabricación de muebles. Industrias manufactureras, n.c.p.</t>
        </is>
      </c>
      <c r="C77" s="31" t="n">
        <v>253166.7993758663</v>
      </c>
      <c r="D77" s="31" t="n">
        <v>13479.72483129964</v>
      </c>
      <c r="E77" s="31" t="n">
        <v>211.4432015443323</v>
      </c>
      <c r="F77" s="31" t="n">
        <v>15355.15241492676</v>
      </c>
      <c r="G77" s="31" t="n">
        <v>1654.987011076258</v>
      </c>
      <c r="H77" s="31" t="n">
        <v>61719.01029195811</v>
      </c>
      <c r="I77" s="31" t="n">
        <v>170.1828852438674</v>
      </c>
      <c r="J77" s="31" t="n">
        <v>8199683.404164233</v>
      </c>
      <c r="K77" s="31" t="n">
        <v>130950.7284417485</v>
      </c>
      <c r="L77" s="31" t="n">
        <v>15418.55124455576</v>
      </c>
      <c r="M77" s="31" t="n">
        <v>14381.23787688982</v>
      </c>
      <c r="N77" s="31" t="n">
        <v>101507.4925728237</v>
      </c>
      <c r="O77" s="31" t="n">
        <v>26581.02566573867</v>
      </c>
      <c r="P77" s="31" t="n">
        <v>19208.39215867051</v>
      </c>
      <c r="Q77" s="31" t="n">
        <v>178253.0067602723</v>
      </c>
      <c r="R77" s="31" t="n">
        <v>104014.9975431825</v>
      </c>
      <c r="S77" s="31" t="n">
        <v>34730.20221579836</v>
      </c>
      <c r="T77" s="31" t="n">
        <v>166379.2296539671</v>
      </c>
      <c r="U77" s="31" t="n">
        <v>63509.62934031317</v>
      </c>
      <c r="V77" s="31" t="n">
        <v>53623.48925235295</v>
      </c>
      <c r="W77" s="31" t="n">
        <v>42736.33926797835</v>
      </c>
      <c r="X77" s="31" t="n">
        <v>11132.7162829083</v>
      </c>
      <c r="Y77" s="31" t="n">
        <v>114010.9282075005</v>
      </c>
      <c r="Z77" s="31" t="n">
        <v>18052.2373172412</v>
      </c>
      <c r="AA77" s="31" t="n">
        <v>53193.58029065964</v>
      </c>
      <c r="AB77" s="31" t="n">
        <v>37344.82149963031</v>
      </c>
      <c r="AC77" s="31" t="n">
        <v>303941.7422418837</v>
      </c>
      <c r="AD77" s="31" t="n">
        <v>17020.84364296227</v>
      </c>
      <c r="AE77" s="31" t="n">
        <v>100535.0459198677</v>
      </c>
      <c r="AF77" s="31" t="n">
        <v>1164418.132383686</v>
      </c>
      <c r="AG77" s="31" t="n">
        <v>23369.97954601754</v>
      </c>
      <c r="AH77" s="31" t="n">
        <v>14523.13551797336</v>
      </c>
      <c r="AI77" s="31" t="n">
        <v>182971.1489325051</v>
      </c>
      <c r="AJ77" s="31" t="n">
        <v>324451.987657518</v>
      </c>
      <c r="AK77" s="31" t="n">
        <v>1451742.025624656</v>
      </c>
      <c r="AL77" s="31" t="n">
        <v>461667.8041085707</v>
      </c>
      <c r="AM77" s="31" t="n">
        <v>51946.06432967568</v>
      </c>
      <c r="AN77" s="31" t="n">
        <v>42423.31217499259</v>
      </c>
      <c r="AO77" s="31" t="n">
        <v>15160.06216730856</v>
      </c>
      <c r="AP77" s="31" t="n">
        <v>27150.46925558284</v>
      </c>
      <c r="AQ77" s="31" t="n">
        <v>337487.8935901623</v>
      </c>
      <c r="AR77" s="31" t="n">
        <v>27207.54830764023</v>
      </c>
      <c r="AS77" s="31" t="n">
        <v>79313.16620922084</v>
      </c>
      <c r="AT77" s="31" t="n">
        <v>33066.20222584882</v>
      </c>
      <c r="AU77" s="31" t="n">
        <v>112437.110291845</v>
      </c>
      <c r="AV77" s="31" t="n">
        <v>1099722.572981152</v>
      </c>
      <c r="AW77" s="31" t="n">
        <v>156471.2675223413</v>
      </c>
      <c r="AX77" s="31" t="n">
        <v>269233.8376335328</v>
      </c>
      <c r="AY77" s="31" t="n">
        <v>36993.06969067497</v>
      </c>
      <c r="AZ77" s="31" t="n">
        <v>148137.7219873408</v>
      </c>
      <c r="BA77" s="31" t="n">
        <v>161396.7040060235</v>
      </c>
      <c r="BB77" s="31" t="n">
        <v>560352.4416982559</v>
      </c>
      <c r="BC77" s="31" t="n">
        <v>47032.44346685638</v>
      </c>
      <c r="BD77" s="31" t="n">
        <v>18358.21362371156</v>
      </c>
      <c r="BE77" s="31" t="n">
        <v>28208.84345670988</v>
      </c>
      <c r="BF77" s="31" t="n">
        <v>29460.82223094658</v>
      </c>
      <c r="BG77" s="31" t="n">
        <v>185611.4546380641</v>
      </c>
      <c r="BH77" s="31" t="n">
        <v>108439.6427724081</v>
      </c>
      <c r="BI77" s="31" t="n">
        <v>4966.140551436575</v>
      </c>
      <c r="BJ77" s="31" t="n">
        <v>35752.46796146844</v>
      </c>
      <c r="BK77" s="31" t="n">
        <v>12796612.60038586</v>
      </c>
      <c r="BL77" s="31" t="n">
        <v>2782325.478229526</v>
      </c>
      <c r="BM77" s="31" t="n">
        <v>34528.18674171386</v>
      </c>
      <c r="BN77" s="31" t="n">
        <v>1367726.894454769</v>
      </c>
      <c r="BO77" s="31" t="n">
        <v>193254.5048872663</v>
      </c>
      <c r="BP77" s="31" t="n">
        <v>203170.6565627449</v>
      </c>
      <c r="BQ77" s="31" t="n">
        <v>28212.88174577591</v>
      </c>
      <c r="BR77" s="31" t="n">
        <v>22540.05468391769</v>
      </c>
      <c r="BS77" s="31" t="n">
        <v>11047371.51126985</v>
      </c>
      <c r="BT77" s="31" t="n">
        <v>1195952.272977312</v>
      </c>
      <c r="BU77" s="31" t="n">
        <v>1255420.876702361</v>
      </c>
      <c r="BV77" s="31" t="n">
        <v>2575564.299090118</v>
      </c>
      <c r="BW77" s="31" t="n">
        <v>65987.49623441494</v>
      </c>
      <c r="BX77" s="31" t="n">
        <v>23645.04773782997</v>
      </c>
      <c r="BY77" s="31" t="n">
        <v>1072907.900556657</v>
      </c>
      <c r="BZ77" s="31" t="n">
        <v>6760.135740634727</v>
      </c>
      <c r="CA77" s="31" t="n">
        <v>85165.57696606708</v>
      </c>
      <c r="CB77" s="31" t="n">
        <v>19613.01600779545</v>
      </c>
      <c r="CC77" s="31" t="n">
        <v>716.5564398059299</v>
      </c>
      <c r="CD77" s="31" t="n">
        <v>21334.12336339579</v>
      </c>
      <c r="CE77" s="31" t="n">
        <v>47342.64296227197</v>
      </c>
      <c r="CF77" s="31" t="n">
        <v>10847.27270383361</v>
      </c>
      <c r="CG77" s="31" t="n">
        <v>76951.7197504643</v>
      </c>
      <c r="CH77" s="31" t="n">
        <v>205946.9993423026</v>
      </c>
      <c r="CI77" s="31" t="n">
        <v>14937.82476355348</v>
      </c>
      <c r="CJ77" s="31" t="n">
        <v>699513.1488250667</v>
      </c>
      <c r="CK77" s="31" t="n">
        <v>70842.80388067258</v>
      </c>
      <c r="CL77" s="31" t="n">
        <v>393307.0739858822</v>
      </c>
      <c r="CM77" s="31" t="n">
        <v>109915.5417598021</v>
      </c>
      <c r="CN77" s="31" t="n">
        <v>435149.8988121784</v>
      </c>
      <c r="CO77" s="31" t="n">
        <v>252834.7193908608</v>
      </c>
      <c r="CP77" s="31" t="n">
        <v>8456.331824479359</v>
      </c>
      <c r="CQ77" s="31" t="n">
        <v>97352.71606448546</v>
      </c>
      <c r="CR77" s="31" t="n">
        <v>604002.9255802054</v>
      </c>
      <c r="CS77" s="31" t="n">
        <v>40430.84258769891</v>
      </c>
      <c r="CT77" s="31" t="n">
        <v>36917.80543119202</v>
      </c>
      <c r="CU77" s="31" t="n">
        <v>1102583.983016271</v>
      </c>
      <c r="CV77" s="31" t="n">
        <v>1733065.458459219</v>
      </c>
      <c r="CW77" s="31" t="n">
        <v>2676156.206544266</v>
      </c>
      <c r="CX77" s="31" t="n">
        <v>281900.0503600129</v>
      </c>
      <c r="CY77" s="31" t="n">
        <v>1894250.920161063</v>
      </c>
      <c r="CZ77" s="31" t="n">
        <v>266298.1018720585</v>
      </c>
      <c r="DA77" s="31" t="n">
        <v>842029.7439840452</v>
      </c>
      <c r="DB77" s="31" t="n">
        <v>3189112.165994377</v>
      </c>
      <c r="DC77" s="31" t="n">
        <v>199590.590914141</v>
      </c>
      <c r="DD77" s="31" t="n">
        <v>46633.47732752519</v>
      </c>
      <c r="DE77" s="31" t="n">
        <v>0</v>
      </c>
      <c r="DF77" s="31">
        <f>SUM(C77:DE77)</f>
        <v/>
      </c>
      <c r="DG77" s="31" t="n">
        <v>0</v>
      </c>
      <c r="DH77" s="31" t="n">
        <v>0</v>
      </c>
      <c r="DI77" s="31" t="n">
        <v>63426636.12056009</v>
      </c>
      <c r="DJ77" s="31" t="n">
        <v>0</v>
      </c>
      <c r="DK77" s="31">
        <f>SUM(DG77:DJ77)</f>
        <v/>
      </c>
      <c r="DL77" s="31">
        <f>DF77+DK77</f>
        <v/>
      </c>
    </row>
    <row r="78">
      <c r="A78" s="28" t="inlineStr">
        <is>
          <t>37/38</t>
        </is>
      </c>
      <c r="B78" s="28" t="inlineStr">
        <is>
          <t>Reciclado. Reparación y mantenimiento</t>
        </is>
      </c>
      <c r="C78" s="29" t="n">
        <v>2442476.717652386</v>
      </c>
      <c r="D78" s="29" t="n">
        <v>209714.8529161356</v>
      </c>
      <c r="E78" s="29" t="n">
        <v>8552.2540588879</v>
      </c>
      <c r="F78" s="29" t="n">
        <v>3586.559858103869</v>
      </c>
      <c r="G78" s="29" t="n">
        <v>66939.3448429984</v>
      </c>
      <c r="H78" s="29" t="n">
        <v>177626.3042252646</v>
      </c>
      <c r="I78" s="29" t="n">
        <v>3978.095589093413</v>
      </c>
      <c r="J78" s="29" t="n">
        <v>340024.0934248829</v>
      </c>
      <c r="K78" s="29" t="n">
        <v>256288.1229712574</v>
      </c>
      <c r="L78" s="29" t="n">
        <v>100799.4132861939</v>
      </c>
      <c r="M78" s="29" t="n">
        <v>79096.178810239</v>
      </c>
      <c r="N78" s="29" t="n">
        <v>214206.6734077145</v>
      </c>
      <c r="O78" s="29" t="n">
        <v>73173.72507550177</v>
      </c>
      <c r="P78" s="29" t="n">
        <v>60009.15290783983</v>
      </c>
      <c r="Q78" s="29" t="n">
        <v>428858.2918579122</v>
      </c>
      <c r="R78" s="29" t="n">
        <v>148688.8317284396</v>
      </c>
      <c r="S78" s="29" t="n">
        <v>79415.69261898573</v>
      </c>
      <c r="T78" s="29" t="n">
        <v>590063.0303805141</v>
      </c>
      <c r="U78" s="29" t="n">
        <v>122171.3305536653</v>
      </c>
      <c r="V78" s="29" t="n">
        <v>99403.68155900347</v>
      </c>
      <c r="W78" s="29" t="n">
        <v>52769.03338788326</v>
      </c>
      <c r="X78" s="29" t="n">
        <v>18153.64559871562</v>
      </c>
      <c r="Y78" s="29" t="n">
        <v>303039.1301913187</v>
      </c>
      <c r="Z78" s="29" t="n">
        <v>18024.29124578299</v>
      </c>
      <c r="AA78" s="29" t="n">
        <v>74282.79589944852</v>
      </c>
      <c r="AB78" s="29" t="n">
        <v>59843.32579899487</v>
      </c>
      <c r="AC78" s="29" t="n">
        <v>207214.4815518223</v>
      </c>
      <c r="AD78" s="29" t="n">
        <v>63887.92435187341</v>
      </c>
      <c r="AE78" s="29" t="n">
        <v>136584.5069908498</v>
      </c>
      <c r="AF78" s="29" t="n">
        <v>61847.07974018712</v>
      </c>
      <c r="AG78" s="29" t="n">
        <v>14235.40700981321</v>
      </c>
      <c r="AH78" s="29" t="n">
        <v>42689.5459183124</v>
      </c>
      <c r="AI78" s="29" t="n">
        <v>83317.97721464747</v>
      </c>
      <c r="AJ78" s="29" t="n">
        <v>1211098.555169645</v>
      </c>
      <c r="AK78" s="29" t="n">
        <v>190108.329753982</v>
      </c>
      <c r="AL78" s="29" t="n">
        <v>270808.7724054267</v>
      </c>
      <c r="AM78" s="29" t="n">
        <v>143180.689842638</v>
      </c>
      <c r="AN78" s="29" t="n">
        <v>190483.9286974319</v>
      </c>
      <c r="AO78" s="29" t="n">
        <v>92105.32109384405</v>
      </c>
      <c r="AP78" s="29" t="n">
        <v>117017.1554740979</v>
      </c>
      <c r="AQ78" s="29" t="n">
        <v>627811.8402192602</v>
      </c>
      <c r="AR78" s="29" t="n">
        <v>49756.22093188042</v>
      </c>
      <c r="AS78" s="29" t="n">
        <v>1186397.480239185</v>
      </c>
      <c r="AT78" s="29" t="n">
        <v>36349.09295372564</v>
      </c>
      <c r="AU78" s="29" t="n">
        <v>202423.5447993966</v>
      </c>
      <c r="AV78" s="29" t="n">
        <v>955822.1058746182</v>
      </c>
      <c r="AW78" s="29" t="n">
        <v>502673.6497717852</v>
      </c>
      <c r="AX78" s="29" t="n">
        <v>905037.4950352418</v>
      </c>
      <c r="AY78" s="29" t="n">
        <v>47928.6418247437</v>
      </c>
      <c r="AZ78" s="29" t="n">
        <v>333787.6168639015</v>
      </c>
      <c r="BA78" s="29" t="n">
        <v>118817.4697396636</v>
      </c>
      <c r="BB78" s="29" t="n">
        <v>288217.8595901274</v>
      </c>
      <c r="BC78" s="29" t="n">
        <v>65480.34380080891</v>
      </c>
      <c r="BD78" s="29" t="n">
        <v>71128.53849548375</v>
      </c>
      <c r="BE78" s="29" t="n">
        <v>45074.7045135383</v>
      </c>
      <c r="BF78" s="29" t="n">
        <v>130989.9226427045</v>
      </c>
      <c r="BG78" s="29" t="n">
        <v>36118.02246170309</v>
      </c>
      <c r="BH78" s="29" t="n">
        <v>137417.9184554866</v>
      </c>
      <c r="BI78" s="29" t="n">
        <v>13267.45008717441</v>
      </c>
      <c r="BJ78" s="29" t="n">
        <v>33608.94485775998</v>
      </c>
      <c r="BK78" s="29" t="n">
        <v>911656.990649573</v>
      </c>
      <c r="BL78" s="29" t="n">
        <v>141488.0626722059</v>
      </c>
      <c r="BM78" s="29" t="n">
        <v>45443.04387568471</v>
      </c>
      <c r="BN78" s="29" t="n">
        <v>94864.1512755235</v>
      </c>
      <c r="BO78" s="29" t="n">
        <v>800027.180565187</v>
      </c>
      <c r="BP78" s="29" t="n">
        <v>367875.1049247971</v>
      </c>
      <c r="BQ78" s="29" t="n">
        <v>82131.78718568693</v>
      </c>
      <c r="BR78" s="29" t="n">
        <v>117562.6354232273</v>
      </c>
      <c r="BS78" s="29" t="n">
        <v>2286930.767748632</v>
      </c>
      <c r="BT78" s="29" t="n">
        <v>159193.8272850254</v>
      </c>
      <c r="BU78" s="29" t="n">
        <v>589102.3249109881</v>
      </c>
      <c r="BV78" s="29" t="n">
        <v>873012.4992197561</v>
      </c>
      <c r="BW78" s="29" t="n">
        <v>55375.35754937262</v>
      </c>
      <c r="BX78" s="29" t="n">
        <v>154588.2500636228</v>
      </c>
      <c r="BY78" s="29" t="n">
        <v>246738.7946148193</v>
      </c>
      <c r="BZ78" s="29" t="n">
        <v>35101.80514544858</v>
      </c>
      <c r="CA78" s="29" t="n">
        <v>1994096.679909462</v>
      </c>
      <c r="CB78" s="29" t="n">
        <v>53735.25994954519</v>
      </c>
      <c r="CC78" s="29" t="n">
        <v>2387.480072270678</v>
      </c>
      <c r="CD78" s="29" t="n">
        <v>268399.7361836047</v>
      </c>
      <c r="CE78" s="29" t="n">
        <v>251075.2107517782</v>
      </c>
      <c r="CF78" s="29" t="n">
        <v>39499.77778347681</v>
      </c>
      <c r="CG78" s="29" t="n">
        <v>100425.4783250445</v>
      </c>
      <c r="CH78" s="29" t="n">
        <v>497399.3221864819</v>
      </c>
      <c r="CI78" s="29" t="n">
        <v>102809.7820120617</v>
      </c>
      <c r="CJ78" s="29" t="n">
        <v>594420.730300446</v>
      </c>
      <c r="CK78" s="29" t="n">
        <v>69342.06552041024</v>
      </c>
      <c r="CL78" s="29" t="n">
        <v>147631.8447214418</v>
      </c>
      <c r="CM78" s="29" t="n">
        <v>49075.62268131085</v>
      </c>
      <c r="CN78" s="29" t="n">
        <v>381301.4316202776</v>
      </c>
      <c r="CO78" s="29" t="n">
        <v>240705.6972874815</v>
      </c>
      <c r="CP78" s="29" t="n">
        <v>20512.19644946265</v>
      </c>
      <c r="CQ78" s="29" t="n">
        <v>125713.8480799353</v>
      </c>
      <c r="CR78" s="29" t="n">
        <v>302063.5608337296</v>
      </c>
      <c r="CS78" s="29" t="n">
        <v>28396.80744528923</v>
      </c>
      <c r="CT78" s="29" t="n">
        <v>25929.40797259501</v>
      </c>
      <c r="CU78" s="29" t="n">
        <v>725395.3389955981</v>
      </c>
      <c r="CV78" s="29" t="n">
        <v>1256455.336440051</v>
      </c>
      <c r="CW78" s="29" t="n">
        <v>241975.7266142264</v>
      </c>
      <c r="CX78" s="29" t="n">
        <v>40104.68764467796</v>
      </c>
      <c r="CY78" s="29" t="n">
        <v>886424.8614981682</v>
      </c>
      <c r="CZ78" s="29" t="n">
        <v>101569.8875064044</v>
      </c>
      <c r="DA78" s="29" t="n">
        <v>120891.5184415639</v>
      </c>
      <c r="DB78" s="29" t="n">
        <v>676808.9112392513</v>
      </c>
      <c r="DC78" s="29" t="n">
        <v>88111.30896329162</v>
      </c>
      <c r="DD78" s="29" t="n">
        <v>31401.53755412118</v>
      </c>
      <c r="DE78" s="29" t="n">
        <v>0</v>
      </c>
      <c r="DF78" s="29">
        <f>SUM(C78:DE78)</f>
        <v/>
      </c>
      <c r="DG78" s="29" t="n">
        <v>0</v>
      </c>
      <c r="DH78" s="29" t="n">
        <v>0</v>
      </c>
      <c r="DI78" s="29" t="n">
        <v>11955638.77934426</v>
      </c>
      <c r="DJ78" s="29" t="n">
        <v>0</v>
      </c>
      <c r="DK78" s="29">
        <f>SUM(DG78:DJ78)</f>
        <v/>
      </c>
      <c r="DL78" s="29">
        <f>DF78+DK78</f>
        <v/>
      </c>
    </row>
    <row r="79">
      <c r="A79" s="30" t="inlineStr">
        <is>
          <t>401</t>
        </is>
      </c>
      <c r="B79" s="30" t="inlineStr">
        <is>
          <t>Generación captación y distribución de energía eléctrica</t>
        </is>
      </c>
      <c r="C79" s="31" t="n">
        <v>590157.9629503139</v>
      </c>
      <c r="D79" s="31" t="n">
        <v>1290361.914420941</v>
      </c>
      <c r="E79" s="31" t="n">
        <v>0</v>
      </c>
      <c r="F79" s="31" t="n">
        <v>852703.7386834801</v>
      </c>
      <c r="G79" s="31" t="n">
        <v>0</v>
      </c>
      <c r="H79" s="31" t="n">
        <v>1756170.490587305</v>
      </c>
      <c r="I79" s="31" t="n">
        <v>78260.55436697557</v>
      </c>
      <c r="J79" s="31" t="n">
        <v>11089720.13377206</v>
      </c>
      <c r="K79" s="31" t="n">
        <v>8920721.526174743</v>
      </c>
      <c r="L79" s="31" t="n">
        <v>4046730.79500689</v>
      </c>
      <c r="M79" s="31" t="n">
        <v>3499164.727731126</v>
      </c>
      <c r="N79" s="31" t="n">
        <v>2224181.391230013</v>
      </c>
      <c r="O79" s="31" t="n">
        <v>388366.7782174969</v>
      </c>
      <c r="P79" s="31" t="n">
        <v>678991.3364218804</v>
      </c>
      <c r="Q79" s="31" t="n">
        <v>4787040.43997675</v>
      </c>
      <c r="R79" s="31" t="n">
        <v>2101945.125531427</v>
      </c>
      <c r="S79" s="31" t="n">
        <v>1766849.009674648</v>
      </c>
      <c r="T79" s="31" t="n">
        <v>1691921.115035942</v>
      </c>
      <c r="U79" s="31" t="n">
        <v>4414865.563058458</v>
      </c>
      <c r="V79" s="31" t="n">
        <v>1048122.760986926</v>
      </c>
      <c r="W79" s="31" t="n">
        <v>371678.4063992986</v>
      </c>
      <c r="X79" s="31" t="n">
        <v>326135.2645436163</v>
      </c>
      <c r="Y79" s="31" t="n">
        <v>1390135.587517801</v>
      </c>
      <c r="Z79" s="31" t="n">
        <v>108962.7472476685</v>
      </c>
      <c r="AA79" s="31" t="n">
        <v>433344.5187615295</v>
      </c>
      <c r="AB79" s="31" t="n">
        <v>994643.9807348041</v>
      </c>
      <c r="AC79" s="31" t="n">
        <v>3870102.50598231</v>
      </c>
      <c r="AD79" s="31" t="n">
        <v>424388.5552353006</v>
      </c>
      <c r="AE79" s="31" t="n">
        <v>2084682.088214846</v>
      </c>
      <c r="AF79" s="31" t="n">
        <v>448900.6566724309</v>
      </c>
      <c r="AG79" s="31" t="n">
        <v>166168.5433950439</v>
      </c>
      <c r="AH79" s="31" t="n">
        <v>237647.7130843702</v>
      </c>
      <c r="AI79" s="31" t="n">
        <v>672113.3480908289</v>
      </c>
      <c r="AJ79" s="31" t="n">
        <v>2030663.88743664</v>
      </c>
      <c r="AK79" s="31" t="n">
        <v>264379.83750488</v>
      </c>
      <c r="AL79" s="31" t="n">
        <v>550206.4398229456</v>
      </c>
      <c r="AM79" s="31" t="n">
        <v>1988742.976375503</v>
      </c>
      <c r="AN79" s="31" t="n">
        <v>5012831.378520006</v>
      </c>
      <c r="AO79" s="31" t="n">
        <v>646190.5208130222</v>
      </c>
      <c r="AP79" s="31" t="n">
        <v>1450307.438666359</v>
      </c>
      <c r="AQ79" s="31" t="n">
        <v>2041950.030619509</v>
      </c>
      <c r="AR79" s="31" t="n">
        <v>739784.3000915837</v>
      </c>
      <c r="AS79" s="31" t="n">
        <v>2092742.847863491</v>
      </c>
      <c r="AT79" s="31" t="n">
        <v>1010408.571144591</v>
      </c>
      <c r="AU79" s="31" t="n">
        <v>6161535.846609682</v>
      </c>
      <c r="AV79" s="31" t="n">
        <v>5381125.080967768</v>
      </c>
      <c r="AW79" s="31" t="n">
        <v>3757949.665935199</v>
      </c>
      <c r="AX79" s="31" t="n">
        <v>1217754.970248706</v>
      </c>
      <c r="AY79" s="31" t="n">
        <v>220261.004872512</v>
      </c>
      <c r="AZ79" s="31" t="n">
        <v>1171822.41136671</v>
      </c>
      <c r="BA79" s="31" t="n">
        <v>275586.6907830944</v>
      </c>
      <c r="BB79" s="31" t="n">
        <v>505379.4107171884</v>
      </c>
      <c r="BC79" s="31" t="n">
        <v>225798.9702716698</v>
      </c>
      <c r="BD79" s="31" t="n">
        <v>5075.800745672684</v>
      </c>
      <c r="BE79" s="31" t="n">
        <v>116884.1305529619</v>
      </c>
      <c r="BF79" s="31" t="n">
        <v>173175.6705911939</v>
      </c>
      <c r="BG79" s="31" t="n">
        <v>211845.218827049</v>
      </c>
      <c r="BH79" s="31" t="n">
        <v>1890644.379248845</v>
      </c>
      <c r="BI79" s="31" t="n">
        <v>17053.31654193767</v>
      </c>
      <c r="BJ79" s="31" t="n">
        <v>105477.1125300061</v>
      </c>
      <c r="BK79" s="31" t="n">
        <v>1065614.339371397</v>
      </c>
      <c r="BL79" s="31" t="n">
        <v>1118253.47857177</v>
      </c>
      <c r="BM79" s="31" t="n">
        <v>164032.3741250133</v>
      </c>
      <c r="BN79" s="31" t="n">
        <v>537391.2243521105</v>
      </c>
      <c r="BO79" s="31" t="n">
        <v>194474.2968376417</v>
      </c>
      <c r="BP79" s="31" t="n">
        <v>177272220.5065349</v>
      </c>
      <c r="BQ79" s="31" t="n">
        <v>424409.1121378234</v>
      </c>
      <c r="BR79" s="31" t="n">
        <v>5174435.161930642</v>
      </c>
      <c r="BS79" s="31" t="n">
        <v>11314212.88259567</v>
      </c>
      <c r="BT79" s="31" t="n">
        <v>6475475.096862178</v>
      </c>
      <c r="BU79" s="31" t="n">
        <v>9788897.506944351</v>
      </c>
      <c r="BV79" s="31" t="n">
        <v>30203757.29793374</v>
      </c>
      <c r="BW79" s="31" t="n">
        <v>145061.0483709603</v>
      </c>
      <c r="BX79" s="31" t="n">
        <v>1419655.748744512</v>
      </c>
      <c r="BY79" s="31" t="n">
        <v>15167070.76666286</v>
      </c>
      <c r="BZ79" s="31" t="n">
        <v>515052.7592656959</v>
      </c>
      <c r="CA79" s="31" t="n">
        <v>3410535.582727609</v>
      </c>
      <c r="CB79" s="31" t="n">
        <v>20085.80913783879</v>
      </c>
      <c r="CC79" s="31" t="n">
        <v>5551.141613964658</v>
      </c>
      <c r="CD79" s="31" t="n">
        <v>4680341.250953838</v>
      </c>
      <c r="CE79" s="31" t="n">
        <v>8560409.655363195</v>
      </c>
      <c r="CF79" s="31" t="n">
        <v>224681.1727874243</v>
      </c>
      <c r="CG79" s="31" t="n">
        <v>1053400.909123831</v>
      </c>
      <c r="CH79" s="31" t="n">
        <v>10214369.08251191</v>
      </c>
      <c r="CI79" s="31" t="n">
        <v>825393.3433409255</v>
      </c>
      <c r="CJ79" s="31" t="n">
        <v>2146575.137171278</v>
      </c>
      <c r="CK79" s="31" t="n">
        <v>1705358.313888679</v>
      </c>
      <c r="CL79" s="31" t="n">
        <v>2534068.112212725</v>
      </c>
      <c r="CM79" s="31" t="n">
        <v>665394.6799349918</v>
      </c>
      <c r="CN79" s="31" t="n">
        <v>0</v>
      </c>
      <c r="CO79" s="31" t="n">
        <v>0</v>
      </c>
      <c r="CP79" s="31" t="n">
        <v>17.15120124165506</v>
      </c>
      <c r="CQ79" s="31" t="n">
        <v>193005.0232495799</v>
      </c>
      <c r="CR79" s="31" t="n">
        <v>504538.4690745618</v>
      </c>
      <c r="CS79" s="31" t="n">
        <v>120077.0193713758</v>
      </c>
      <c r="CT79" s="31" t="n">
        <v>265366.2215709598</v>
      </c>
      <c r="CU79" s="31" t="n">
        <v>3567510.777907172</v>
      </c>
      <c r="CV79" s="31" t="n">
        <v>14157432.69747439</v>
      </c>
      <c r="CW79" s="31" t="n">
        <v>5729016.996032112</v>
      </c>
      <c r="CX79" s="31" t="n">
        <v>3644549.905502211</v>
      </c>
      <c r="CY79" s="31" t="n">
        <v>6567431.489693138</v>
      </c>
      <c r="CZ79" s="31" t="n">
        <v>1218594.961705098</v>
      </c>
      <c r="DA79" s="31" t="n">
        <v>1819612.313907004</v>
      </c>
      <c r="DB79" s="31" t="n">
        <v>2601650.449939888</v>
      </c>
      <c r="DC79" s="31" t="n">
        <v>2704488.145040479</v>
      </c>
      <c r="DD79" s="31" t="n">
        <v>558711.9354736123</v>
      </c>
      <c r="DE79" s="31" t="n">
        <v>0</v>
      </c>
      <c r="DF79" s="31">
        <f>SUM(C79:DE79)</f>
        <v/>
      </c>
      <c r="DG79" s="31" t="n">
        <v>0</v>
      </c>
      <c r="DH79" s="31" t="n">
        <v>0</v>
      </c>
      <c r="DI79" s="31" t="n">
        <v>112891636.4248628</v>
      </c>
      <c r="DJ79" s="31" t="n">
        <v>0</v>
      </c>
      <c r="DK79" s="31">
        <f>SUM(DG79:DJ79)</f>
        <v/>
      </c>
      <c r="DL79" s="31">
        <f>DF79+DK79</f>
        <v/>
      </c>
    </row>
    <row r="80">
      <c r="A80" s="28" t="inlineStr">
        <is>
          <t>402</t>
        </is>
      </c>
      <c r="B80" s="28" t="inlineStr">
        <is>
          <t>Fabricación de gas ; distribución de combustibles gaseosos por tuberías</t>
        </is>
      </c>
      <c r="C80" s="29" t="n">
        <v>3377704.082316475</v>
      </c>
      <c r="D80" s="29" t="n">
        <v>2376757.86339751</v>
      </c>
      <c r="E80" s="29" t="n">
        <v>0</v>
      </c>
      <c r="F80" s="29" t="n">
        <v>147296.2613165199</v>
      </c>
      <c r="G80" s="29" t="n">
        <v>0</v>
      </c>
      <c r="H80" s="29" t="n">
        <v>303361.3384846771</v>
      </c>
      <c r="I80" s="29" t="n">
        <v>13518.74812301334</v>
      </c>
      <c r="J80" s="29" t="n">
        <v>941616.4172609965</v>
      </c>
      <c r="K80" s="29" t="n">
        <v>455249.0368450253</v>
      </c>
      <c r="L80" s="29" t="n">
        <v>680625.3795786342</v>
      </c>
      <c r="M80" s="29" t="n">
        <v>382588.4745370372</v>
      </c>
      <c r="N80" s="29" t="n">
        <v>384205.6608356981</v>
      </c>
      <c r="O80" s="29" t="n">
        <v>67086.57632872609</v>
      </c>
      <c r="P80" s="29" t="n">
        <v>117289.1366416006</v>
      </c>
      <c r="Q80" s="29" t="n">
        <v>653344.3450625789</v>
      </c>
      <c r="R80" s="29" t="n">
        <v>363090.5371205226</v>
      </c>
      <c r="S80" s="29" t="n">
        <v>305205.9485955595</v>
      </c>
      <c r="T80" s="29" t="n">
        <v>292262.8849640578</v>
      </c>
      <c r="U80" s="29" t="n">
        <v>762625.0034479441</v>
      </c>
      <c r="V80" s="29" t="n">
        <v>181052.993074104</v>
      </c>
      <c r="W80" s="29" t="n">
        <v>64203.82272420243</v>
      </c>
      <c r="X80" s="29" t="n">
        <v>56336.68878351262</v>
      </c>
      <c r="Y80" s="29" t="n">
        <v>240132.375965133</v>
      </c>
      <c r="Z80" s="29" t="n">
        <v>18822.2527523315</v>
      </c>
      <c r="AA80" s="29" t="n">
        <v>74856.0427026265</v>
      </c>
      <c r="AB80" s="29" t="n">
        <v>171815.054932696</v>
      </c>
      <c r="AC80" s="29" t="n">
        <v>668522.4940176904</v>
      </c>
      <c r="AD80" s="29" t="n">
        <v>73308.98727873755</v>
      </c>
      <c r="AE80" s="29" t="n">
        <v>360108.5156512303</v>
      </c>
      <c r="AF80" s="29" t="n">
        <v>77543.21393320848</v>
      </c>
      <c r="AG80" s="29" t="n">
        <v>28703.99657012324</v>
      </c>
      <c r="AH80" s="29" t="n">
        <v>34386.26435512827</v>
      </c>
      <c r="AI80" s="29" t="n">
        <v>116101.0311829489</v>
      </c>
      <c r="AJ80" s="29" t="n">
        <v>350777.3978705581</v>
      </c>
      <c r="AK80" s="29" t="n">
        <v>45669.04056508781</v>
      </c>
      <c r="AL80" s="29" t="n">
        <v>94684.58937061265</v>
      </c>
      <c r="AM80" s="29" t="n">
        <v>979318.7200418999</v>
      </c>
      <c r="AN80" s="29" t="n">
        <v>548938.4890996899</v>
      </c>
      <c r="AO80" s="29" t="n">
        <v>85083.9001680084</v>
      </c>
      <c r="AP80" s="29" t="n">
        <v>1203285.478123732</v>
      </c>
      <c r="AQ80" s="29" t="n">
        <v>3725018.399082397</v>
      </c>
      <c r="AR80" s="29" t="n">
        <v>127790.5286921663</v>
      </c>
      <c r="AS80" s="29" t="n">
        <v>361500.9333289685</v>
      </c>
      <c r="AT80" s="29" t="n">
        <v>174265.3244199849</v>
      </c>
      <c r="AU80" s="29" t="n">
        <v>1064345.273746022</v>
      </c>
      <c r="AV80" s="29" t="n">
        <v>929536.9190322325</v>
      </c>
      <c r="AW80" s="29" t="n">
        <v>235447.4451847268</v>
      </c>
      <c r="AX80" s="29" t="n">
        <v>210355.3041695132</v>
      </c>
      <c r="AY80" s="29" t="n">
        <v>38014.07292979281</v>
      </c>
      <c r="AZ80" s="29" t="n">
        <v>188051.7110562972</v>
      </c>
      <c r="BA80" s="29" t="n">
        <v>50232.69536906548</v>
      </c>
      <c r="BB80" s="29" t="n">
        <v>87299.36831274976</v>
      </c>
      <c r="BC80" s="29" t="n">
        <v>40042.24470462905</v>
      </c>
      <c r="BD80" s="29" t="n">
        <v>876.7951154752865</v>
      </c>
      <c r="BE80" s="29" t="n">
        <v>20190.59452496904</v>
      </c>
      <c r="BF80" s="29" t="n">
        <v>29914.40950927106</v>
      </c>
      <c r="BG80" s="29" t="n">
        <v>36594.19713484703</v>
      </c>
      <c r="BH80" s="29" t="n">
        <v>326590.3923118835</v>
      </c>
      <c r="BI80" s="29" t="n">
        <v>2945.794249187626</v>
      </c>
      <c r="BJ80" s="29" t="n">
        <v>18220.14332213312</v>
      </c>
      <c r="BK80" s="29" t="n">
        <v>184074.4927857567</v>
      </c>
      <c r="BL80" s="29" t="n">
        <v>158650.2945070737</v>
      </c>
      <c r="BM80" s="29" t="n">
        <v>28334.99414555249</v>
      </c>
      <c r="BN80" s="29" t="n">
        <v>92829.09716519412</v>
      </c>
      <c r="BO80" s="29" t="n">
        <v>32762.17442025725</v>
      </c>
      <c r="BP80" s="29" t="n">
        <v>63242.76785864774</v>
      </c>
      <c r="BQ80" s="29" t="n">
        <v>73312.53828332272</v>
      </c>
      <c r="BR80" s="29" t="n">
        <v>893833.2496980423</v>
      </c>
      <c r="BS80" s="29" t="n">
        <v>445017.7984287067</v>
      </c>
      <c r="BT80" s="29" t="n">
        <v>1118575.219910089</v>
      </c>
      <c r="BU80" s="29" t="n">
        <v>1690936.65217143</v>
      </c>
      <c r="BV80" s="29" t="n">
        <v>4604911.415175295</v>
      </c>
      <c r="BW80" s="29" t="n">
        <v>25057.88249584375</v>
      </c>
      <c r="BX80" s="29" t="n">
        <v>245231.6961450455</v>
      </c>
      <c r="BY80" s="29" t="n">
        <v>2832538.061701193</v>
      </c>
      <c r="BZ80" s="29" t="n">
        <v>88970.34500836812</v>
      </c>
      <c r="CA80" s="29" t="n">
        <v>589136.7864744512</v>
      </c>
      <c r="CB80" s="29" t="n">
        <v>3469.627793691491</v>
      </c>
      <c r="CC80" s="29" t="n">
        <v>958.9056183076729</v>
      </c>
      <c r="CD80" s="29" t="n">
        <v>808483.3414890016</v>
      </c>
      <c r="CE80" s="29" t="n">
        <v>1478727.347342949</v>
      </c>
      <c r="CF80" s="29" t="n">
        <v>38811.4830959868</v>
      </c>
      <c r="CG80" s="29" t="n">
        <v>181964.7417295529</v>
      </c>
      <c r="CH80" s="29" t="n">
        <v>556775.1343049699</v>
      </c>
      <c r="CI80" s="29" t="n">
        <v>142578.6566590744</v>
      </c>
      <c r="CJ80" s="29" t="n">
        <v>370799.9367148205</v>
      </c>
      <c r="CK80" s="29" t="n">
        <v>294584.0301212619</v>
      </c>
      <c r="CL80" s="29" t="n">
        <v>437735.5720600375</v>
      </c>
      <c r="CM80" s="29" t="n">
        <v>114940.446732001</v>
      </c>
      <c r="CN80" s="29" t="n">
        <v>0</v>
      </c>
      <c r="CO80" s="29" t="n">
        <v>0</v>
      </c>
      <c r="CP80" s="29" t="n">
        <v>2.962702877183936</v>
      </c>
      <c r="CQ80" s="29" t="n">
        <v>33339.73694528836</v>
      </c>
      <c r="CR80" s="29" t="n">
        <v>87154.10383890623</v>
      </c>
      <c r="CS80" s="29" t="n">
        <v>25200.12665329126</v>
      </c>
      <c r="CT80" s="29" t="n">
        <v>49910.06546374957</v>
      </c>
      <c r="CU80" s="29" t="n">
        <v>616252.7217289152</v>
      </c>
      <c r="CV80" s="29" t="n">
        <v>2662729.222078585</v>
      </c>
      <c r="CW80" s="29" t="n">
        <v>989631.8571760928</v>
      </c>
      <c r="CX80" s="29" t="n">
        <v>635884.8962664115</v>
      </c>
      <c r="CY80" s="29" t="n">
        <v>1048198.534494606</v>
      </c>
      <c r="CZ80" s="29" t="n">
        <v>210500.4045079441</v>
      </c>
      <c r="DA80" s="29" t="n">
        <v>314320.2952268188</v>
      </c>
      <c r="DB80" s="29" t="n">
        <v>449409.7623170323</v>
      </c>
      <c r="DC80" s="29" t="n">
        <v>473924.3532995148</v>
      </c>
      <c r="DD80" s="29" t="n">
        <v>96512.04224252595</v>
      </c>
      <c r="DE80" s="29" t="n">
        <v>0</v>
      </c>
      <c r="DF80" s="29">
        <f>SUM(C80:DE80)</f>
        <v/>
      </c>
      <c r="DG80" s="29" t="n">
        <v>0</v>
      </c>
      <c r="DH80" s="29" t="n">
        <v>0</v>
      </c>
      <c r="DI80" s="29" t="n">
        <v>69854241.55710252</v>
      </c>
      <c r="DJ80" s="29" t="n">
        <v>0</v>
      </c>
      <c r="DK80" s="29">
        <f>SUM(DG80:DJ80)</f>
        <v/>
      </c>
      <c r="DL80" s="29">
        <f>DF80+DK80</f>
        <v/>
      </c>
    </row>
    <row r="81">
      <c r="A81" s="30" t="inlineStr">
        <is>
          <t>41</t>
        </is>
      </c>
      <c r="B81" s="30" t="inlineStr">
        <is>
          <t>Captación , depuración y distribución de agua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1612.709585134221</v>
      </c>
      <c r="J81" s="31" t="n">
        <v>53609</v>
      </c>
      <c r="K81" s="31" t="n">
        <v>41372.1268812253</v>
      </c>
      <c r="L81" s="31" t="n">
        <v>1415.80801373237</v>
      </c>
      <c r="M81" s="31" t="n">
        <v>47330.42034456429</v>
      </c>
      <c r="N81" s="31" t="n">
        <v>78894.04112309311</v>
      </c>
      <c r="O81" s="31" t="n">
        <v>49764.2377677174</v>
      </c>
      <c r="P81" s="31" t="n">
        <v>16279.4571897388</v>
      </c>
      <c r="Q81" s="31" t="n">
        <v>13501.7165015258</v>
      </c>
      <c r="R81" s="31" t="n">
        <v>20332.1930088152</v>
      </c>
      <c r="S81" s="31" t="n">
        <v>10080.70271329835</v>
      </c>
      <c r="T81" s="31" t="n">
        <v>8513.11500483057</v>
      </c>
      <c r="U81" s="31" t="n">
        <v>125352.6011375378</v>
      </c>
      <c r="V81" s="31" t="n">
        <v>13819.83298217069</v>
      </c>
      <c r="W81" s="31" t="n">
        <v>14913.3704090816</v>
      </c>
      <c r="X81" s="31" t="n">
        <v>51386.38952026244</v>
      </c>
      <c r="Y81" s="31" t="n">
        <v>25779.71080547352</v>
      </c>
      <c r="Z81" s="31" t="n">
        <v>2929.99397992455</v>
      </c>
      <c r="AA81" s="31" t="n">
        <v>30289.4304884728</v>
      </c>
      <c r="AB81" s="31" t="n">
        <v>38337.71808754729</v>
      </c>
      <c r="AC81" s="31" t="n">
        <v>1394934.280330231</v>
      </c>
      <c r="AD81" s="31" t="n">
        <v>7992.414710386263</v>
      </c>
      <c r="AE81" s="31" t="n">
        <v>50504.72999732885</v>
      </c>
      <c r="AF81" s="31" t="n">
        <v>38468.62598419037</v>
      </c>
      <c r="AG81" s="31" t="n">
        <v>8748.54838837941</v>
      </c>
      <c r="AH81" s="31" t="n">
        <v>8903.651139982039</v>
      </c>
      <c r="AI81" s="31" t="n">
        <v>18478.18433297146</v>
      </c>
      <c r="AJ81" s="31" t="n">
        <v>48287.89608041975</v>
      </c>
      <c r="AK81" s="31" t="n">
        <v>23466.69704377038</v>
      </c>
      <c r="AL81" s="31" t="n">
        <v>38054.60839930099</v>
      </c>
      <c r="AM81" s="31" t="n">
        <v>78446.13610769872</v>
      </c>
      <c r="AN81" s="31" t="n">
        <v>105002.8697477453</v>
      </c>
      <c r="AO81" s="31" t="n">
        <v>89452.76342131539</v>
      </c>
      <c r="AP81" s="31" t="n">
        <v>37229.3028188626</v>
      </c>
      <c r="AQ81" s="31" t="n">
        <v>1503746.167054391</v>
      </c>
      <c r="AR81" s="31" t="n">
        <v>59909.47618709479</v>
      </c>
      <c r="AS81" s="31" t="n">
        <v>50960.9287657898</v>
      </c>
      <c r="AT81" s="31" t="n">
        <v>5009.118141577228</v>
      </c>
      <c r="AU81" s="31" t="n">
        <v>83261.58299963706</v>
      </c>
      <c r="AV81" s="31" t="n">
        <v>4850.64459528352</v>
      </c>
      <c r="AW81" s="31" t="n">
        <v>9159.55708896897</v>
      </c>
      <c r="AX81" s="31" t="n">
        <v>24765.2402978514</v>
      </c>
      <c r="AY81" s="31" t="n">
        <v>13242.04751541245</v>
      </c>
      <c r="AZ81" s="31" t="n">
        <v>55272.19844897259</v>
      </c>
      <c r="BA81" s="31" t="n">
        <v>17012.23948113744</v>
      </c>
      <c r="BB81" s="31" t="n">
        <v>27147.37338299654</v>
      </c>
      <c r="BC81" s="31" t="n">
        <v>10957.0731186505</v>
      </c>
      <c r="BD81" s="31" t="n">
        <v>452.4807721857529</v>
      </c>
      <c r="BE81" s="31" t="n">
        <v>9337.11921757842</v>
      </c>
      <c r="BF81" s="31" t="n">
        <v>9612.046355831561</v>
      </c>
      <c r="BG81" s="31" t="n">
        <v>7498.886434257125</v>
      </c>
      <c r="BH81" s="31" t="n">
        <v>17646.93812716157</v>
      </c>
      <c r="BI81" s="31" t="n">
        <v>908.287994674998</v>
      </c>
      <c r="BJ81" s="31" t="n">
        <v>8379.56861895285</v>
      </c>
      <c r="BK81" s="31" t="n">
        <v>11816.38841038348</v>
      </c>
      <c r="BL81" s="31" t="n">
        <v>18111.6277146642</v>
      </c>
      <c r="BM81" s="31" t="n">
        <v>11296.80549212199</v>
      </c>
      <c r="BN81" s="31" t="n">
        <v>36989.09371953834</v>
      </c>
      <c r="BO81" s="31" t="n">
        <v>9390.590801160568</v>
      </c>
      <c r="BP81" s="31" t="n">
        <v>31330.4576973477</v>
      </c>
      <c r="BQ81" s="31" t="n">
        <v>3461</v>
      </c>
      <c r="BR81" s="31" t="n">
        <v>212.75608941134</v>
      </c>
      <c r="BS81" s="31" t="n">
        <v>0</v>
      </c>
      <c r="BT81" s="31" t="n">
        <v>97946</v>
      </c>
      <c r="BU81" s="31" t="n">
        <v>361386</v>
      </c>
      <c r="BV81" s="31" t="n">
        <v>495171.0000000001</v>
      </c>
      <c r="BW81" s="31" t="n">
        <v>41386</v>
      </c>
      <c r="BX81" s="31" t="n">
        <v>330683.989504738</v>
      </c>
      <c r="BY81" s="31" t="n">
        <v>0</v>
      </c>
      <c r="BZ81" s="31" t="n">
        <v>91857.0173025329</v>
      </c>
      <c r="CA81" s="31" t="n">
        <v>424831.9999999999</v>
      </c>
      <c r="CB81" s="31" t="n">
        <v>230329.1221433124</v>
      </c>
      <c r="CC81" s="31" t="n">
        <v>4264.35143168078</v>
      </c>
      <c r="CD81" s="31" t="n">
        <v>1081903.799328496</v>
      </c>
      <c r="CE81" s="31" t="n">
        <v>292439.3438896214</v>
      </c>
      <c r="CF81" s="31" t="n">
        <v>8696.818934126821</v>
      </c>
      <c r="CG81" s="31" t="n">
        <v>48186.3002299626</v>
      </c>
      <c r="CH81" s="31" t="n">
        <v>27625</v>
      </c>
      <c r="CI81" s="31" t="n">
        <v>10383.2653258285</v>
      </c>
      <c r="CJ81" s="31" t="n">
        <v>34994.00000000001</v>
      </c>
      <c r="CK81" s="31" t="n">
        <v>77808.33951612393</v>
      </c>
      <c r="CL81" s="31" t="n">
        <v>94236.97033461199</v>
      </c>
      <c r="CM81" s="31" t="n">
        <v>52697.05184133769</v>
      </c>
      <c r="CN81" s="31" t="n">
        <v>0</v>
      </c>
      <c r="CO81" s="31" t="n">
        <v>0</v>
      </c>
      <c r="CP81" s="31" t="n">
        <v>241.366849426063</v>
      </c>
      <c r="CQ81" s="31" t="n">
        <v>35256.11648648381</v>
      </c>
      <c r="CR81" s="31" t="n">
        <v>47676.380667991</v>
      </c>
      <c r="CS81" s="31" t="n">
        <v>30096.0366338634</v>
      </c>
      <c r="CT81" s="31" t="n">
        <v>27480.9910846886</v>
      </c>
      <c r="CU81" s="31" t="n">
        <v>217118.138029735</v>
      </c>
      <c r="CV81" s="31" t="n">
        <v>1466125.86725675</v>
      </c>
      <c r="CW81" s="31" t="n">
        <v>755577.438627524</v>
      </c>
      <c r="CX81" s="31" t="n">
        <v>1570257.82940038</v>
      </c>
      <c r="CY81" s="31" t="n">
        <v>687551.4706896262</v>
      </c>
      <c r="CZ81" s="31" t="n">
        <v>486806.812741768</v>
      </c>
      <c r="DA81" s="31" t="n">
        <v>19679.5288533549</v>
      </c>
      <c r="DB81" s="31" t="n">
        <v>45538</v>
      </c>
      <c r="DC81" s="31" t="n">
        <v>114512.0037618012</v>
      </c>
      <c r="DD81" s="31" t="n">
        <v>32642.4526826982</v>
      </c>
      <c r="DE81" s="31" t="n">
        <v>0</v>
      </c>
      <c r="DF81" s="31">
        <f>SUM(C81:DE81)</f>
        <v/>
      </c>
      <c r="DG81" s="31" t="n">
        <v>0</v>
      </c>
      <c r="DH81" s="31" t="n">
        <v>0</v>
      </c>
      <c r="DI81" s="31" t="n">
        <v>44074159.5545</v>
      </c>
      <c r="DJ81" s="31" t="n">
        <v>0</v>
      </c>
      <c r="DK81" s="31">
        <f>SUM(DG81:DJ81)</f>
        <v/>
      </c>
      <c r="DL81" s="31">
        <f>DF81+DK81</f>
        <v/>
      </c>
    </row>
    <row r="82">
      <c r="A82" s="28" t="inlineStr">
        <is>
          <t>45</t>
        </is>
      </c>
      <c r="B82" s="28" t="inlineStr">
        <is>
          <t>Construcción</t>
        </is>
      </c>
      <c r="C82" s="29" t="n">
        <v>0</v>
      </c>
      <c r="D82" s="29" t="n">
        <v>0</v>
      </c>
      <c r="E82" s="29" t="n">
        <v>0</v>
      </c>
      <c r="F82" s="29" t="n">
        <v>0</v>
      </c>
      <c r="G82" s="29" t="n">
        <v>0</v>
      </c>
      <c r="H82" s="29" t="n">
        <v>0</v>
      </c>
      <c r="I82" s="29" t="n">
        <v>10683.66626365794</v>
      </c>
      <c r="J82" s="29" t="n">
        <v>1305725.41307805</v>
      </c>
      <c r="K82" s="29" t="n">
        <v>0</v>
      </c>
      <c r="L82" s="29" t="n">
        <v>0</v>
      </c>
      <c r="M82" s="29" t="n">
        <v>76775.37120293653</v>
      </c>
      <c r="N82" s="29" t="n">
        <v>0</v>
      </c>
      <c r="O82" s="29" t="n">
        <v>0</v>
      </c>
      <c r="P82" s="29" t="n">
        <v>0</v>
      </c>
      <c r="Q82" s="29" t="n">
        <v>0</v>
      </c>
      <c r="R82" s="29" t="n">
        <v>0</v>
      </c>
      <c r="S82" s="29" t="n">
        <v>0</v>
      </c>
      <c r="T82" s="29" t="n">
        <v>0</v>
      </c>
      <c r="U82" s="29" t="n">
        <v>0</v>
      </c>
      <c r="V82" s="29" t="n">
        <v>0</v>
      </c>
      <c r="W82" s="29" t="n">
        <v>0</v>
      </c>
      <c r="X82" s="29" t="n">
        <v>0</v>
      </c>
      <c r="Y82" s="29" t="n">
        <v>0</v>
      </c>
      <c r="Z82" s="29" t="n">
        <v>0</v>
      </c>
      <c r="AA82" s="29" t="n">
        <v>0</v>
      </c>
      <c r="AB82" s="29" t="n">
        <v>0</v>
      </c>
      <c r="AC82" s="29" t="n">
        <v>0</v>
      </c>
      <c r="AD82" s="29" t="n">
        <v>0</v>
      </c>
      <c r="AE82" s="29" t="n">
        <v>0</v>
      </c>
      <c r="AF82" s="29" t="n">
        <v>0</v>
      </c>
      <c r="AG82" s="29" t="n">
        <v>0</v>
      </c>
      <c r="AH82" s="29" t="n">
        <v>0</v>
      </c>
      <c r="AI82" s="29" t="n">
        <v>0</v>
      </c>
      <c r="AJ82" s="29" t="n">
        <v>0</v>
      </c>
      <c r="AK82" s="29" t="n">
        <v>0</v>
      </c>
      <c r="AL82" s="29" t="n">
        <v>0</v>
      </c>
      <c r="AM82" s="29" t="n">
        <v>0</v>
      </c>
      <c r="AN82" s="29" t="n">
        <v>0</v>
      </c>
      <c r="AO82" s="29" t="n">
        <v>0</v>
      </c>
      <c r="AP82" s="29" t="n">
        <v>0</v>
      </c>
      <c r="AQ82" s="29" t="n">
        <v>0</v>
      </c>
      <c r="AR82" s="29" t="n">
        <v>0</v>
      </c>
      <c r="AS82" s="29" t="n">
        <v>0</v>
      </c>
      <c r="AT82" s="29" t="n">
        <v>0</v>
      </c>
      <c r="AU82" s="29" t="n">
        <v>86755.35148381519</v>
      </c>
      <c r="AV82" s="29" t="n">
        <v>0</v>
      </c>
      <c r="AW82" s="29" t="n">
        <v>0</v>
      </c>
      <c r="AX82" s="29" t="n">
        <v>0</v>
      </c>
      <c r="AY82" s="29" t="n">
        <v>89248.54148480805</v>
      </c>
      <c r="AZ82" s="29" t="n">
        <v>0</v>
      </c>
      <c r="BA82" s="29" t="n">
        <v>0</v>
      </c>
      <c r="BB82" s="29" t="n">
        <v>0</v>
      </c>
      <c r="BC82" s="29" t="n">
        <v>14331.14001618675</v>
      </c>
      <c r="BD82" s="29" t="n">
        <v>0</v>
      </c>
      <c r="BE82" s="29" t="n">
        <v>0</v>
      </c>
      <c r="BF82" s="29" t="n">
        <v>0</v>
      </c>
      <c r="BG82" s="29" t="n">
        <v>0</v>
      </c>
      <c r="BH82" s="29" t="n">
        <v>0</v>
      </c>
      <c r="BI82" s="29" t="n">
        <v>0</v>
      </c>
      <c r="BJ82" s="29" t="n">
        <v>0</v>
      </c>
      <c r="BK82" s="29" t="n">
        <v>0</v>
      </c>
      <c r="BL82" s="29" t="n">
        <v>0</v>
      </c>
      <c r="BM82" s="29" t="n">
        <v>0</v>
      </c>
      <c r="BN82" s="29" t="n">
        <v>0</v>
      </c>
      <c r="BO82" s="29" t="n">
        <v>7501.735634303071</v>
      </c>
      <c r="BP82" s="29" t="n">
        <v>6637848.881164473</v>
      </c>
      <c r="BQ82" s="29" t="n">
        <v>1272085.728146097</v>
      </c>
      <c r="BR82" s="29" t="n">
        <v>2152258.395228786</v>
      </c>
      <c r="BS82" s="29" t="n">
        <v>0</v>
      </c>
      <c r="BT82" s="29" t="n">
        <v>1548622.715058377</v>
      </c>
      <c r="BU82" s="29" t="n">
        <v>5144379.384104058</v>
      </c>
      <c r="BV82" s="29" t="n">
        <v>8346312.843602413</v>
      </c>
      <c r="BW82" s="29" t="n">
        <v>0</v>
      </c>
      <c r="BX82" s="29" t="n">
        <v>1527666.395127767</v>
      </c>
      <c r="BY82" s="29" t="n">
        <v>0</v>
      </c>
      <c r="BZ82" s="29" t="n">
        <v>521083.7108991565</v>
      </c>
      <c r="CA82" s="29" t="n">
        <v>9450391.698790031</v>
      </c>
      <c r="CB82" s="29" t="n">
        <v>1686441.096076743</v>
      </c>
      <c r="CC82" s="29" t="n">
        <v>36217.18604868248</v>
      </c>
      <c r="CD82" s="29" t="n">
        <v>0</v>
      </c>
      <c r="CE82" s="29" t="n">
        <v>4993076.756889948</v>
      </c>
      <c r="CF82" s="29" t="n">
        <v>240769.8060350262</v>
      </c>
      <c r="CG82" s="29" t="n">
        <v>310610.2838428176</v>
      </c>
      <c r="CH82" s="29" t="n">
        <v>10212497.45634179</v>
      </c>
      <c r="CI82" s="29" t="n">
        <v>163610.8002619646</v>
      </c>
      <c r="CJ82" s="29" t="n">
        <v>0</v>
      </c>
      <c r="CK82" s="29" t="n">
        <v>66760.2142298206</v>
      </c>
      <c r="CL82" s="29" t="n">
        <v>1291912.074521478</v>
      </c>
      <c r="CM82" s="29" t="n">
        <v>116780.9651110038</v>
      </c>
      <c r="CN82" s="29" t="n">
        <v>25142403.96346654</v>
      </c>
      <c r="CO82" s="29" t="n">
        <v>11293101.57210128</v>
      </c>
      <c r="CP82" s="29" t="n">
        <v>187310.1050495974</v>
      </c>
      <c r="CQ82" s="29" t="n">
        <v>281845.3750568466</v>
      </c>
      <c r="CR82" s="29" t="n">
        <v>519588.3777803133</v>
      </c>
      <c r="CS82" s="29" t="n">
        <v>345564.9328830775</v>
      </c>
      <c r="CT82" s="29" t="n">
        <v>315538.7852317944</v>
      </c>
      <c r="CU82" s="29" t="n">
        <v>5032022.143919185</v>
      </c>
      <c r="CV82" s="29" t="n">
        <v>16834166.34157934</v>
      </c>
      <c r="CW82" s="29" t="n">
        <v>5636784.538489964</v>
      </c>
      <c r="CX82" s="29" t="n">
        <v>847427.4431089266</v>
      </c>
      <c r="CY82" s="29" t="n">
        <v>7180484.929855798</v>
      </c>
      <c r="CZ82" s="29" t="n">
        <v>2923237.463012053</v>
      </c>
      <c r="DA82" s="29" t="n">
        <v>531486.0561381804</v>
      </c>
      <c r="DB82" s="29" t="n">
        <v>903695.9059260041</v>
      </c>
      <c r="DC82" s="29" t="n">
        <v>0</v>
      </c>
      <c r="DD82" s="29" t="n">
        <v>346619.3007207813</v>
      </c>
      <c r="DE82" s="29" t="n">
        <v>0</v>
      </c>
      <c r="DF82" s="29">
        <f>SUM(C82:DE82)</f>
        <v/>
      </c>
      <c r="DG82" s="29" t="n">
        <v>0</v>
      </c>
      <c r="DH82" s="29" t="n">
        <v>0</v>
      </c>
      <c r="DI82" s="29" t="n">
        <v>989794127.3043257</v>
      </c>
      <c r="DJ82" s="29" t="n">
        <v>0</v>
      </c>
      <c r="DK82" s="29">
        <f>SUM(DG82:DJ82)</f>
        <v/>
      </c>
      <c r="DL82" s="29">
        <f>DF82+DK82</f>
        <v/>
      </c>
    </row>
    <row r="83">
      <c r="A83" s="30" t="inlineStr">
        <is>
          <t>502</t>
        </is>
      </c>
      <c r="B83" s="30" t="inlineStr">
        <is>
          <t>Comercios por mayor y menor, mantenimiento y reparación de automotores</t>
        </is>
      </c>
      <c r="C83" s="31" t="n">
        <v>31162110.72659434</v>
      </c>
      <c r="D83" s="31" t="n">
        <v>2778448.266122579</v>
      </c>
      <c r="E83" s="31" t="n">
        <v>115787.4684973013</v>
      </c>
      <c r="F83" s="31" t="n">
        <v>0</v>
      </c>
      <c r="G83" s="31" t="n">
        <v>906280.0553947224</v>
      </c>
      <c r="H83" s="31" t="n">
        <v>2116494.476953659</v>
      </c>
      <c r="I83" s="31" t="n">
        <v>52533.52974869631</v>
      </c>
      <c r="J83" s="31" t="n">
        <v>3803675.030924075</v>
      </c>
      <c r="K83" s="31" t="n">
        <v>2741440.003054921</v>
      </c>
      <c r="L83" s="31" t="n">
        <v>1220688.056526363</v>
      </c>
      <c r="M83" s="31" t="n">
        <v>1002112.365850897</v>
      </c>
      <c r="N83" s="31" t="n">
        <v>724934.3563166317</v>
      </c>
      <c r="O83" s="31" t="n">
        <v>650019.303756966</v>
      </c>
      <c r="P83" s="31" t="n">
        <v>320965.665139002</v>
      </c>
      <c r="Q83" s="31" t="n">
        <v>2680145.50136633</v>
      </c>
      <c r="R83" s="31" t="n">
        <v>428230.1182187914</v>
      </c>
      <c r="S83" s="31" t="n">
        <v>678339.6901084988</v>
      </c>
      <c r="T83" s="31" t="n">
        <v>666774.6452682227</v>
      </c>
      <c r="U83" s="31" t="n">
        <v>703243.9812861324</v>
      </c>
      <c r="V83" s="31" t="n">
        <v>467554.368609215</v>
      </c>
      <c r="W83" s="31" t="n">
        <v>252087.8120913491</v>
      </c>
      <c r="X83" s="31" t="n">
        <v>131594.7056059556</v>
      </c>
      <c r="Y83" s="31" t="n">
        <v>1113754.597476655</v>
      </c>
      <c r="Z83" s="31" t="n">
        <v>70095.8725553025</v>
      </c>
      <c r="AA83" s="31" t="n">
        <v>237660.9890591871</v>
      </c>
      <c r="AB83" s="31" t="n">
        <v>496129.6938486202</v>
      </c>
      <c r="AC83" s="31" t="n">
        <v>1051543.154639666</v>
      </c>
      <c r="AD83" s="31" t="n">
        <v>140967.4780471209</v>
      </c>
      <c r="AE83" s="31" t="n">
        <v>822765.9668142514</v>
      </c>
      <c r="AF83" s="31" t="n">
        <v>178032.1970692591</v>
      </c>
      <c r="AG83" s="31" t="n">
        <v>97819.06498723238</v>
      </c>
      <c r="AH83" s="31" t="n">
        <v>69559.6266754055</v>
      </c>
      <c r="AI83" s="31" t="n">
        <v>534796.9362430011</v>
      </c>
      <c r="AJ83" s="31" t="n">
        <v>1368933.04466959</v>
      </c>
      <c r="AK83" s="31" t="n">
        <v>253274.582778394</v>
      </c>
      <c r="AL83" s="31" t="n">
        <v>509341.0492761749</v>
      </c>
      <c r="AM83" s="31" t="n">
        <v>645975.8752688039</v>
      </c>
      <c r="AN83" s="31" t="n">
        <v>818503.5241157865</v>
      </c>
      <c r="AO83" s="31" t="n">
        <v>1074958.64811141</v>
      </c>
      <c r="AP83" s="31" t="n">
        <v>595033.3542945653</v>
      </c>
      <c r="AQ83" s="31" t="n">
        <v>1448592.77070519</v>
      </c>
      <c r="AR83" s="31" t="n">
        <v>453391.2029983989</v>
      </c>
      <c r="AS83" s="31" t="n">
        <v>927262.301728138</v>
      </c>
      <c r="AT83" s="31" t="n">
        <v>291757.8340680038</v>
      </c>
      <c r="AU83" s="31" t="n">
        <v>1533930.951389926</v>
      </c>
      <c r="AV83" s="31" t="n">
        <v>1633382.850235995</v>
      </c>
      <c r="AW83" s="31" t="n">
        <v>246148.3478706894</v>
      </c>
      <c r="AX83" s="31" t="n">
        <v>508855.0466814005</v>
      </c>
      <c r="AY83" s="31" t="n">
        <v>312960.8388296773</v>
      </c>
      <c r="AZ83" s="31" t="n">
        <v>876857.2051146384</v>
      </c>
      <c r="BA83" s="31" t="n">
        <v>247929.882499693</v>
      </c>
      <c r="BB83" s="31" t="n">
        <v>725143.1353169277</v>
      </c>
      <c r="BC83" s="31" t="n">
        <v>96082.3921362213</v>
      </c>
      <c r="BD83" s="31" t="n">
        <v>1752.694690990921</v>
      </c>
      <c r="BE83" s="31" t="n">
        <v>88081.51925135338</v>
      </c>
      <c r="BF83" s="31" t="n">
        <v>85445.0505394702</v>
      </c>
      <c r="BG83" s="31" t="n">
        <v>78203.51840913885</v>
      </c>
      <c r="BH83" s="31" t="n">
        <v>125263.5109585172</v>
      </c>
      <c r="BI83" s="31" t="n">
        <v>37209.79622829782</v>
      </c>
      <c r="BJ83" s="31" t="n">
        <v>71130.02819418092</v>
      </c>
      <c r="BK83" s="31" t="n">
        <v>511693.4991250625</v>
      </c>
      <c r="BL83" s="31" t="n">
        <v>565142.9770391089</v>
      </c>
      <c r="BM83" s="31" t="n">
        <v>287409.8307779164</v>
      </c>
      <c r="BN83" s="31" t="n">
        <v>302846.8429822252</v>
      </c>
      <c r="BO83" s="31" t="n">
        <v>228804.4451129003</v>
      </c>
      <c r="BP83" s="31" t="n">
        <v>4001254.854273633</v>
      </c>
      <c r="BQ83" s="31" t="n">
        <v>964868.2448838971</v>
      </c>
      <c r="BR83" s="31" t="n">
        <v>1288249.6581683</v>
      </c>
      <c r="BS83" s="31" t="n">
        <v>9425.728244549075</v>
      </c>
      <c r="BT83" s="31" t="n">
        <v>1243468.599955838</v>
      </c>
      <c r="BU83" s="31" t="n">
        <v>5505153.136672404</v>
      </c>
      <c r="BV83" s="31" t="n">
        <v>7991812.168332073</v>
      </c>
      <c r="BW83" s="31" t="n">
        <v>742477.9929437545</v>
      </c>
      <c r="BX83" s="31" t="n">
        <v>1892745.159982381</v>
      </c>
      <c r="BY83" s="31" t="n">
        <v>1995809.765055828</v>
      </c>
      <c r="BZ83" s="31" t="n">
        <v>433840.7366705447</v>
      </c>
      <c r="CA83" s="31" t="n">
        <v>23407996.8320281</v>
      </c>
      <c r="CB83" s="31" t="n">
        <v>412738.962791966</v>
      </c>
      <c r="CC83" s="31" t="n">
        <v>23418.71469099922</v>
      </c>
      <c r="CD83" s="31" t="n">
        <v>3072950.912147922</v>
      </c>
      <c r="CE83" s="31" t="n">
        <v>3004722.355850126</v>
      </c>
      <c r="CF83" s="31" t="n">
        <v>332363.0050131006</v>
      </c>
      <c r="CG83" s="31" t="n">
        <v>1067647.6977207</v>
      </c>
      <c r="CH83" s="31" t="n">
        <v>4166800.364796447</v>
      </c>
      <c r="CI83" s="31" t="n">
        <v>1255185.448924795</v>
      </c>
      <c r="CJ83" s="31" t="n">
        <v>7537930.115999384</v>
      </c>
      <c r="CK83" s="31" t="n">
        <v>601319.1960027532</v>
      </c>
      <c r="CL83" s="31" t="n">
        <v>1307368.442964961</v>
      </c>
      <c r="CM83" s="31" t="n">
        <v>414674.6077005872</v>
      </c>
      <c r="CN83" s="31" t="n">
        <v>3752.0086620871</v>
      </c>
      <c r="CO83" s="31" t="n">
        <v>1685.273014542378</v>
      </c>
      <c r="CP83" s="31" t="n">
        <v>239745.1901772651</v>
      </c>
      <c r="CQ83" s="31" t="n">
        <v>1050425.634035182</v>
      </c>
      <c r="CR83" s="31" t="n">
        <v>2311596.350571882</v>
      </c>
      <c r="CS83" s="31" t="n">
        <v>259509.0571804927</v>
      </c>
      <c r="CT83" s="31" t="n">
        <v>236960.3072169561</v>
      </c>
      <c r="CU83" s="31" t="n">
        <v>7547688.220995411</v>
      </c>
      <c r="CV83" s="31" t="n">
        <v>12641961.66918643</v>
      </c>
      <c r="CW83" s="31" t="n">
        <v>1943886.817131301</v>
      </c>
      <c r="CX83" s="31" t="n">
        <v>311989.4998429089</v>
      </c>
      <c r="CY83" s="31" t="n">
        <v>10116040.81597537</v>
      </c>
      <c r="CZ83" s="31" t="n">
        <v>793847.6260509109</v>
      </c>
      <c r="DA83" s="31" t="n">
        <v>1369318.216049444</v>
      </c>
      <c r="DB83" s="31" t="n">
        <v>8850777.194777306</v>
      </c>
      <c r="DC83" s="31" t="n">
        <v>757603.8243533198</v>
      </c>
      <c r="DD83" s="31" t="n">
        <v>360314.5611235735</v>
      </c>
      <c r="DE83" s="31" t="n">
        <v>0</v>
      </c>
      <c r="DF83" s="31">
        <f>SUM(C83:DE83)</f>
        <v/>
      </c>
      <c r="DG83" s="31" t="n">
        <v>0</v>
      </c>
      <c r="DH83" s="31" t="n">
        <v>0</v>
      </c>
      <c r="DI83" s="31" t="n">
        <v>70394286.3824012</v>
      </c>
      <c r="DJ83" s="31" t="n">
        <v>0</v>
      </c>
      <c r="DK83" s="31">
        <f>SUM(DG83:DJ83)</f>
        <v/>
      </c>
      <c r="DL83" s="31">
        <f>DF83+DK83</f>
        <v/>
      </c>
    </row>
    <row r="84">
      <c r="A84" s="28" t="inlineStr">
        <is>
          <t>51</t>
        </is>
      </c>
      <c r="B84" s="28" t="inlineStr">
        <is>
          <t>Comercio mayorista</t>
        </is>
      </c>
      <c r="C84" s="29" t="n">
        <v>33107226.970101</v>
      </c>
      <c r="D84" s="29" t="n">
        <v>3547358.724256627</v>
      </c>
      <c r="E84" s="29" t="n">
        <v>2909.955538032822</v>
      </c>
      <c r="F84" s="29" t="n">
        <v>0</v>
      </c>
      <c r="G84" s="29" t="n">
        <v>22776.5120045442</v>
      </c>
      <c r="H84" s="29" t="n">
        <v>177983.6689605401</v>
      </c>
      <c r="I84" s="29" t="n">
        <v>3354.829015674879</v>
      </c>
      <c r="J84" s="29" t="n">
        <v>491194.896008634</v>
      </c>
      <c r="K84" s="29" t="n">
        <v>1242943.337206684</v>
      </c>
      <c r="L84" s="29" t="n">
        <v>226083.1613876404</v>
      </c>
      <c r="M84" s="29" t="n">
        <v>93180.67624434718</v>
      </c>
      <c r="N84" s="29" t="n">
        <v>1881021.979648242</v>
      </c>
      <c r="O84" s="29" t="n">
        <v>768682.4880038328</v>
      </c>
      <c r="P84" s="29" t="n">
        <v>276867.7920078326</v>
      </c>
      <c r="Q84" s="29" t="n">
        <v>4955507.299809806</v>
      </c>
      <c r="R84" s="29" t="n">
        <v>1137498.753274109</v>
      </c>
      <c r="S84" s="29" t="n">
        <v>994899.2024160642</v>
      </c>
      <c r="T84" s="29" t="n">
        <v>1757709.413079426</v>
      </c>
      <c r="U84" s="29" t="n">
        <v>1012513.999072457</v>
      </c>
      <c r="V84" s="29" t="n">
        <v>199152.8949632826</v>
      </c>
      <c r="W84" s="29" t="n">
        <v>500575.3297059764</v>
      </c>
      <c r="X84" s="29" t="n">
        <v>224305.0272461043</v>
      </c>
      <c r="Y84" s="29" t="n">
        <v>2944659.469579821</v>
      </c>
      <c r="Z84" s="29" t="n">
        <v>505981.291611826</v>
      </c>
      <c r="AA84" s="29" t="n">
        <v>1050136.758796644</v>
      </c>
      <c r="AB84" s="29" t="n">
        <v>413780.1579297537</v>
      </c>
      <c r="AC84" s="29" t="n">
        <v>687148.8680606112</v>
      </c>
      <c r="AD84" s="29" t="n">
        <v>296976.8131824451</v>
      </c>
      <c r="AE84" s="29" t="n">
        <v>253575.5701972679</v>
      </c>
      <c r="AF84" s="29" t="n">
        <v>664653.3015833679</v>
      </c>
      <c r="AG84" s="29" t="n">
        <v>258073.8071836273</v>
      </c>
      <c r="AH84" s="29" t="n">
        <v>58122.11137535266</v>
      </c>
      <c r="AI84" s="29" t="n">
        <v>145751.4392177803</v>
      </c>
      <c r="AJ84" s="29" t="n">
        <v>513443.9492434915</v>
      </c>
      <c r="AK84" s="29" t="n">
        <v>633143.6865825681</v>
      </c>
      <c r="AL84" s="29" t="n">
        <v>218275.4120415493</v>
      </c>
      <c r="AM84" s="29" t="n">
        <v>10483138.02333058</v>
      </c>
      <c r="AN84" s="29" t="n">
        <v>1150402.537246384</v>
      </c>
      <c r="AO84" s="29" t="n">
        <v>364574.9862562211</v>
      </c>
      <c r="AP84" s="29" t="n">
        <v>688900.4092034725</v>
      </c>
      <c r="AQ84" s="29" t="n">
        <v>3507456.027524695</v>
      </c>
      <c r="AR84" s="29" t="n">
        <v>189862.0419490556</v>
      </c>
      <c r="AS84" s="29" t="n">
        <v>336203.369869065</v>
      </c>
      <c r="AT84" s="29" t="n">
        <v>31045.76199291519</v>
      </c>
      <c r="AU84" s="29" t="n">
        <v>561770.6608657031</v>
      </c>
      <c r="AV84" s="29" t="n">
        <v>911337.9479623325</v>
      </c>
      <c r="AW84" s="29" t="n">
        <v>204724.9583189674</v>
      </c>
      <c r="AX84" s="29" t="n">
        <v>94094.21996029012</v>
      </c>
      <c r="AY84" s="29" t="n">
        <v>251282.3960964074</v>
      </c>
      <c r="AZ84" s="29" t="n">
        <v>335173.7726417722</v>
      </c>
      <c r="BA84" s="29" t="n">
        <v>332227.690980033</v>
      </c>
      <c r="BB84" s="29" t="n">
        <v>1370112.566607326</v>
      </c>
      <c r="BC84" s="29" t="n">
        <v>165504.8251943905</v>
      </c>
      <c r="BD84" s="29" t="n">
        <v>20575.55694276324</v>
      </c>
      <c r="BE84" s="29" t="n">
        <v>113034.0642940389</v>
      </c>
      <c r="BF84" s="29" t="n">
        <v>68713.20118349174</v>
      </c>
      <c r="BG84" s="29" t="n">
        <v>36184.83098460143</v>
      </c>
      <c r="BH84" s="29" t="n">
        <v>132039.5364484241</v>
      </c>
      <c r="BI84" s="29" t="n">
        <v>18052.25858939684</v>
      </c>
      <c r="BJ84" s="29" t="n">
        <v>122680.4233570261</v>
      </c>
      <c r="BK84" s="29" t="n">
        <v>4558831.223612715</v>
      </c>
      <c r="BL84" s="29" t="n">
        <v>140791.8966184035</v>
      </c>
      <c r="BM84" s="29" t="n">
        <v>99409.9798036759</v>
      </c>
      <c r="BN84" s="29" t="n">
        <v>271820.1991767706</v>
      </c>
      <c r="BO84" s="29" t="n">
        <v>333867.907323336</v>
      </c>
      <c r="BP84" s="29" t="n">
        <v>455115.1602639043</v>
      </c>
      <c r="BQ84" s="29" t="n">
        <v>170983.0970535392</v>
      </c>
      <c r="BR84" s="29" t="n">
        <v>78966.42618114584</v>
      </c>
      <c r="BS84" s="29" t="n">
        <v>1834060.422088654</v>
      </c>
      <c r="BT84" s="29" t="n">
        <v>2309099.960841835</v>
      </c>
      <c r="BU84" s="29" t="n">
        <v>5912161.16593031</v>
      </c>
      <c r="BV84" s="29" t="n">
        <v>11517033.53622124</v>
      </c>
      <c r="BW84" s="29" t="n">
        <v>18659.85996130947</v>
      </c>
      <c r="BX84" s="29" t="n">
        <v>1007769.422279623</v>
      </c>
      <c r="BY84" s="29" t="n">
        <v>902164.0120077272</v>
      </c>
      <c r="BZ84" s="29" t="n">
        <v>29072.24917312076</v>
      </c>
      <c r="CA84" s="29" t="n">
        <v>1141642.819680862</v>
      </c>
      <c r="CB84" s="29" t="n">
        <v>25101.10064996409</v>
      </c>
      <c r="CC84" s="29" t="n">
        <v>13447.61284771565</v>
      </c>
      <c r="CD84" s="29" t="n">
        <v>1589810.773843991</v>
      </c>
      <c r="CE84" s="29" t="n">
        <v>673693.2350438952</v>
      </c>
      <c r="CF84" s="29" t="n">
        <v>283396.0657718091</v>
      </c>
      <c r="CG84" s="29" t="n">
        <v>2407710.976591898</v>
      </c>
      <c r="CH84" s="29" t="n">
        <v>46968035.6886636</v>
      </c>
      <c r="CI84" s="29" t="n">
        <v>510385.7452618395</v>
      </c>
      <c r="CJ84" s="29" t="n">
        <v>910994.9202302218</v>
      </c>
      <c r="CK84" s="29" t="n">
        <v>919146.4456574509</v>
      </c>
      <c r="CL84" s="29" t="n">
        <v>3425521.209786738</v>
      </c>
      <c r="CM84" s="29" t="n">
        <v>360645.7904417984</v>
      </c>
      <c r="CN84" s="29" t="n">
        <v>26943.06877731255</v>
      </c>
      <c r="CO84" s="29" t="n">
        <v>12101.89816409066</v>
      </c>
      <c r="CP84" s="29" t="n">
        <v>51196.61614672033</v>
      </c>
      <c r="CQ84" s="29" t="n">
        <v>196472.593788721</v>
      </c>
      <c r="CR84" s="29" t="n">
        <v>7570201.124784481</v>
      </c>
      <c r="CS84" s="29" t="n">
        <v>25363.944617106</v>
      </c>
      <c r="CT84" s="29" t="n">
        <v>23160.0706888742</v>
      </c>
      <c r="CU84" s="29" t="n">
        <v>16005735.74112524</v>
      </c>
      <c r="CV84" s="29" t="n">
        <v>1259341.988043716</v>
      </c>
      <c r="CW84" s="29" t="n">
        <v>602191.1518616348</v>
      </c>
      <c r="CX84" s="29" t="n">
        <v>127295.8836452514</v>
      </c>
      <c r="CY84" s="29" t="n">
        <v>5491851.779073722</v>
      </c>
      <c r="CZ84" s="29" t="n">
        <v>747618.5703370409</v>
      </c>
      <c r="DA84" s="29" t="n">
        <v>540973.0647710455</v>
      </c>
      <c r="DB84" s="29" t="n">
        <v>1447104.460744651</v>
      </c>
      <c r="DC84" s="29" t="n">
        <v>9888383.436814733</v>
      </c>
      <c r="DD84" s="29" t="n">
        <v>125338.4495566054</v>
      </c>
      <c r="DE84" s="29" t="n">
        <v>0</v>
      </c>
      <c r="DF84" s="29">
        <f>SUM(C84:DE84)</f>
        <v/>
      </c>
      <c r="DG84" s="29" t="n">
        <v>0</v>
      </c>
      <c r="DH84" s="29" t="n">
        <v>0</v>
      </c>
      <c r="DI84" s="29" t="n">
        <v>15892552.91480945</v>
      </c>
      <c r="DJ84" s="29" t="n">
        <v>0</v>
      </c>
      <c r="DK84" s="29">
        <f>SUM(DG84:DJ84)</f>
        <v/>
      </c>
      <c r="DL84" s="29">
        <f>DF84+DK84</f>
        <v/>
      </c>
    </row>
    <row r="85">
      <c r="A85" s="30" t="inlineStr">
        <is>
          <t>521/5</t>
        </is>
      </c>
      <c r="B85" s="30" t="inlineStr">
        <is>
          <t>521/5 - Comercio minorista excepto reparaciones</t>
        </is>
      </c>
      <c r="C85" s="31" t="n">
        <v>1034212.636007979</v>
      </c>
      <c r="D85" s="31" t="n">
        <v>170598.7312105448</v>
      </c>
      <c r="E85" s="31" t="n">
        <v>3642.238979637635</v>
      </c>
      <c r="F85" s="31" t="n">
        <v>25034.17322856189</v>
      </c>
      <c r="G85" s="31" t="n">
        <v>28508.16748190455</v>
      </c>
      <c r="H85" s="31" t="n">
        <v>88388.85584779418</v>
      </c>
      <c r="I85" s="31" t="n">
        <v>1829.026644900136</v>
      </c>
      <c r="J85" s="31" t="n">
        <v>328978.8112042932</v>
      </c>
      <c r="K85" s="31" t="n">
        <v>261213.552452829</v>
      </c>
      <c r="L85" s="31" t="n">
        <v>84082.7122895544</v>
      </c>
      <c r="M85" s="31" t="n">
        <v>41880.53423934172</v>
      </c>
      <c r="N85" s="31" t="n">
        <v>221255.7993778325</v>
      </c>
      <c r="O85" s="31" t="n">
        <v>100273.146082143</v>
      </c>
      <c r="P85" s="31" t="n">
        <v>400770.6095976923</v>
      </c>
      <c r="Q85" s="31" t="n">
        <v>402902.8208281083</v>
      </c>
      <c r="R85" s="31" t="n">
        <v>569141.3733394565</v>
      </c>
      <c r="S85" s="31" t="n">
        <v>101395.6668991916</v>
      </c>
      <c r="T85" s="31" t="n">
        <v>265066.4865204545</v>
      </c>
      <c r="U85" s="31" t="n">
        <v>1352503.687205286</v>
      </c>
      <c r="V85" s="31" t="n">
        <v>65494.23142302897</v>
      </c>
      <c r="W85" s="31" t="n">
        <v>486981.9285668106</v>
      </c>
      <c r="X85" s="31" t="n">
        <v>93541.65925339281</v>
      </c>
      <c r="Y85" s="31" t="n">
        <v>362997.006712735</v>
      </c>
      <c r="Z85" s="31" t="n">
        <v>224212.4222422666</v>
      </c>
      <c r="AA85" s="31" t="n">
        <v>663868.5506605607</v>
      </c>
      <c r="AB85" s="31" t="n">
        <v>771680.0153647229</v>
      </c>
      <c r="AC85" s="31" t="n">
        <v>1151542.909547363</v>
      </c>
      <c r="AD85" s="31" t="n">
        <v>821433.2815118226</v>
      </c>
      <c r="AE85" s="31" t="n">
        <v>91186.91474498363</v>
      </c>
      <c r="AF85" s="31" t="n">
        <v>190703.5846875232</v>
      </c>
      <c r="AG85" s="31" t="n">
        <v>19706.55163755207</v>
      </c>
      <c r="AH85" s="31" t="n">
        <v>100629.4857995992</v>
      </c>
      <c r="AI85" s="31" t="n">
        <v>56505.3888165223</v>
      </c>
      <c r="AJ85" s="31" t="n">
        <v>240263.954956233</v>
      </c>
      <c r="AK85" s="31" t="n">
        <v>502185.4059369434</v>
      </c>
      <c r="AL85" s="31" t="n">
        <v>153066.3178320811</v>
      </c>
      <c r="AM85" s="31" t="n">
        <v>94762.44425204751</v>
      </c>
      <c r="AN85" s="31" t="n">
        <v>105380.8316468372</v>
      </c>
      <c r="AO85" s="31" t="n">
        <v>97631.47588183823</v>
      </c>
      <c r="AP85" s="31" t="n">
        <v>125775.2760050606</v>
      </c>
      <c r="AQ85" s="31" t="n">
        <v>3738158.809197118</v>
      </c>
      <c r="AR85" s="31" t="n">
        <v>175957.6205349934</v>
      </c>
      <c r="AS85" s="31" t="n">
        <v>242670.5299374837</v>
      </c>
      <c r="AT85" s="31" t="n">
        <v>29784.40870733534</v>
      </c>
      <c r="AU85" s="31" t="n">
        <v>218629.2056128378</v>
      </c>
      <c r="AV85" s="31" t="n">
        <v>164209.7399565617</v>
      </c>
      <c r="AW85" s="31" t="n">
        <v>27645.44592629776</v>
      </c>
      <c r="AX85" s="31" t="n">
        <v>90615.46376377007</v>
      </c>
      <c r="AY85" s="31" t="n">
        <v>83733.2887780154</v>
      </c>
      <c r="AZ85" s="31" t="n">
        <v>226210.5576353126</v>
      </c>
      <c r="BA85" s="31" t="n">
        <v>105644.9418083786</v>
      </c>
      <c r="BB85" s="31" t="n">
        <v>256045.9943383043</v>
      </c>
      <c r="BC85" s="31" t="n">
        <v>114982.1165043979</v>
      </c>
      <c r="BD85" s="31" t="n">
        <v>12971.4254604938</v>
      </c>
      <c r="BE85" s="31" t="n">
        <v>59244.44656773767</v>
      </c>
      <c r="BF85" s="31" t="n">
        <v>32331.157472909</v>
      </c>
      <c r="BG85" s="31" t="n">
        <v>51765.18771450053</v>
      </c>
      <c r="BH85" s="31" t="n">
        <v>242777.6169292443</v>
      </c>
      <c r="BI85" s="31" t="n">
        <v>36940.3382089192</v>
      </c>
      <c r="BJ85" s="31" t="n">
        <v>49699.29926431405</v>
      </c>
      <c r="BK85" s="31" t="n">
        <v>748763.8667752669</v>
      </c>
      <c r="BL85" s="31" t="n">
        <v>122674.0124998798</v>
      </c>
      <c r="BM85" s="31" t="n">
        <v>82522.14884347301</v>
      </c>
      <c r="BN85" s="31" t="n">
        <v>123268.0276452098</v>
      </c>
      <c r="BO85" s="31" t="n">
        <v>45956.53526551047</v>
      </c>
      <c r="BP85" s="31" t="n">
        <v>326719.4115939218</v>
      </c>
      <c r="BQ85" s="31" t="n">
        <v>139086.2765889752</v>
      </c>
      <c r="BR85" s="31" t="n">
        <v>108139.5497397112</v>
      </c>
      <c r="BS85" s="31" t="n">
        <v>6984.914870000977</v>
      </c>
      <c r="BT85" s="31" t="n">
        <v>2926109.327327658</v>
      </c>
      <c r="BU85" s="31" t="n">
        <v>9465305.935459614</v>
      </c>
      <c r="BV85" s="31" t="n">
        <v>23363990.56824271</v>
      </c>
      <c r="BW85" s="31" t="n">
        <v>23355.56967018317</v>
      </c>
      <c r="BX85" s="31" t="n">
        <v>445078.6942841585</v>
      </c>
      <c r="BY85" s="31" t="n">
        <v>4585128.308609201</v>
      </c>
      <c r="BZ85" s="31" t="n">
        <v>50712.64911089735</v>
      </c>
      <c r="CA85" s="31" t="n">
        <v>1521118.228349921</v>
      </c>
      <c r="CB85" s="31" t="n">
        <v>83144.6933029934</v>
      </c>
      <c r="CC85" s="31" t="n">
        <v>4979.662086064495</v>
      </c>
      <c r="CD85" s="31" t="n">
        <v>592116.4481330239</v>
      </c>
      <c r="CE85" s="31" t="n">
        <v>1131661.27776633</v>
      </c>
      <c r="CF85" s="31" t="n">
        <v>167658.8368160026</v>
      </c>
      <c r="CG85" s="31" t="n">
        <v>2277417.345377327</v>
      </c>
      <c r="CH85" s="31" t="n">
        <v>3902052.317472028</v>
      </c>
      <c r="CI85" s="31" t="n">
        <v>798541.8909602216</v>
      </c>
      <c r="CJ85" s="31" t="n">
        <v>2391950.997961649</v>
      </c>
      <c r="CK85" s="31" t="n">
        <v>998797.6687743934</v>
      </c>
      <c r="CL85" s="31" t="n">
        <v>5055397.696458621</v>
      </c>
      <c r="CM85" s="31" t="n">
        <v>548642.6968538953</v>
      </c>
      <c r="CN85" s="31" t="n">
        <v>65968.68306525277</v>
      </c>
      <c r="CO85" s="31" t="n">
        <v>29630.85946420141</v>
      </c>
      <c r="CP85" s="31" t="n">
        <v>182586.0005559741</v>
      </c>
      <c r="CQ85" s="31" t="n">
        <v>157840.1682247914</v>
      </c>
      <c r="CR85" s="31" t="n">
        <v>5477816.749297046</v>
      </c>
      <c r="CS85" s="31" t="n">
        <v>74453.32148349642</v>
      </c>
      <c r="CT85" s="31" t="n">
        <v>67984.07008885831</v>
      </c>
      <c r="CU85" s="31" t="n">
        <v>17086310.69559654</v>
      </c>
      <c r="CV85" s="31" t="n">
        <v>3675766.847118385</v>
      </c>
      <c r="CW85" s="31" t="n">
        <v>1594052.783741614</v>
      </c>
      <c r="CX85" s="31" t="n">
        <v>351076.2941521027</v>
      </c>
      <c r="CY85" s="31" t="n">
        <v>6769816.006391984</v>
      </c>
      <c r="CZ85" s="31" t="n">
        <v>1107516.495012482</v>
      </c>
      <c r="DA85" s="31" t="n">
        <v>355975.5528987916</v>
      </c>
      <c r="DB85" s="31" t="n">
        <v>2086523.371125246</v>
      </c>
      <c r="DC85" s="31" t="n">
        <v>3162076.817487932</v>
      </c>
      <c r="DD85" s="31" t="n">
        <v>361456.4651830727</v>
      </c>
      <c r="DE85" s="31" t="n">
        <v>0</v>
      </c>
      <c r="DF85" s="31">
        <f>SUM(C85:DE85)</f>
        <v/>
      </c>
      <c r="DG85" s="31" t="n">
        <v>0</v>
      </c>
      <c r="DH85" s="31" t="n">
        <v>0</v>
      </c>
      <c r="DI85" s="31" t="n">
        <v>1622428145.050314</v>
      </c>
      <c r="DJ85" s="31" t="n">
        <v>0</v>
      </c>
      <c r="DK85" s="31">
        <f>SUM(DG85:DJ85)</f>
        <v/>
      </c>
      <c r="DL85" s="31">
        <f>DF85+DK85</f>
        <v/>
      </c>
    </row>
    <row r="86">
      <c r="A86" s="28" t="inlineStr">
        <is>
          <t>526</t>
        </is>
      </c>
      <c r="B86" s="28" t="inlineStr">
        <is>
          <t>Reparación de efectos personales y enseres domésticos</t>
        </is>
      </c>
      <c r="C86" s="29" t="n">
        <v>6392232.673348342</v>
      </c>
      <c r="D86" s="29" t="n">
        <v>569938.5366973763</v>
      </c>
      <c r="E86" s="29" t="n">
        <v>23751.2935431903</v>
      </c>
      <c r="F86" s="29" t="n">
        <v>0</v>
      </c>
      <c r="G86" s="29" t="n">
        <v>185903.7416343593</v>
      </c>
      <c r="H86" s="29" t="n">
        <v>433967.9513323237</v>
      </c>
      <c r="I86" s="29" t="n">
        <v>10774.09081385078</v>
      </c>
      <c r="J86" s="29" t="n">
        <v>779571.7011884036</v>
      </c>
      <c r="K86" s="29" t="n">
        <v>561745.1351764062</v>
      </c>
      <c r="L86" s="29" t="n">
        <v>250323.7232213699</v>
      </c>
      <c r="M86" s="29" t="n">
        <v>205437.0268512257</v>
      </c>
      <c r="N86" s="29" t="n">
        <v>148490.1971499447</v>
      </c>
      <c r="O86" s="29" t="n">
        <v>133213.1508106847</v>
      </c>
      <c r="P86" s="29" t="n">
        <v>65777.06324444043</v>
      </c>
      <c r="Q86" s="29" t="n">
        <v>549562.4247129923</v>
      </c>
      <c r="R86" s="29" t="n">
        <v>87389.15384174213</v>
      </c>
      <c r="S86" s="29" t="n">
        <v>139060.6917754291</v>
      </c>
      <c r="T86" s="29" t="n">
        <v>136633.3994759635</v>
      </c>
      <c r="U86" s="29" t="n">
        <v>143678.3130285615</v>
      </c>
      <c r="V86" s="29" t="n">
        <v>95873.49928870832</v>
      </c>
      <c r="W86" s="29" t="n">
        <v>51623.72498555527</v>
      </c>
      <c r="X86" s="29" t="n">
        <v>26901.52572356074</v>
      </c>
      <c r="Y86" s="29" t="n">
        <v>228256.3926459581</v>
      </c>
      <c r="Z86" s="29" t="n">
        <v>14377.29132628527</v>
      </c>
      <c r="AA86" s="29" t="n">
        <v>48616.03920721182</v>
      </c>
      <c r="AB86" s="29" t="n">
        <v>101682.3796310678</v>
      </c>
      <c r="AC86" s="29" t="n">
        <v>215390.9323925223</v>
      </c>
      <c r="AD86" s="29" t="n">
        <v>28901.30751354032</v>
      </c>
      <c r="AE86" s="29" t="n">
        <v>168605.622209827</v>
      </c>
      <c r="AF86" s="29" t="n">
        <v>35963.42137483679</v>
      </c>
      <c r="AG86" s="29" t="n">
        <v>20029.81613606742</v>
      </c>
      <c r="AH86" s="29" t="n">
        <v>14029.6115412985</v>
      </c>
      <c r="AI86" s="29" t="n">
        <v>109531.4826208448</v>
      </c>
      <c r="AJ86" s="29" t="n">
        <v>280451.9815202695</v>
      </c>
      <c r="AK86" s="29" t="n">
        <v>51683.34538497841</v>
      </c>
      <c r="AL86" s="29" t="n">
        <v>104166.0222927541</v>
      </c>
      <c r="AM86" s="29" t="n">
        <v>132275.1707891207</v>
      </c>
      <c r="AN86" s="29" t="n">
        <v>167820.6680861627</v>
      </c>
      <c r="AO86" s="29" t="n">
        <v>220475.539683979</v>
      </c>
      <c r="AP86" s="29" t="n">
        <v>122014.2094039949</v>
      </c>
      <c r="AQ86" s="29" t="n">
        <v>296399.2441808776</v>
      </c>
      <c r="AR86" s="29" t="n">
        <v>92925.84450974097</v>
      </c>
      <c r="AS86" s="29" t="n">
        <v>189853.1370804193</v>
      </c>
      <c r="AT86" s="29" t="n">
        <v>59816.49978950163</v>
      </c>
      <c r="AU86" s="29" t="n">
        <v>314385.4111903397</v>
      </c>
      <c r="AV86" s="29" t="n">
        <v>334963.1329798479</v>
      </c>
      <c r="AW86" s="29" t="n">
        <v>50459.41885340738</v>
      </c>
      <c r="AX86" s="29" t="n">
        <v>104294.0597625484</v>
      </c>
      <c r="AY86" s="29" t="n">
        <v>64017.35663537846</v>
      </c>
      <c r="AZ86" s="29" t="n">
        <v>179521.3235615902</v>
      </c>
      <c r="BA86" s="29" t="n">
        <v>50710.92633323403</v>
      </c>
      <c r="BB86" s="29" t="n">
        <v>148584.1039161563</v>
      </c>
      <c r="BC86" s="29" t="n">
        <v>19659.55165599866</v>
      </c>
      <c r="BD86" s="29" t="n">
        <v>337.7672782701288</v>
      </c>
      <c r="BE86" s="29" t="n">
        <v>17987.14402187667</v>
      </c>
      <c r="BF86" s="29" t="n">
        <v>17500.02017468633</v>
      </c>
      <c r="BG86" s="29" t="n">
        <v>15969.74859026095</v>
      </c>
      <c r="BH86" s="29" t="n">
        <v>25439.36554849714</v>
      </c>
      <c r="BI86" s="29" t="n">
        <v>7621.338916176443</v>
      </c>
      <c r="BJ86" s="29" t="n">
        <v>14510.35362198487</v>
      </c>
      <c r="BK86" s="29" t="n">
        <v>104869.756591192</v>
      </c>
      <c r="BL86" s="29" t="n">
        <v>115741.9014320009</v>
      </c>
      <c r="BM86" s="29" t="n">
        <v>58763.06148238564</v>
      </c>
      <c r="BN86" s="29" t="n">
        <v>61757.10198101417</v>
      </c>
      <c r="BO86" s="29" t="n">
        <v>46822.88549953001</v>
      </c>
      <c r="BP86" s="29" t="n">
        <v>819858.4511532737</v>
      </c>
      <c r="BQ86" s="29" t="n">
        <v>197489.3508706459</v>
      </c>
      <c r="BR86" s="29" t="n">
        <v>263993.7815195241</v>
      </c>
      <c r="BS86" s="29" t="n">
        <v>1933.484178383628</v>
      </c>
      <c r="BT86" s="29" t="n">
        <v>251974.4863374876</v>
      </c>
      <c r="BU86" s="29" t="n">
        <v>1122609.567422622</v>
      </c>
      <c r="BV86" s="29" t="n">
        <v>1574253.471436664</v>
      </c>
      <c r="BW86" s="29" t="n">
        <v>152303.2931683527</v>
      </c>
      <c r="BX86" s="29" t="n">
        <v>387606.2094037383</v>
      </c>
      <c r="BY86" s="29" t="n">
        <v>395234.4307564029</v>
      </c>
      <c r="BZ86" s="29" t="n">
        <v>88767.88120089697</v>
      </c>
      <c r="CA86" s="29" t="n">
        <v>4797424.43438396</v>
      </c>
      <c r="CB86" s="29" t="n">
        <v>84083.87342945962</v>
      </c>
      <c r="CC86" s="29" t="n">
        <v>4785.269842563263</v>
      </c>
      <c r="CD86" s="29" t="n">
        <v>629653.9271114517</v>
      </c>
      <c r="CE86" s="29" t="n">
        <v>610084.6780816492</v>
      </c>
      <c r="CF86" s="29" t="n">
        <v>67636.89722485792</v>
      </c>
      <c r="CG86" s="29" t="n">
        <v>218017.5762474738</v>
      </c>
      <c r="CH86" s="29" t="n">
        <v>852851.2328681718</v>
      </c>
      <c r="CI86" s="29" t="n">
        <v>256334.9614802525</v>
      </c>
      <c r="CJ86" s="29" t="n">
        <v>1540951.615811912</v>
      </c>
      <c r="CK86" s="29" t="n">
        <v>122099.0918210445</v>
      </c>
      <c r="CL86" s="29" t="n">
        <v>265709.5799159136</v>
      </c>
      <c r="CM86" s="29" t="n">
        <v>83876.29860681476</v>
      </c>
      <c r="CN86" s="29" t="n">
        <v>0</v>
      </c>
      <c r="CO86" s="29" t="n">
        <v>0</v>
      </c>
      <c r="CP86" s="29" t="n">
        <v>48963.4878481203</v>
      </c>
      <c r="CQ86" s="29" t="n">
        <v>215007.211948316</v>
      </c>
      <c r="CR86" s="29" t="n">
        <v>472837.3602882417</v>
      </c>
      <c r="CS86" s="29" t="n">
        <v>53054.34354031022</v>
      </c>
      <c r="CT86" s="29" t="n">
        <v>48444.4499976044</v>
      </c>
      <c r="CU86" s="29" t="n">
        <v>1544479.719493893</v>
      </c>
      <c r="CV86" s="29" t="n">
        <v>2584537.837359412</v>
      </c>
      <c r="CW86" s="29" t="n">
        <v>394855.9992174841</v>
      </c>
      <c r="CX86" s="29" t="n">
        <v>62754.43751167024</v>
      </c>
      <c r="CY86" s="29" t="n">
        <v>2071099.978095507</v>
      </c>
      <c r="CZ86" s="29" t="n">
        <v>162490.2209419076</v>
      </c>
      <c r="DA86" s="29" t="n">
        <v>279969.8487505093</v>
      </c>
      <c r="DB86" s="29" t="n">
        <v>1814753.336096578</v>
      </c>
      <c r="DC86" s="29" t="n">
        <v>153476.6214923701</v>
      </c>
      <c r="DD86" s="29" t="n">
        <v>73488.3312346038</v>
      </c>
      <c r="DE86" s="29" t="n">
        <v>0</v>
      </c>
      <c r="DF86" s="29">
        <f>SUM(C86:DE86)</f>
        <v/>
      </c>
      <c r="DG86" s="29" t="n">
        <v>0</v>
      </c>
      <c r="DH86" s="29" t="n">
        <v>0</v>
      </c>
      <c r="DI86" s="29" t="n">
        <v>14409150.10080101</v>
      </c>
      <c r="DJ86" s="29" t="n">
        <v>0</v>
      </c>
      <c r="DK86" s="29">
        <f>SUM(DG86:DJ86)</f>
        <v/>
      </c>
      <c r="DL86" s="29">
        <f>DF86+DK86</f>
        <v/>
      </c>
    </row>
    <row r="87">
      <c r="A87" s="30" t="inlineStr">
        <is>
          <t>551</t>
        </is>
      </c>
      <c r="B87" s="30" t="inlineStr">
        <is>
          <t>Hoteles ; campamentos y otros tipos de hospedaje temporal</t>
        </is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0</v>
      </c>
      <c r="H87" s="31" t="n">
        <v>472305.9468792971</v>
      </c>
      <c r="I87" s="31" t="n">
        <v>3742.172769003494</v>
      </c>
      <c r="J87" s="31" t="n">
        <v>2515661.56358027</v>
      </c>
      <c r="K87" s="31" t="n">
        <v>6494322.885293191</v>
      </c>
      <c r="L87" s="31" t="n">
        <v>62058.03523899834</v>
      </c>
      <c r="M87" s="31" t="n">
        <v>35839.83369720851</v>
      </c>
      <c r="N87" s="31" t="n">
        <v>101154.6200839595</v>
      </c>
      <c r="O87" s="31" t="n">
        <v>87313.5494159509</v>
      </c>
      <c r="P87" s="31" t="n">
        <v>36407.50908588</v>
      </c>
      <c r="Q87" s="31" t="n">
        <v>44838.46444385986</v>
      </c>
      <c r="R87" s="31" t="n">
        <v>62643.52189888789</v>
      </c>
      <c r="S87" s="31" t="n">
        <v>57667.70120759349</v>
      </c>
      <c r="T87" s="31" t="n">
        <v>51704.87695492935</v>
      </c>
      <c r="U87" s="31" t="n">
        <v>72583.20413403548</v>
      </c>
      <c r="V87" s="31" t="n">
        <v>6884.057501305278</v>
      </c>
      <c r="W87" s="31" t="n">
        <v>53967.79351089286</v>
      </c>
      <c r="X87" s="31" t="n">
        <v>11907.69489559792</v>
      </c>
      <c r="Y87" s="31" t="n">
        <v>108427.161704046</v>
      </c>
      <c r="Z87" s="31" t="n">
        <v>29549.37776433281</v>
      </c>
      <c r="AA87" s="31" t="n">
        <v>91266.44916428035</v>
      </c>
      <c r="AB87" s="31" t="n">
        <v>32430.40755214206</v>
      </c>
      <c r="AC87" s="31" t="n">
        <v>50676.6703575342</v>
      </c>
      <c r="AD87" s="31" t="n">
        <v>30702.87816365844</v>
      </c>
      <c r="AE87" s="31" t="n">
        <v>61056.61882179795</v>
      </c>
      <c r="AF87" s="31" t="n">
        <v>58017.57735735869</v>
      </c>
      <c r="AG87" s="31" t="n">
        <v>18001.01774426046</v>
      </c>
      <c r="AH87" s="31" t="n">
        <v>15011.57120276746</v>
      </c>
      <c r="AI87" s="31" t="n">
        <v>38557.80484309978</v>
      </c>
      <c r="AJ87" s="31" t="n">
        <v>91076.70432544503</v>
      </c>
      <c r="AK87" s="31" t="n">
        <v>278153.8214599293</v>
      </c>
      <c r="AL87" s="31" t="n">
        <v>84890.22004984732</v>
      </c>
      <c r="AM87" s="31" t="n">
        <v>57297.80521627639</v>
      </c>
      <c r="AN87" s="31" t="n">
        <v>108632.3029581563</v>
      </c>
      <c r="AO87" s="31" t="n">
        <v>32611.47425036894</v>
      </c>
      <c r="AP87" s="31" t="n">
        <v>38626.32560885303</v>
      </c>
      <c r="AQ87" s="31" t="n">
        <v>875114.1208549759</v>
      </c>
      <c r="AR87" s="31" t="n">
        <v>51074.99152534384</v>
      </c>
      <c r="AS87" s="31" t="n">
        <v>200075.8438180662</v>
      </c>
      <c r="AT87" s="31" t="n">
        <v>18915.04929727736</v>
      </c>
      <c r="AU87" s="31" t="n">
        <v>147997.4410236175</v>
      </c>
      <c r="AV87" s="31" t="n">
        <v>146972.4067054803</v>
      </c>
      <c r="AW87" s="31" t="n">
        <v>19847.52825523607</v>
      </c>
      <c r="AX87" s="31" t="n">
        <v>30936.58203125278</v>
      </c>
      <c r="AY87" s="31" t="n">
        <v>62749.64382977229</v>
      </c>
      <c r="AZ87" s="31" t="n">
        <v>132464.9742898464</v>
      </c>
      <c r="BA87" s="31" t="n">
        <v>86513.94222692908</v>
      </c>
      <c r="BB87" s="31" t="n">
        <v>173408.3679584527</v>
      </c>
      <c r="BC87" s="31" t="n">
        <v>49280.68153142003</v>
      </c>
      <c r="BD87" s="31" t="n">
        <v>7857.666154235917</v>
      </c>
      <c r="BE87" s="31" t="n">
        <v>64336.87212276479</v>
      </c>
      <c r="BF87" s="31" t="n">
        <v>20311.60568372744</v>
      </c>
      <c r="BG87" s="31" t="n">
        <v>25131.42101749073</v>
      </c>
      <c r="BH87" s="31" t="n">
        <v>436383.8839982109</v>
      </c>
      <c r="BI87" s="31" t="n">
        <v>5399.204033804581</v>
      </c>
      <c r="BJ87" s="31" t="n">
        <v>49239.26011312476</v>
      </c>
      <c r="BK87" s="31" t="n">
        <v>120294.2495227819</v>
      </c>
      <c r="BL87" s="31" t="n">
        <v>99233.92913764555</v>
      </c>
      <c r="BM87" s="31" t="n">
        <v>35259.17376520816</v>
      </c>
      <c r="BN87" s="31" t="n">
        <v>80963.85389947983</v>
      </c>
      <c r="BO87" s="31" t="n">
        <v>51643.84645508855</v>
      </c>
      <c r="BP87" s="31" t="n">
        <v>167775.8508673191</v>
      </c>
      <c r="BQ87" s="31" t="n">
        <v>99336.64119160555</v>
      </c>
      <c r="BR87" s="31" t="n">
        <v>5677.380499235367</v>
      </c>
      <c r="BS87" s="31" t="n">
        <v>0</v>
      </c>
      <c r="BT87" s="31" t="n">
        <v>185422.1698372</v>
      </c>
      <c r="BU87" s="31" t="n">
        <v>1996012.825119256</v>
      </c>
      <c r="BV87" s="31" t="n">
        <v>1659824.093589451</v>
      </c>
      <c r="BW87" s="31" t="n">
        <v>0</v>
      </c>
      <c r="BX87" s="31" t="n">
        <v>236747.9174135422</v>
      </c>
      <c r="BY87" s="31" t="n">
        <v>2954.398803540814</v>
      </c>
      <c r="BZ87" s="31" t="n">
        <v>2186.178318911551</v>
      </c>
      <c r="CA87" s="31" t="n">
        <v>0</v>
      </c>
      <c r="CB87" s="31" t="n">
        <v>0</v>
      </c>
      <c r="CC87" s="31" t="n">
        <v>10107.11197029811</v>
      </c>
      <c r="CD87" s="31" t="n">
        <v>1954867.450626851</v>
      </c>
      <c r="CE87" s="31" t="n">
        <v>42772.90026414185</v>
      </c>
      <c r="CF87" s="31" t="n">
        <v>78335.36252518682</v>
      </c>
      <c r="CG87" s="31" t="n">
        <v>365624.2107676765</v>
      </c>
      <c r="CH87" s="31" t="n">
        <v>590791.5324700479</v>
      </c>
      <c r="CI87" s="31" t="n">
        <v>244095.1123872404</v>
      </c>
      <c r="CJ87" s="31" t="n">
        <v>5180575.787611228</v>
      </c>
      <c r="CK87" s="31" t="n">
        <v>232952.8859069176</v>
      </c>
      <c r="CL87" s="31" t="n">
        <v>952632.6546209797</v>
      </c>
      <c r="CM87" s="31" t="n">
        <v>162205.1521980644</v>
      </c>
      <c r="CN87" s="31" t="n">
        <v>0</v>
      </c>
      <c r="CO87" s="31" t="n">
        <v>0</v>
      </c>
      <c r="CP87" s="31" t="n">
        <v>11760.75765748799</v>
      </c>
      <c r="CQ87" s="31" t="n">
        <v>18677.47256538636</v>
      </c>
      <c r="CR87" s="31" t="n">
        <v>1131743.51891502</v>
      </c>
      <c r="CS87" s="31" t="n">
        <v>309015.9536789965</v>
      </c>
      <c r="CT87" s="31" t="n">
        <v>282165.5479553717</v>
      </c>
      <c r="CU87" s="31" t="n">
        <v>3160982.179641213</v>
      </c>
      <c r="CV87" s="31" t="n">
        <v>15053685.92534276</v>
      </c>
      <c r="CW87" s="31" t="n">
        <v>373874.9273200841</v>
      </c>
      <c r="CX87" s="31" t="n">
        <v>935955.8186490767</v>
      </c>
      <c r="CY87" s="31" t="n">
        <v>1019022.796871412</v>
      </c>
      <c r="CZ87" s="31" t="n">
        <v>6549465.058968678</v>
      </c>
      <c r="DA87" s="31" t="n">
        <v>85745.90080002835</v>
      </c>
      <c r="DB87" s="31" t="n">
        <v>681793.6010921299</v>
      </c>
      <c r="DC87" s="31" t="n">
        <v>598563.2943526608</v>
      </c>
      <c r="DD87" s="31" t="n">
        <v>0</v>
      </c>
      <c r="DE87" s="31" t="n">
        <v>0</v>
      </c>
      <c r="DF87" s="31">
        <f>SUM(C87:DE87)</f>
        <v/>
      </c>
      <c r="DG87" s="31" t="n">
        <v>0</v>
      </c>
      <c r="DH87" s="31" t="n">
        <v>0</v>
      </c>
      <c r="DI87" s="31" t="n">
        <v>48415887.58321434</v>
      </c>
      <c r="DJ87" s="31" t="n">
        <v>0</v>
      </c>
      <c r="DK87" s="31">
        <f>SUM(DG87:DJ87)</f>
        <v/>
      </c>
      <c r="DL87" s="31">
        <f>DF87+DK87</f>
        <v/>
      </c>
    </row>
    <row r="88">
      <c r="A88" s="28" t="inlineStr">
        <is>
          <t>552</t>
        </is>
      </c>
      <c r="B88" s="28" t="inlineStr">
        <is>
          <t>Restaurantes, bares y cantinas</t>
        </is>
      </c>
      <c r="C88" s="29" t="n">
        <v>3929735.095792358</v>
      </c>
      <c r="D88" s="29" t="n">
        <v>735854.8514717055</v>
      </c>
      <c r="E88" s="29" t="n">
        <v>0</v>
      </c>
      <c r="F88" s="29" t="n">
        <v>729.7003662360055</v>
      </c>
      <c r="G88" s="29" t="n">
        <v>0</v>
      </c>
      <c r="H88" s="29" t="n">
        <v>861116.8383044197</v>
      </c>
      <c r="I88" s="29" t="n">
        <v>3072.80459766392</v>
      </c>
      <c r="J88" s="29" t="n">
        <v>5216994.664833226</v>
      </c>
      <c r="K88" s="29" t="n">
        <v>4281086.936151161</v>
      </c>
      <c r="L88" s="29" t="n">
        <v>31642.944919088</v>
      </c>
      <c r="M88" s="29" t="n">
        <v>32132.48196483559</v>
      </c>
      <c r="N88" s="29" t="n">
        <v>1852407.018088764</v>
      </c>
      <c r="O88" s="29" t="n">
        <v>1063638.236454828</v>
      </c>
      <c r="P88" s="29" t="n">
        <v>694775.4309838318</v>
      </c>
      <c r="Q88" s="29" t="n">
        <v>2784321.901315777</v>
      </c>
      <c r="R88" s="29" t="n">
        <v>815564.3110015085</v>
      </c>
      <c r="S88" s="29" t="n">
        <v>1395202.129774714</v>
      </c>
      <c r="T88" s="29" t="n">
        <v>1386438.130616505</v>
      </c>
      <c r="U88" s="29" t="n">
        <v>2077226.876169172</v>
      </c>
      <c r="V88" s="29" t="n">
        <v>764389.6026287244</v>
      </c>
      <c r="W88" s="29" t="n">
        <v>675189.0919253007</v>
      </c>
      <c r="X88" s="29" t="n">
        <v>91339.32012572768</v>
      </c>
      <c r="Y88" s="29" t="n">
        <v>3577490.885630813</v>
      </c>
      <c r="Z88" s="29" t="n">
        <v>211326.3630058096</v>
      </c>
      <c r="AA88" s="29" t="n">
        <v>923393.8403892191</v>
      </c>
      <c r="AB88" s="29" t="n">
        <v>1629340.616179276</v>
      </c>
      <c r="AC88" s="29" t="n">
        <v>1238983.864974151</v>
      </c>
      <c r="AD88" s="29" t="n">
        <v>383519.4246629627</v>
      </c>
      <c r="AE88" s="29" t="n">
        <v>801032.9239287166</v>
      </c>
      <c r="AF88" s="29" t="n">
        <v>789027.0973415582</v>
      </c>
      <c r="AG88" s="29" t="n">
        <v>242450.7312674128</v>
      </c>
      <c r="AH88" s="29" t="n">
        <v>271095.5122550852</v>
      </c>
      <c r="AI88" s="29" t="n">
        <v>637116.6783864652</v>
      </c>
      <c r="AJ88" s="29" t="n">
        <v>1312793.860216099</v>
      </c>
      <c r="AK88" s="29" t="n">
        <v>2232255.403959262</v>
      </c>
      <c r="AL88" s="29" t="n">
        <v>1100319.684500523</v>
      </c>
      <c r="AM88" s="29" t="n">
        <v>955202.6893938184</v>
      </c>
      <c r="AN88" s="29" t="n">
        <v>1591290.313222323</v>
      </c>
      <c r="AO88" s="29" t="n">
        <v>526894.2165615924</v>
      </c>
      <c r="AP88" s="29" t="n">
        <v>1347041.10560786</v>
      </c>
      <c r="AQ88" s="29" t="n">
        <v>6927071.960278854</v>
      </c>
      <c r="AR88" s="29" t="n">
        <v>585774.8240216312</v>
      </c>
      <c r="AS88" s="29" t="n">
        <v>1506460.905540185</v>
      </c>
      <c r="AT88" s="29" t="n">
        <v>239658.8062915158</v>
      </c>
      <c r="AU88" s="29" t="n">
        <v>2038209.516226076</v>
      </c>
      <c r="AV88" s="29" t="n">
        <v>829681.0453912299</v>
      </c>
      <c r="AW88" s="29" t="n">
        <v>286234.0754721481</v>
      </c>
      <c r="AX88" s="29" t="n">
        <v>1162591.124513141</v>
      </c>
      <c r="AY88" s="29" t="n">
        <v>932468.9157045321</v>
      </c>
      <c r="AZ88" s="29" t="n">
        <v>1862999.653337798</v>
      </c>
      <c r="BA88" s="29" t="n">
        <v>965633.4804454991</v>
      </c>
      <c r="BB88" s="29" t="n">
        <v>1841940.013023556</v>
      </c>
      <c r="BC88" s="29" t="n">
        <v>469603.8765742288</v>
      </c>
      <c r="BD88" s="29" t="n">
        <v>35890.21323833342</v>
      </c>
      <c r="BE88" s="29" t="n">
        <v>293464.8962231759</v>
      </c>
      <c r="BF88" s="29" t="n">
        <v>201063.0579126439</v>
      </c>
      <c r="BG88" s="29" t="n">
        <v>803841.9367711085</v>
      </c>
      <c r="BH88" s="29" t="n">
        <v>1686943.31604708</v>
      </c>
      <c r="BI88" s="29" t="n">
        <v>54641.84949951019</v>
      </c>
      <c r="BJ88" s="29" t="n">
        <v>287203.6088107212</v>
      </c>
      <c r="BK88" s="29" t="n">
        <v>3802546.637884915</v>
      </c>
      <c r="BL88" s="29" t="n">
        <v>1309485.272409665</v>
      </c>
      <c r="BM88" s="29" t="n">
        <v>720253.1683861538</v>
      </c>
      <c r="BN88" s="29" t="n">
        <v>562246.7087101822</v>
      </c>
      <c r="BO88" s="29" t="n">
        <v>565252.3847206098</v>
      </c>
      <c r="BP88" s="29" t="n">
        <v>120724.6439257244</v>
      </c>
      <c r="BQ88" s="29" t="n">
        <v>63846.32655372378</v>
      </c>
      <c r="BR88" s="29" t="n">
        <v>12359.55869873275</v>
      </c>
      <c r="BS88" s="29" t="n">
        <v>51893.75205401356</v>
      </c>
      <c r="BT88" s="29" t="n">
        <v>1318912.387967213</v>
      </c>
      <c r="BU88" s="29" t="n">
        <v>1901335.606578778</v>
      </c>
      <c r="BV88" s="29" t="n">
        <v>4072593.903925091</v>
      </c>
      <c r="BW88" s="29" t="n">
        <v>211.7882276291538</v>
      </c>
      <c r="BX88" s="29" t="n">
        <v>164494.5023772414</v>
      </c>
      <c r="BY88" s="29" t="n">
        <v>13729376.7576995</v>
      </c>
      <c r="BZ88" s="29" t="n">
        <v>70600.94300429204</v>
      </c>
      <c r="CA88" s="29" t="n">
        <v>2273115.973163239</v>
      </c>
      <c r="CB88" s="29" t="n">
        <v>29659.34833848029</v>
      </c>
      <c r="CC88" s="29" t="n">
        <v>65462.71335693414</v>
      </c>
      <c r="CD88" s="29" t="n">
        <v>900363.8901028351</v>
      </c>
      <c r="CE88" s="29" t="n">
        <v>219152.7767185557</v>
      </c>
      <c r="CF88" s="29" t="n">
        <v>92578.04853182798</v>
      </c>
      <c r="CG88" s="29" t="n">
        <v>708300.6359545971</v>
      </c>
      <c r="CH88" s="29" t="n">
        <v>1222369.017466141</v>
      </c>
      <c r="CI88" s="29" t="n">
        <v>269396.3297238213</v>
      </c>
      <c r="CJ88" s="29" t="n">
        <v>2027521.260063188</v>
      </c>
      <c r="CK88" s="29" t="n">
        <v>302497.0012343589</v>
      </c>
      <c r="CL88" s="29" t="n">
        <v>983911.5079963851</v>
      </c>
      <c r="CM88" s="29" t="n">
        <v>229870.8159437886</v>
      </c>
      <c r="CN88" s="29" t="n">
        <v>137.7271169977269</v>
      </c>
      <c r="CO88" s="29" t="n">
        <v>86.06734382569388</v>
      </c>
      <c r="CP88" s="29" t="n">
        <v>53229.09211117779</v>
      </c>
      <c r="CQ88" s="29" t="n">
        <v>38338.48489195636</v>
      </c>
      <c r="CR88" s="29" t="n">
        <v>1113822.975672266</v>
      </c>
      <c r="CS88" s="29" t="n">
        <v>273711.5761134033</v>
      </c>
      <c r="CT88" s="29" t="n">
        <v>249942.0548620725</v>
      </c>
      <c r="CU88" s="29" t="n">
        <v>3751755.850071969</v>
      </c>
      <c r="CV88" s="29" t="n">
        <v>13337086.88262135</v>
      </c>
      <c r="CW88" s="29" t="n">
        <v>4746209.575762987</v>
      </c>
      <c r="CX88" s="29" t="n">
        <v>2492410.440959329</v>
      </c>
      <c r="CY88" s="29" t="n">
        <v>4864995.421718042</v>
      </c>
      <c r="CZ88" s="29" t="n">
        <v>3311081.080051261</v>
      </c>
      <c r="DA88" s="29" t="n">
        <v>105906.6125962141</v>
      </c>
      <c r="DB88" s="29" t="n">
        <v>3021938.947297277</v>
      </c>
      <c r="DC88" s="29" t="n">
        <v>3232052.411422126</v>
      </c>
      <c r="DD88" s="29" t="n">
        <v>291434.6216129001</v>
      </c>
      <c r="DE88" s="29" t="n">
        <v>0</v>
      </c>
      <c r="DF88" s="29">
        <f>SUM(C88:DE88)</f>
        <v/>
      </c>
      <c r="DG88" s="29" t="n">
        <v>0</v>
      </c>
      <c r="DH88" s="29" t="n">
        <v>0</v>
      </c>
      <c r="DI88" s="29" t="n">
        <v>617232027.2636973</v>
      </c>
      <c r="DJ88" s="29" t="n">
        <v>0</v>
      </c>
      <c r="DK88" s="29">
        <f>SUM(DG88:DJ88)</f>
        <v/>
      </c>
      <c r="DL88" s="29">
        <f>DF88+DK88</f>
        <v/>
      </c>
    </row>
    <row r="89">
      <c r="A89" s="30" t="inlineStr">
        <is>
          <t>601</t>
        </is>
      </c>
      <c r="B89" s="30" t="inlineStr">
        <is>
          <t>Servicio de transporte ferroviario</t>
        </is>
      </c>
      <c r="C89" s="31" t="n">
        <v>3625118</v>
      </c>
      <c r="D89" s="31" t="n">
        <v>0</v>
      </c>
      <c r="E89" s="31" t="n">
        <v>0</v>
      </c>
      <c r="F89" s="31" t="n">
        <v>0</v>
      </c>
      <c r="G89" s="31" t="n">
        <v>0</v>
      </c>
      <c r="H89" s="31" t="n">
        <v>365060.0000000001</v>
      </c>
      <c r="I89" s="31" t="n">
        <v>0</v>
      </c>
      <c r="J89" s="31" t="n">
        <v>0</v>
      </c>
      <c r="K89" s="31" t="n">
        <v>0</v>
      </c>
      <c r="L89" s="31" t="n">
        <v>0</v>
      </c>
      <c r="M89" s="31" t="n">
        <v>0</v>
      </c>
      <c r="N89" s="31" t="n">
        <v>0</v>
      </c>
      <c r="O89" s="31" t="n">
        <v>0</v>
      </c>
      <c r="P89" s="31" t="n">
        <v>0</v>
      </c>
      <c r="Q89" s="31" t="n">
        <v>0</v>
      </c>
      <c r="R89" s="31" t="n">
        <v>0</v>
      </c>
      <c r="S89" s="31" t="n">
        <v>0</v>
      </c>
      <c r="T89" s="31" t="n">
        <v>0</v>
      </c>
      <c r="U89" s="31" t="n">
        <v>0</v>
      </c>
      <c r="V89" s="31" t="n">
        <v>0</v>
      </c>
      <c r="W89" s="31" t="n">
        <v>0</v>
      </c>
      <c r="X89" s="31" t="n">
        <v>0</v>
      </c>
      <c r="Y89" s="31" t="n">
        <v>0</v>
      </c>
      <c r="Z89" s="31" t="n">
        <v>0</v>
      </c>
      <c r="AA89" s="31" t="n">
        <v>0</v>
      </c>
      <c r="AB89" s="31" t="n">
        <v>0</v>
      </c>
      <c r="AC89" s="31" t="n">
        <v>0</v>
      </c>
      <c r="AD89" s="31" t="n">
        <v>0</v>
      </c>
      <c r="AE89" s="31" t="n">
        <v>0</v>
      </c>
      <c r="AF89" s="31" t="n">
        <v>0</v>
      </c>
      <c r="AG89" s="31" t="n">
        <v>0</v>
      </c>
      <c r="AH89" s="31" t="n">
        <v>0</v>
      </c>
      <c r="AI89" s="31" t="n">
        <v>0</v>
      </c>
      <c r="AJ89" s="31" t="n">
        <v>0</v>
      </c>
      <c r="AK89" s="31" t="n">
        <v>0</v>
      </c>
      <c r="AL89" s="31" t="n">
        <v>0</v>
      </c>
      <c r="AM89" s="31" t="n">
        <v>0</v>
      </c>
      <c r="AN89" s="31" t="n">
        <v>0</v>
      </c>
      <c r="AO89" s="31" t="n">
        <v>0</v>
      </c>
      <c r="AP89" s="31" t="n">
        <v>0</v>
      </c>
      <c r="AQ89" s="31" t="n">
        <v>0</v>
      </c>
      <c r="AR89" s="31" t="n">
        <v>0</v>
      </c>
      <c r="AS89" s="31" t="n">
        <v>0</v>
      </c>
      <c r="AT89" s="31" t="n">
        <v>0</v>
      </c>
      <c r="AU89" s="31" t="n">
        <v>0</v>
      </c>
      <c r="AV89" s="31" t="n">
        <v>0</v>
      </c>
      <c r="AW89" s="31" t="n">
        <v>0</v>
      </c>
      <c r="AX89" s="31" t="n">
        <v>0</v>
      </c>
      <c r="AY89" s="31" t="n">
        <v>0</v>
      </c>
      <c r="AZ89" s="31" t="n">
        <v>0</v>
      </c>
      <c r="BA89" s="31" t="n">
        <v>0</v>
      </c>
      <c r="BB89" s="31" t="n">
        <v>0</v>
      </c>
      <c r="BC89" s="31" t="n">
        <v>0</v>
      </c>
      <c r="BD89" s="31" t="n">
        <v>0</v>
      </c>
      <c r="BE89" s="31" t="n">
        <v>0</v>
      </c>
      <c r="BF89" s="31" t="n">
        <v>0</v>
      </c>
      <c r="BG89" s="31" t="n">
        <v>0</v>
      </c>
      <c r="BH89" s="31" t="n">
        <v>0</v>
      </c>
      <c r="BI89" s="31" t="n">
        <v>0</v>
      </c>
      <c r="BJ89" s="31" t="n">
        <v>0</v>
      </c>
      <c r="BK89" s="31" t="n">
        <v>0</v>
      </c>
      <c r="BL89" s="31" t="n">
        <v>0</v>
      </c>
      <c r="BM89" s="31" t="n">
        <v>0</v>
      </c>
      <c r="BN89" s="31" t="n">
        <v>0</v>
      </c>
      <c r="BO89" s="31" t="n">
        <v>0</v>
      </c>
      <c r="BP89" s="31" t="n">
        <v>0</v>
      </c>
      <c r="BQ89" s="31" t="n">
        <v>0</v>
      </c>
      <c r="BR89" s="31" t="n">
        <v>0</v>
      </c>
      <c r="BS89" s="31" t="n">
        <v>0</v>
      </c>
      <c r="BT89" s="31" t="n">
        <v>0</v>
      </c>
      <c r="BU89" s="31" t="n">
        <v>0</v>
      </c>
      <c r="BV89" s="31" t="n">
        <v>0</v>
      </c>
      <c r="BW89" s="31" t="n">
        <v>0</v>
      </c>
      <c r="BX89" s="31" t="n">
        <v>24742.1177113859</v>
      </c>
      <c r="BY89" s="31" t="n">
        <v>0</v>
      </c>
      <c r="BZ89" s="31" t="n">
        <v>0</v>
      </c>
      <c r="CA89" s="31" t="n">
        <v>0</v>
      </c>
      <c r="CB89" s="31" t="n">
        <v>0</v>
      </c>
      <c r="CC89" s="31" t="n">
        <v>0</v>
      </c>
      <c r="CD89" s="31" t="n">
        <v>0</v>
      </c>
      <c r="CE89" s="31" t="n">
        <v>0</v>
      </c>
      <c r="CF89" s="31" t="n">
        <v>1439281.96704458</v>
      </c>
      <c r="CG89" s="31" t="n">
        <v>52099.00106213461</v>
      </c>
      <c r="CH89" s="31" t="n">
        <v>26233.7162541681</v>
      </c>
      <c r="CI89" s="31" t="n">
        <v>0</v>
      </c>
      <c r="CJ89" s="31" t="n">
        <v>0</v>
      </c>
      <c r="CK89" s="31" t="n">
        <v>0</v>
      </c>
      <c r="CL89" s="31" t="n">
        <v>326621.0909805865</v>
      </c>
      <c r="CM89" s="31" t="n">
        <v>0</v>
      </c>
      <c r="CN89" s="31" t="n">
        <v>0</v>
      </c>
      <c r="CO89" s="31" t="n">
        <v>0</v>
      </c>
      <c r="CP89" s="31" t="n">
        <v>0</v>
      </c>
      <c r="CQ89" s="31" t="n">
        <v>20350.74638070954</v>
      </c>
      <c r="CR89" s="31" t="n">
        <v>1642</v>
      </c>
      <c r="CS89" s="31" t="n">
        <v>0</v>
      </c>
      <c r="CT89" s="31" t="n">
        <v>0</v>
      </c>
      <c r="CU89" s="31" t="n">
        <v>71976.46543067473</v>
      </c>
      <c r="CV89" s="31" t="n">
        <v>0</v>
      </c>
      <c r="CW89" s="31" t="n">
        <v>0</v>
      </c>
      <c r="CX89" s="31" t="n">
        <v>0</v>
      </c>
      <c r="CY89" s="31" t="n">
        <v>0</v>
      </c>
      <c r="CZ89" s="31" t="n">
        <v>0</v>
      </c>
      <c r="DA89" s="31" t="n">
        <v>0</v>
      </c>
      <c r="DB89" s="31" t="n">
        <v>0</v>
      </c>
      <c r="DC89" s="31" t="n">
        <v>86320.85040639919</v>
      </c>
      <c r="DD89" s="31" t="n">
        <v>0</v>
      </c>
      <c r="DE89" s="31" t="n">
        <v>0</v>
      </c>
      <c r="DF89" s="31">
        <f>SUM(C89:DE89)</f>
        <v/>
      </c>
      <c r="DG89" s="31" t="n">
        <v>0</v>
      </c>
      <c r="DH89" s="31" t="n">
        <v>0</v>
      </c>
      <c r="DI89" s="31" t="n">
        <v>8533459.586322201</v>
      </c>
      <c r="DJ89" s="31" t="n">
        <v>0</v>
      </c>
      <c r="DK89" s="31">
        <f>SUM(DG89:DJ89)</f>
        <v/>
      </c>
      <c r="DL89" s="31">
        <f>DF89+DK89</f>
        <v/>
      </c>
    </row>
    <row r="90">
      <c r="A90" s="28" t="inlineStr">
        <is>
          <t>602</t>
        </is>
      </c>
      <c r="B90" s="28" t="inlineStr">
        <is>
          <t>Servicio de transporte automotor</t>
        </is>
      </c>
      <c r="C90" s="29" t="n">
        <v>102522202.9531875</v>
      </c>
      <c r="D90" s="29" t="n">
        <v>5121423.311711721</v>
      </c>
      <c r="E90" s="29" t="n">
        <v>0</v>
      </c>
      <c r="F90" s="29" t="n">
        <v>0</v>
      </c>
      <c r="G90" s="29" t="n">
        <v>0</v>
      </c>
      <c r="H90" s="29" t="n">
        <v>0</v>
      </c>
      <c r="I90" s="29" t="n">
        <v>263717.5289901517</v>
      </c>
      <c r="J90" s="29" t="n">
        <v>0</v>
      </c>
      <c r="K90" s="29" t="n">
        <v>0</v>
      </c>
      <c r="L90" s="29" t="n">
        <v>791917.0245014725</v>
      </c>
      <c r="M90" s="29" t="n">
        <v>2051049.996625613</v>
      </c>
      <c r="N90" s="29" t="n">
        <v>3608847.170146119</v>
      </c>
      <c r="O90" s="29" t="n">
        <v>779340.5851383751</v>
      </c>
      <c r="P90" s="29" t="n">
        <v>1404779.377569895</v>
      </c>
      <c r="Q90" s="29" t="n">
        <v>3084538.662319244</v>
      </c>
      <c r="R90" s="29" t="n">
        <v>7834120.56961435</v>
      </c>
      <c r="S90" s="29" t="n">
        <v>3958808.883784237</v>
      </c>
      <c r="T90" s="29" t="n">
        <v>1312162.989592472</v>
      </c>
      <c r="U90" s="29" t="n">
        <v>3997043.575755775</v>
      </c>
      <c r="V90" s="29" t="n">
        <v>1684813.851816228</v>
      </c>
      <c r="W90" s="29" t="n">
        <v>934717.5253090365</v>
      </c>
      <c r="X90" s="29" t="n">
        <v>257720.4082314731</v>
      </c>
      <c r="Y90" s="29" t="n">
        <v>3236950.932438548</v>
      </c>
      <c r="Z90" s="29" t="n">
        <v>346193.1654986991</v>
      </c>
      <c r="AA90" s="29" t="n">
        <v>1838764.717667321</v>
      </c>
      <c r="AB90" s="29" t="n">
        <v>3137331.913333653</v>
      </c>
      <c r="AC90" s="29" t="n">
        <v>4833011.505280674</v>
      </c>
      <c r="AD90" s="29" t="n">
        <v>493937.850969206</v>
      </c>
      <c r="AE90" s="29" t="n">
        <v>1187643.381674138</v>
      </c>
      <c r="AF90" s="29" t="n">
        <v>194764.7506530174</v>
      </c>
      <c r="AG90" s="29" t="n">
        <v>263150.1771494335</v>
      </c>
      <c r="AH90" s="29" t="n">
        <v>190587.2164556736</v>
      </c>
      <c r="AI90" s="29" t="n">
        <v>1836809.15690572</v>
      </c>
      <c r="AJ90" s="29" t="n">
        <v>3265883.02198941</v>
      </c>
      <c r="AK90" s="29" t="n">
        <v>768954.1695988937</v>
      </c>
      <c r="AL90" s="29" t="n">
        <v>441365.641326702</v>
      </c>
      <c r="AM90" s="29" t="n">
        <v>15436754.90565185</v>
      </c>
      <c r="AN90" s="29" t="n">
        <v>3708456.492747683</v>
      </c>
      <c r="AO90" s="29" t="n">
        <v>373385.6071220259</v>
      </c>
      <c r="AP90" s="29" t="n">
        <v>1658256.121937958</v>
      </c>
      <c r="AQ90" s="29" t="n">
        <v>4167818.336151535</v>
      </c>
      <c r="AR90" s="29" t="n">
        <v>443088.2076451562</v>
      </c>
      <c r="AS90" s="29" t="n">
        <v>1732567.348583289</v>
      </c>
      <c r="AT90" s="29" t="n">
        <v>416275.8582258586</v>
      </c>
      <c r="AU90" s="29" t="n">
        <v>5118951.345482601</v>
      </c>
      <c r="AV90" s="29" t="n">
        <v>6362451.11656783</v>
      </c>
      <c r="AW90" s="29" t="n">
        <v>211141.9123176512</v>
      </c>
      <c r="AX90" s="29" t="n">
        <v>305446.5176267703</v>
      </c>
      <c r="AY90" s="29" t="n">
        <v>495023.7569043471</v>
      </c>
      <c r="AZ90" s="29" t="n">
        <v>844830.3804477566</v>
      </c>
      <c r="BA90" s="29" t="n">
        <v>396096.1217517818</v>
      </c>
      <c r="BB90" s="29" t="n">
        <v>731039.127426879</v>
      </c>
      <c r="BC90" s="29" t="n">
        <v>461287.610164915</v>
      </c>
      <c r="BD90" s="29" t="n">
        <v>25171.82031860447</v>
      </c>
      <c r="BE90" s="29" t="n">
        <v>193357.6278369504</v>
      </c>
      <c r="BF90" s="29" t="n">
        <v>160316.2727435601</v>
      </c>
      <c r="BG90" s="29" t="n">
        <v>126107.2843279762</v>
      </c>
      <c r="BH90" s="29" t="n">
        <v>1100281.358499384</v>
      </c>
      <c r="BI90" s="29" t="n">
        <v>181926.356876778</v>
      </c>
      <c r="BJ90" s="29" t="n">
        <v>162430.0777224092</v>
      </c>
      <c r="BK90" s="29" t="n">
        <v>1387652.577082488</v>
      </c>
      <c r="BL90" s="29" t="n">
        <v>772681.2512722828</v>
      </c>
      <c r="BM90" s="29" t="n">
        <v>122866.6112561208</v>
      </c>
      <c r="BN90" s="29" t="n">
        <v>607160.4989729226</v>
      </c>
      <c r="BO90" s="29" t="n">
        <v>552607.0732705614</v>
      </c>
      <c r="BP90" s="29" t="n">
        <v>2143846.154555822</v>
      </c>
      <c r="BQ90" s="29" t="n">
        <v>1459718.817139789</v>
      </c>
      <c r="BR90" s="29" t="n">
        <v>3565.228210657374</v>
      </c>
      <c r="BS90" s="29" t="n">
        <v>0</v>
      </c>
      <c r="BT90" s="29" t="n">
        <v>986508.6701173639</v>
      </c>
      <c r="BU90" s="29" t="n">
        <v>10937343.5847559</v>
      </c>
      <c r="BV90" s="29" t="n">
        <v>6633562.40135712</v>
      </c>
      <c r="BW90" s="29" t="n">
        <v>0</v>
      </c>
      <c r="BX90" s="29" t="n">
        <v>118401.1032413949</v>
      </c>
      <c r="BY90" s="29" t="n">
        <v>100443</v>
      </c>
      <c r="BZ90" s="29" t="n">
        <v>1732.14564494524</v>
      </c>
      <c r="CA90" s="29" t="n">
        <v>0</v>
      </c>
      <c r="CB90" s="29" t="n">
        <v>0</v>
      </c>
      <c r="CC90" s="29" t="n">
        <v>0</v>
      </c>
      <c r="CD90" s="29" t="n">
        <v>399341.4080300034</v>
      </c>
      <c r="CE90" s="29" t="n">
        <v>2487.387225243419</v>
      </c>
      <c r="CF90" s="29" t="n">
        <v>2122439.099618424</v>
      </c>
      <c r="CG90" s="29" t="n">
        <v>248480.2399505993</v>
      </c>
      <c r="CH90" s="29" t="n">
        <v>104258.160194812</v>
      </c>
      <c r="CI90" s="29" t="n">
        <v>64100.84978490951</v>
      </c>
      <c r="CJ90" s="29" t="n">
        <v>0</v>
      </c>
      <c r="CK90" s="29" t="n">
        <v>0</v>
      </c>
      <c r="CL90" s="29" t="n">
        <v>1693719.450614178</v>
      </c>
      <c r="CM90" s="29" t="n">
        <v>47346.4131453532</v>
      </c>
      <c r="CN90" s="29" t="n">
        <v>0</v>
      </c>
      <c r="CO90" s="29" t="n">
        <v>0</v>
      </c>
      <c r="CP90" s="29" t="n">
        <v>1575044.921876175</v>
      </c>
      <c r="CQ90" s="29" t="n">
        <v>320848.8950547233</v>
      </c>
      <c r="CR90" s="29" t="n">
        <v>669500.0224203373</v>
      </c>
      <c r="CS90" s="29" t="n">
        <v>435.6095318581656</v>
      </c>
      <c r="CT90" s="29" t="n">
        <v>397.7594062312548</v>
      </c>
      <c r="CU90" s="29" t="n">
        <v>2886458.679300768</v>
      </c>
      <c r="CV90" s="29" t="n">
        <v>21220.681329257</v>
      </c>
      <c r="CW90" s="29" t="n">
        <v>4457866.393192833</v>
      </c>
      <c r="CX90" s="29" t="n">
        <v>1309992.613458881</v>
      </c>
      <c r="CY90" s="29" t="n">
        <v>1050472.991707031</v>
      </c>
      <c r="CZ90" s="29" t="n">
        <v>341676.6563261189</v>
      </c>
      <c r="DA90" s="29" t="n">
        <v>499699.9866483866</v>
      </c>
      <c r="DB90" s="29" t="n">
        <v>859989</v>
      </c>
      <c r="DC90" s="29" t="n">
        <v>998706.8572059125</v>
      </c>
      <c r="DD90" s="29" t="n">
        <v>0</v>
      </c>
      <c r="DE90" s="29" t="n">
        <v>0</v>
      </c>
      <c r="DF90" s="29">
        <f>SUM(C90:DE90)</f>
        <v/>
      </c>
      <c r="DG90" s="29" t="n">
        <v>0</v>
      </c>
      <c r="DH90" s="29" t="n">
        <v>0</v>
      </c>
      <c r="DI90" s="29" t="n">
        <v>379360199.1952859</v>
      </c>
      <c r="DJ90" s="29" t="n">
        <v>0</v>
      </c>
      <c r="DK90" s="29">
        <f>SUM(DG90:DJ90)</f>
        <v/>
      </c>
      <c r="DL90" s="29">
        <f>DF90+DK90</f>
        <v/>
      </c>
    </row>
    <row r="91">
      <c r="A91" s="30" t="inlineStr">
        <is>
          <t>603</t>
        </is>
      </c>
      <c r="B91" s="30" t="inlineStr">
        <is>
          <t>Transporte por tuberías</t>
        </is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  <c r="H91" s="31" t="n">
        <v>0</v>
      </c>
      <c r="I91" s="31" t="n">
        <v>0</v>
      </c>
      <c r="J91" s="31" t="n">
        <v>1091245.648968681</v>
      </c>
      <c r="K91" s="31" t="n">
        <v>0</v>
      </c>
      <c r="L91" s="31" t="n">
        <v>0</v>
      </c>
      <c r="M91" s="31" t="n">
        <v>0</v>
      </c>
      <c r="N91" s="31" t="n">
        <v>0</v>
      </c>
      <c r="O91" s="31" t="n">
        <v>0</v>
      </c>
      <c r="P91" s="31" t="n">
        <v>0</v>
      </c>
      <c r="Q91" s="31" t="n">
        <v>0</v>
      </c>
      <c r="R91" s="31" t="n">
        <v>0</v>
      </c>
      <c r="S91" s="31" t="n">
        <v>0</v>
      </c>
      <c r="T91" s="31" t="n">
        <v>0</v>
      </c>
      <c r="U91" s="31" t="n">
        <v>0</v>
      </c>
      <c r="V91" s="31" t="n">
        <v>0</v>
      </c>
      <c r="W91" s="31" t="n">
        <v>0</v>
      </c>
      <c r="X91" s="31" t="n">
        <v>0</v>
      </c>
      <c r="Y91" s="31" t="n">
        <v>0</v>
      </c>
      <c r="Z91" s="31" t="n">
        <v>0</v>
      </c>
      <c r="AA91" s="31" t="n">
        <v>0</v>
      </c>
      <c r="AB91" s="31" t="n">
        <v>0</v>
      </c>
      <c r="AC91" s="31" t="n">
        <v>0</v>
      </c>
      <c r="AD91" s="31" t="n">
        <v>0</v>
      </c>
      <c r="AE91" s="31" t="n">
        <v>0</v>
      </c>
      <c r="AF91" s="31" t="n">
        <v>0</v>
      </c>
      <c r="AG91" s="31" t="n">
        <v>0</v>
      </c>
      <c r="AH91" s="31" t="n">
        <v>0</v>
      </c>
      <c r="AI91" s="31" t="n">
        <v>0</v>
      </c>
      <c r="AJ91" s="31" t="n">
        <v>0</v>
      </c>
      <c r="AK91" s="31" t="n">
        <v>0</v>
      </c>
      <c r="AL91" s="31" t="n">
        <v>0</v>
      </c>
      <c r="AM91" s="31" t="n">
        <v>0</v>
      </c>
      <c r="AN91" s="31" t="n">
        <v>0</v>
      </c>
      <c r="AO91" s="31" t="n">
        <v>0</v>
      </c>
      <c r="AP91" s="31" t="n">
        <v>0</v>
      </c>
      <c r="AQ91" s="31" t="n">
        <v>0</v>
      </c>
      <c r="AR91" s="31" t="n">
        <v>0</v>
      </c>
      <c r="AS91" s="31" t="n">
        <v>0</v>
      </c>
      <c r="AT91" s="31" t="n">
        <v>0</v>
      </c>
      <c r="AU91" s="31" t="n">
        <v>0</v>
      </c>
      <c r="AV91" s="31" t="n">
        <v>0</v>
      </c>
      <c r="AW91" s="31" t="n">
        <v>0</v>
      </c>
      <c r="AX91" s="31" t="n">
        <v>0</v>
      </c>
      <c r="AY91" s="31" t="n">
        <v>0</v>
      </c>
      <c r="AZ91" s="31" t="n">
        <v>0</v>
      </c>
      <c r="BA91" s="31" t="n">
        <v>0</v>
      </c>
      <c r="BB91" s="31" t="n">
        <v>0</v>
      </c>
      <c r="BC91" s="31" t="n">
        <v>0</v>
      </c>
      <c r="BD91" s="31" t="n">
        <v>0</v>
      </c>
      <c r="BE91" s="31" t="n">
        <v>0</v>
      </c>
      <c r="BF91" s="31" t="n">
        <v>0</v>
      </c>
      <c r="BG91" s="31" t="n">
        <v>0</v>
      </c>
      <c r="BH91" s="31" t="n">
        <v>0</v>
      </c>
      <c r="BI91" s="31" t="n">
        <v>0</v>
      </c>
      <c r="BJ91" s="31" t="n">
        <v>0</v>
      </c>
      <c r="BK91" s="31" t="n">
        <v>0</v>
      </c>
      <c r="BL91" s="31" t="n">
        <v>0</v>
      </c>
      <c r="BM91" s="31" t="n">
        <v>0</v>
      </c>
      <c r="BN91" s="31" t="n">
        <v>0</v>
      </c>
      <c r="BO91" s="31" t="n">
        <v>0</v>
      </c>
      <c r="BP91" s="31" t="n">
        <v>0</v>
      </c>
      <c r="BQ91" s="31" t="n">
        <v>14238460</v>
      </c>
      <c r="BR91" s="31" t="n">
        <v>0</v>
      </c>
      <c r="BS91" s="31" t="n">
        <v>0</v>
      </c>
      <c r="BT91" s="31" t="n">
        <v>0</v>
      </c>
      <c r="BU91" s="31" t="n">
        <v>0</v>
      </c>
      <c r="BV91" s="31" t="n">
        <v>0</v>
      </c>
      <c r="BW91" s="31" t="n">
        <v>0</v>
      </c>
      <c r="BX91" s="31" t="n">
        <v>0</v>
      </c>
      <c r="BY91" s="31" t="n">
        <v>0</v>
      </c>
      <c r="BZ91" s="31" t="n">
        <v>0</v>
      </c>
      <c r="CA91" s="31" t="n">
        <v>0</v>
      </c>
      <c r="CB91" s="31" t="n">
        <v>0</v>
      </c>
      <c r="CC91" s="31" t="n">
        <v>0</v>
      </c>
      <c r="CD91" s="31" t="n">
        <v>0</v>
      </c>
      <c r="CE91" s="31" t="n">
        <v>0</v>
      </c>
      <c r="CF91" s="31" t="n">
        <v>0</v>
      </c>
      <c r="CG91" s="31" t="n">
        <v>0</v>
      </c>
      <c r="CH91" s="31" t="n">
        <v>0</v>
      </c>
      <c r="CI91" s="31" t="n">
        <v>0</v>
      </c>
      <c r="CJ91" s="31" t="n">
        <v>0</v>
      </c>
      <c r="CK91" s="31" t="n">
        <v>0</v>
      </c>
      <c r="CL91" s="31" t="n">
        <v>0</v>
      </c>
      <c r="CM91" s="31" t="n">
        <v>0</v>
      </c>
      <c r="CN91" s="31" t="n">
        <v>0</v>
      </c>
      <c r="CO91" s="31" t="n">
        <v>0</v>
      </c>
      <c r="CP91" s="31" t="n">
        <v>0</v>
      </c>
      <c r="CQ91" s="31" t="n">
        <v>0</v>
      </c>
      <c r="CR91" s="31" t="n">
        <v>0</v>
      </c>
      <c r="CS91" s="31" t="n">
        <v>0</v>
      </c>
      <c r="CT91" s="31" t="n">
        <v>0</v>
      </c>
      <c r="CU91" s="31" t="n">
        <v>0</v>
      </c>
      <c r="CV91" s="31" t="n">
        <v>0</v>
      </c>
      <c r="CW91" s="31" t="n">
        <v>0</v>
      </c>
      <c r="CX91" s="31" t="n">
        <v>0</v>
      </c>
      <c r="CY91" s="31" t="n">
        <v>0</v>
      </c>
      <c r="CZ91" s="31" t="n">
        <v>0</v>
      </c>
      <c r="DA91" s="31" t="n">
        <v>0</v>
      </c>
      <c r="DB91" s="31" t="n">
        <v>0</v>
      </c>
      <c r="DC91" s="31" t="n">
        <v>0</v>
      </c>
      <c r="DD91" s="31" t="n">
        <v>0</v>
      </c>
      <c r="DE91" s="31" t="n">
        <v>0</v>
      </c>
      <c r="DF91" s="31">
        <f>SUM(C91:DE91)</f>
        <v/>
      </c>
      <c r="DG91" s="31" t="n">
        <v>0</v>
      </c>
      <c r="DH91" s="31" t="n">
        <v>0</v>
      </c>
      <c r="DI91" s="31" t="n">
        <v>0</v>
      </c>
      <c r="DJ91" s="31" t="n">
        <v>0</v>
      </c>
      <c r="DK91" s="31">
        <f>SUM(DG91:DJ91)</f>
        <v/>
      </c>
      <c r="DL91" s="31">
        <f>DF91+DK91</f>
        <v/>
      </c>
    </row>
    <row r="92">
      <c r="A92" s="28" t="inlineStr">
        <is>
          <t>61</t>
        </is>
      </c>
      <c r="B92" s="28" t="inlineStr">
        <is>
          <t>TRANSPORTE POR VÍA ACUÁTICA</t>
        </is>
      </c>
      <c r="C92" s="29" t="n">
        <v>0</v>
      </c>
      <c r="D92" s="29" t="n">
        <v>0</v>
      </c>
      <c r="E92" s="29" t="n">
        <v>0</v>
      </c>
      <c r="F92" s="29" t="n">
        <v>0</v>
      </c>
      <c r="G92" s="29" t="n">
        <v>0</v>
      </c>
      <c r="H92" s="29" t="n">
        <v>34377.3454382794</v>
      </c>
      <c r="I92" s="29" t="n">
        <v>6.472492715821</v>
      </c>
      <c r="J92" s="29" t="n">
        <v>0</v>
      </c>
      <c r="K92" s="29" t="n">
        <v>0</v>
      </c>
      <c r="L92" s="29" t="n">
        <v>0</v>
      </c>
      <c r="M92" s="29" t="n">
        <v>61.988870333023</v>
      </c>
      <c r="N92" s="29" t="n">
        <v>0</v>
      </c>
      <c r="O92" s="29" t="n">
        <v>0</v>
      </c>
      <c r="P92" s="29" t="n">
        <v>0</v>
      </c>
      <c r="Q92" s="29" t="n">
        <v>0</v>
      </c>
      <c r="R92" s="29" t="n">
        <v>0</v>
      </c>
      <c r="S92" s="29" t="n">
        <v>0</v>
      </c>
      <c r="T92" s="29" t="n">
        <v>0</v>
      </c>
      <c r="U92" s="29" t="n">
        <v>0</v>
      </c>
      <c r="V92" s="29" t="n">
        <v>0</v>
      </c>
      <c r="W92" s="29" t="n">
        <v>0</v>
      </c>
      <c r="X92" s="29" t="n">
        <v>0</v>
      </c>
      <c r="Y92" s="29" t="n">
        <v>0</v>
      </c>
      <c r="Z92" s="29" t="n">
        <v>0</v>
      </c>
      <c r="AA92" s="29" t="n">
        <v>0</v>
      </c>
      <c r="AB92" s="29" t="n">
        <v>0</v>
      </c>
      <c r="AC92" s="29" t="n">
        <v>0</v>
      </c>
      <c r="AD92" s="29" t="n">
        <v>0</v>
      </c>
      <c r="AE92" s="29" t="n">
        <v>0</v>
      </c>
      <c r="AF92" s="29" t="n">
        <v>0</v>
      </c>
      <c r="AG92" s="29" t="n">
        <v>0</v>
      </c>
      <c r="AH92" s="29" t="n">
        <v>0</v>
      </c>
      <c r="AI92" s="29" t="n">
        <v>0</v>
      </c>
      <c r="AJ92" s="29" t="n">
        <v>0</v>
      </c>
      <c r="AK92" s="29" t="n">
        <v>0</v>
      </c>
      <c r="AL92" s="29" t="n">
        <v>0</v>
      </c>
      <c r="AM92" s="29" t="n">
        <v>0</v>
      </c>
      <c r="AN92" s="29" t="n">
        <v>0</v>
      </c>
      <c r="AO92" s="29" t="n">
        <v>0</v>
      </c>
      <c r="AP92" s="29" t="n">
        <v>0</v>
      </c>
      <c r="AQ92" s="29" t="n">
        <v>0</v>
      </c>
      <c r="AR92" s="29" t="n">
        <v>0</v>
      </c>
      <c r="AS92" s="29" t="n">
        <v>0</v>
      </c>
      <c r="AT92" s="29" t="n">
        <v>0</v>
      </c>
      <c r="AU92" s="29" t="n">
        <v>0</v>
      </c>
      <c r="AV92" s="29" t="n">
        <v>0</v>
      </c>
      <c r="AW92" s="29" t="n">
        <v>0</v>
      </c>
      <c r="AX92" s="29" t="n">
        <v>0</v>
      </c>
      <c r="AY92" s="29" t="n">
        <v>0</v>
      </c>
      <c r="AZ92" s="29" t="n">
        <v>0</v>
      </c>
      <c r="BA92" s="29" t="n">
        <v>0</v>
      </c>
      <c r="BB92" s="29" t="n">
        <v>0</v>
      </c>
      <c r="BC92" s="29" t="n">
        <v>0</v>
      </c>
      <c r="BD92" s="29" t="n">
        <v>0</v>
      </c>
      <c r="BE92" s="29" t="n">
        <v>0</v>
      </c>
      <c r="BF92" s="29" t="n">
        <v>0</v>
      </c>
      <c r="BG92" s="29" t="n">
        <v>0</v>
      </c>
      <c r="BH92" s="29" t="n">
        <v>0</v>
      </c>
      <c r="BI92" s="29" t="n">
        <v>0</v>
      </c>
      <c r="BJ92" s="29" t="n">
        <v>0</v>
      </c>
      <c r="BK92" s="29" t="n">
        <v>0</v>
      </c>
      <c r="BL92" s="29" t="n">
        <v>0</v>
      </c>
      <c r="BM92" s="29" t="n">
        <v>0</v>
      </c>
      <c r="BN92" s="29" t="n">
        <v>0</v>
      </c>
      <c r="BO92" s="29" t="n">
        <v>0</v>
      </c>
      <c r="BP92" s="29" t="n">
        <v>0</v>
      </c>
      <c r="BQ92" s="29" t="n">
        <v>0</v>
      </c>
      <c r="BR92" s="29" t="n">
        <v>0</v>
      </c>
      <c r="BS92" s="29" t="n">
        <v>0</v>
      </c>
      <c r="BT92" s="29" t="n">
        <v>0</v>
      </c>
      <c r="BU92" s="29" t="n">
        <v>149644.841822363</v>
      </c>
      <c r="BV92" s="29" t="n">
        <v>0</v>
      </c>
      <c r="BW92" s="29" t="n">
        <v>0</v>
      </c>
      <c r="BX92" s="29" t="n">
        <v>0</v>
      </c>
      <c r="BY92" s="29" t="n">
        <v>0</v>
      </c>
      <c r="BZ92" s="29" t="n">
        <v>0</v>
      </c>
      <c r="CA92" s="29" t="n">
        <v>0</v>
      </c>
      <c r="CB92" s="29" t="n">
        <v>0</v>
      </c>
      <c r="CC92" s="29" t="n">
        <v>0</v>
      </c>
      <c r="CD92" s="29" t="n">
        <v>0</v>
      </c>
      <c r="CE92" s="29" t="n">
        <v>364804.6431672705</v>
      </c>
      <c r="CF92" s="29" t="n">
        <v>106946.078136484</v>
      </c>
      <c r="CG92" s="29" t="n">
        <v>192.288590537019</v>
      </c>
      <c r="CH92" s="29" t="n">
        <v>801.872558747841</v>
      </c>
      <c r="CI92" s="29" t="n">
        <v>493.0138066784559</v>
      </c>
      <c r="CJ92" s="29" t="n">
        <v>0</v>
      </c>
      <c r="CK92" s="29" t="n">
        <v>0</v>
      </c>
      <c r="CL92" s="29" t="n">
        <v>0</v>
      </c>
      <c r="CM92" s="29" t="n">
        <v>0</v>
      </c>
      <c r="CN92" s="29" t="n">
        <v>0</v>
      </c>
      <c r="CO92" s="29" t="n">
        <v>0</v>
      </c>
      <c r="CP92" s="29" t="n">
        <v>0</v>
      </c>
      <c r="CQ92" s="29" t="n">
        <v>0</v>
      </c>
      <c r="CR92" s="29" t="n">
        <v>10366.6599539941</v>
      </c>
      <c r="CS92" s="29" t="n">
        <v>0</v>
      </c>
      <c r="CT92" s="29" t="n">
        <v>0</v>
      </c>
      <c r="CU92" s="29" t="n">
        <v>25.910397028371</v>
      </c>
      <c r="CV92" s="29" t="n">
        <v>0</v>
      </c>
      <c r="CW92" s="29" t="n">
        <v>0</v>
      </c>
      <c r="CX92" s="29" t="n">
        <v>0</v>
      </c>
      <c r="CY92" s="29" t="n">
        <v>0</v>
      </c>
      <c r="CZ92" s="29" t="n">
        <v>0</v>
      </c>
      <c r="DA92" s="29" t="n">
        <v>0</v>
      </c>
      <c r="DB92" s="29" t="n">
        <v>0</v>
      </c>
      <c r="DC92" s="29" t="n">
        <v>0</v>
      </c>
      <c r="DD92" s="29" t="n">
        <v>0</v>
      </c>
      <c r="DE92" s="29" t="n">
        <v>0</v>
      </c>
      <c r="DF92" s="29">
        <f>SUM(C92:DE92)</f>
        <v/>
      </c>
      <c r="DG92" s="29" t="n">
        <v>0</v>
      </c>
      <c r="DH92" s="29" t="n">
        <v>0</v>
      </c>
      <c r="DI92" s="29" t="n">
        <v>2749124.369293509</v>
      </c>
      <c r="DJ92" s="29" t="n">
        <v>0</v>
      </c>
      <c r="DK92" s="29">
        <f>SUM(DG92:DJ92)</f>
        <v/>
      </c>
      <c r="DL92" s="29">
        <f>DF92+DK92</f>
        <v/>
      </c>
    </row>
    <row r="93">
      <c r="A93" s="30" t="inlineStr">
        <is>
          <t>62</t>
        </is>
      </c>
      <c r="B93" s="30" t="inlineStr">
        <is>
          <t>TRANSPORTE POR VÍA AÉREA</t>
        </is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0</v>
      </c>
      <c r="H93" s="31" t="n">
        <v>55546.82039000175</v>
      </c>
      <c r="I93" s="31" t="n">
        <v>4850.300419928099</v>
      </c>
      <c r="J93" s="31" t="n">
        <v>772260.8812199221</v>
      </c>
      <c r="K93" s="31" t="n">
        <v>859267.6711003555</v>
      </c>
      <c r="L93" s="31" t="n">
        <v>115935.5435751151</v>
      </c>
      <c r="M93" s="31" t="n">
        <v>46452.68168043849</v>
      </c>
      <c r="N93" s="31" t="n">
        <v>223165.5210597175</v>
      </c>
      <c r="O93" s="31" t="n">
        <v>192629.6809863102</v>
      </c>
      <c r="P93" s="31" t="n">
        <v>80321.80770028786</v>
      </c>
      <c r="Q93" s="31" t="n">
        <v>98922.34456249204</v>
      </c>
      <c r="R93" s="31" t="n">
        <v>138202.593184256</v>
      </c>
      <c r="S93" s="31" t="n">
        <v>127225.8033404047</v>
      </c>
      <c r="T93" s="31" t="n">
        <v>114070.9623197875</v>
      </c>
      <c r="U93" s="31" t="n">
        <v>160130.3773372827</v>
      </c>
      <c r="V93" s="31" t="n">
        <v>15187.4916234432</v>
      </c>
      <c r="W93" s="31" t="n">
        <v>119062.7476082186</v>
      </c>
      <c r="X93" s="31" t="n">
        <v>26270.58115315001</v>
      </c>
      <c r="Y93" s="31" t="n">
        <v>239208.8496748877</v>
      </c>
      <c r="Z93" s="31" t="n">
        <v>65191.33914681437</v>
      </c>
      <c r="AA93" s="31" t="n">
        <v>201349.9214664584</v>
      </c>
      <c r="AB93" s="31" t="n">
        <v>71547.41850276795</v>
      </c>
      <c r="AC93" s="31" t="n">
        <v>111801.1435637398</v>
      </c>
      <c r="AD93" s="31" t="n">
        <v>67736.14106937319</v>
      </c>
      <c r="AE93" s="31" t="n">
        <v>134701.8697453541</v>
      </c>
      <c r="AF93" s="31" t="n">
        <v>127998.1805032966</v>
      </c>
      <c r="AG93" s="31" t="n">
        <v>39713.43139122631</v>
      </c>
      <c r="AH93" s="31" t="n">
        <v>33117.51435060437</v>
      </c>
      <c r="AI93" s="31" t="n">
        <v>85065.65815730274</v>
      </c>
      <c r="AJ93" s="31" t="n">
        <v>200931.3350263069</v>
      </c>
      <c r="AK93" s="31" t="n">
        <v>413662.9661958793</v>
      </c>
      <c r="AL93" s="31" t="n">
        <v>187283.8728722164</v>
      </c>
      <c r="AM93" s="31" t="n">
        <v>126409.560519024</v>
      </c>
      <c r="AN93" s="31" t="n">
        <v>239663.1787166991</v>
      </c>
      <c r="AO93" s="31" t="n">
        <v>71946.82760423514</v>
      </c>
      <c r="AP93" s="31" t="n">
        <v>85216.57083576839</v>
      </c>
      <c r="AQ93" s="31" t="n">
        <v>1930662.409335807</v>
      </c>
      <c r="AR93" s="31" t="n">
        <v>112680.7016951855</v>
      </c>
      <c r="AS93" s="31" t="n">
        <v>441403.6257820561</v>
      </c>
      <c r="AT93" s="31" t="n">
        <v>41729.98829901354</v>
      </c>
      <c r="AU93" s="31" t="n">
        <v>326509.539319691</v>
      </c>
      <c r="AV93" s="31" t="n">
        <v>324248.2202741092</v>
      </c>
      <c r="AW93" s="31" t="n">
        <v>43787.4554816786</v>
      </c>
      <c r="AX93" s="31" t="n">
        <v>68251.82898944791</v>
      </c>
      <c r="AY93" s="31" t="n">
        <v>138436.5762964985</v>
      </c>
      <c r="AZ93" s="31" t="n">
        <v>292240.252836325</v>
      </c>
      <c r="BA93" s="31" t="n">
        <v>190864.945158866</v>
      </c>
      <c r="BB93" s="31" t="n">
        <v>382571.1055718159</v>
      </c>
      <c r="BC93" s="31" t="n">
        <v>108722.5698647839</v>
      </c>
      <c r="BD93" s="31" t="n">
        <v>17335.31658342545</v>
      </c>
      <c r="BE93" s="31" t="n">
        <v>141939.1758865023</v>
      </c>
      <c r="BF93" s="31" t="n">
        <v>44811.35637932259</v>
      </c>
      <c r="BG93" s="31" t="n">
        <v>55444.16070868899</v>
      </c>
      <c r="BH93" s="31" t="n">
        <v>962741.267271966</v>
      </c>
      <c r="BI93" s="31" t="n">
        <v>11911.57864518248</v>
      </c>
      <c r="BJ93" s="31" t="n">
        <v>108630.3157539348</v>
      </c>
      <c r="BK93" s="31" t="n">
        <v>265390.7582961972</v>
      </c>
      <c r="BL93" s="31" t="n">
        <v>218928.2283126655</v>
      </c>
      <c r="BM93" s="31" t="n">
        <v>77787.37847504287</v>
      </c>
      <c r="BN93" s="31" t="n">
        <v>178621.6135940097</v>
      </c>
      <c r="BO93" s="31" t="n">
        <v>113935.6824932144</v>
      </c>
      <c r="BP93" s="31" t="n">
        <v>266988.3301506468</v>
      </c>
      <c r="BQ93" s="31" t="n">
        <v>276491.8411544893</v>
      </c>
      <c r="BR93" s="31" t="n">
        <v>15802.31995302085</v>
      </c>
      <c r="BS93" s="31" t="n">
        <v>0</v>
      </c>
      <c r="BT93" s="31" t="n">
        <v>238736.9301063909</v>
      </c>
      <c r="BU93" s="31" t="n">
        <v>581024.6611749378</v>
      </c>
      <c r="BV93" s="31" t="n">
        <v>753138.0061210373</v>
      </c>
      <c r="BW93" s="31" t="n">
        <v>0</v>
      </c>
      <c r="BX93" s="31" t="n">
        <v>59231.42326365168</v>
      </c>
      <c r="BY93" s="31" t="n">
        <v>0</v>
      </c>
      <c r="BZ93" s="31" t="n">
        <v>0</v>
      </c>
      <c r="CA93" s="31" t="n">
        <v>0</v>
      </c>
      <c r="CB93" s="31" t="n">
        <v>0</v>
      </c>
      <c r="CC93" s="31" t="n">
        <v>0</v>
      </c>
      <c r="CD93" s="31" t="n">
        <v>5508552.429621041</v>
      </c>
      <c r="CE93" s="31" t="n">
        <v>233291.318536652</v>
      </c>
      <c r="CF93" s="31" t="n">
        <v>393485.4533107289</v>
      </c>
      <c r="CG93" s="31" t="n">
        <v>768305.2930831898</v>
      </c>
      <c r="CH93" s="31" t="n">
        <v>716048.2559023662</v>
      </c>
      <c r="CI93" s="31" t="n">
        <v>440246.6109566761</v>
      </c>
      <c r="CJ93" s="31" t="n">
        <v>588772.5756127211</v>
      </c>
      <c r="CK93" s="31" t="n">
        <v>54656.69723795832</v>
      </c>
      <c r="CL93" s="31" t="n">
        <v>617966.4902033566</v>
      </c>
      <c r="CM93" s="31" t="n">
        <v>26739.17586087959</v>
      </c>
      <c r="CN93" s="31" t="n">
        <v>0</v>
      </c>
      <c r="CO93" s="31" t="n">
        <v>0</v>
      </c>
      <c r="CP93" s="31" t="n">
        <v>236172.4467299799</v>
      </c>
      <c r="CQ93" s="31" t="n">
        <v>172294.7318609313</v>
      </c>
      <c r="CR93" s="31" t="n">
        <v>1162033.32268965</v>
      </c>
      <c r="CS93" s="31" t="n">
        <v>251520.9568378258</v>
      </c>
      <c r="CT93" s="31" t="n">
        <v>229666.2931588588</v>
      </c>
      <c r="CU93" s="31" t="n">
        <v>4673094.562903306</v>
      </c>
      <c r="CV93" s="31" t="n">
        <v>12252822.03976929</v>
      </c>
      <c r="CW93" s="31" t="n">
        <v>1498212.184020638</v>
      </c>
      <c r="CX93" s="31" t="n">
        <v>261726.4418937844</v>
      </c>
      <c r="CY93" s="31" t="n">
        <v>52065.46263938821</v>
      </c>
      <c r="CZ93" s="31" t="n">
        <v>40960.32907485948</v>
      </c>
      <c r="DA93" s="31" t="n">
        <v>63492.65164979426</v>
      </c>
      <c r="DB93" s="31" t="n">
        <v>704147.3148282226</v>
      </c>
      <c r="DC93" s="31" t="n">
        <v>1270826.682551819</v>
      </c>
      <c r="DD93" s="31" t="n">
        <v>0</v>
      </c>
      <c r="DE93" s="31" t="n">
        <v>0</v>
      </c>
      <c r="DF93" s="31">
        <f>SUM(C93:DE93)</f>
        <v/>
      </c>
      <c r="DG93" s="31" t="n">
        <v>0</v>
      </c>
      <c r="DH93" s="31" t="n">
        <v>0</v>
      </c>
      <c r="DI93" s="31" t="n">
        <v>127047854.0121692</v>
      </c>
      <c r="DJ93" s="31" t="n">
        <v>0</v>
      </c>
      <c r="DK93" s="31">
        <f>SUM(DG93:DJ93)</f>
        <v/>
      </c>
      <c r="DL93" s="31">
        <f>DF93+DK93</f>
        <v/>
      </c>
    </row>
    <row r="94">
      <c r="A94" s="28" t="inlineStr">
        <is>
          <t>63</t>
        </is>
      </c>
      <c r="B94" s="28" t="inlineStr">
        <is>
          <t>ACTIVIDADES DE TRANSPORTE COMPLEMENTARIAS Y AUXILIARES; ACTIVIDADES DE AGENCIAS DE VIAJES</t>
        </is>
      </c>
      <c r="C94" s="29" t="n">
        <v>2998737</v>
      </c>
      <c r="D94" s="29" t="n">
        <v>0</v>
      </c>
      <c r="E94" s="29" t="n">
        <v>0</v>
      </c>
      <c r="F94" s="29" t="n">
        <v>0</v>
      </c>
      <c r="G94" s="29" t="n">
        <v>0</v>
      </c>
      <c r="H94" s="29" t="n">
        <v>0</v>
      </c>
      <c r="I94" s="29" t="n">
        <v>16707.80335745905</v>
      </c>
      <c r="J94" s="29" t="n">
        <v>1039707</v>
      </c>
      <c r="K94" s="29" t="n">
        <v>2528019.659640164</v>
      </c>
      <c r="L94" s="29" t="n">
        <v>389695.813083532</v>
      </c>
      <c r="M94" s="29" t="n">
        <v>395775.4191469619</v>
      </c>
      <c r="N94" s="29" t="n">
        <v>0</v>
      </c>
      <c r="O94" s="29" t="n">
        <v>0</v>
      </c>
      <c r="P94" s="29" t="n">
        <v>0</v>
      </c>
      <c r="Q94" s="29" t="n">
        <v>1900000</v>
      </c>
      <c r="R94" s="29" t="n">
        <v>0</v>
      </c>
      <c r="S94" s="29" t="n">
        <v>0</v>
      </c>
      <c r="T94" s="29" t="n">
        <v>0</v>
      </c>
      <c r="U94" s="29" t="n">
        <v>0</v>
      </c>
      <c r="V94" s="29" t="n">
        <v>0</v>
      </c>
      <c r="W94" s="29" t="n">
        <v>0</v>
      </c>
      <c r="X94" s="29" t="n">
        <v>0</v>
      </c>
      <c r="Y94" s="29" t="n">
        <v>0</v>
      </c>
      <c r="Z94" s="29" t="n">
        <v>0</v>
      </c>
      <c r="AA94" s="29" t="n">
        <v>0</v>
      </c>
      <c r="AB94" s="29" t="n">
        <v>0</v>
      </c>
      <c r="AC94" s="29" t="n">
        <v>0</v>
      </c>
      <c r="AD94" s="29" t="n">
        <v>0</v>
      </c>
      <c r="AE94" s="29" t="n">
        <v>0</v>
      </c>
      <c r="AF94" s="29" t="n">
        <v>0</v>
      </c>
      <c r="AG94" s="29" t="n">
        <v>0</v>
      </c>
      <c r="AH94" s="29" t="n">
        <v>100000</v>
      </c>
      <c r="AI94" s="29" t="n">
        <v>0</v>
      </c>
      <c r="AJ94" s="29" t="n">
        <v>0</v>
      </c>
      <c r="AK94" s="29" t="n">
        <v>0</v>
      </c>
      <c r="AL94" s="29" t="n">
        <v>0</v>
      </c>
      <c r="AM94" s="29" t="n">
        <v>0</v>
      </c>
      <c r="AN94" s="29" t="n">
        <v>0</v>
      </c>
      <c r="AO94" s="29" t="n">
        <v>0</v>
      </c>
      <c r="AP94" s="29" t="n">
        <v>0</v>
      </c>
      <c r="AQ94" s="29" t="n">
        <v>0</v>
      </c>
      <c r="AR94" s="29" t="n">
        <v>0</v>
      </c>
      <c r="AS94" s="29" t="n">
        <v>0</v>
      </c>
      <c r="AT94" s="29" t="n">
        <v>0</v>
      </c>
      <c r="AU94" s="29" t="n">
        <v>14487.3049630954</v>
      </c>
      <c r="AV94" s="29" t="n">
        <v>400035</v>
      </c>
      <c r="AW94" s="29" t="n">
        <v>0</v>
      </c>
      <c r="AX94" s="29" t="n">
        <v>0</v>
      </c>
      <c r="AY94" s="29" t="n">
        <v>499999.9999999999</v>
      </c>
      <c r="AZ94" s="29" t="n">
        <v>499999.9999999999</v>
      </c>
      <c r="BA94" s="29" t="n">
        <v>0</v>
      </c>
      <c r="BB94" s="29" t="n">
        <v>0</v>
      </c>
      <c r="BC94" s="29" t="n">
        <v>0</v>
      </c>
      <c r="BD94" s="29" t="n">
        <v>0</v>
      </c>
      <c r="BE94" s="29" t="n">
        <v>0</v>
      </c>
      <c r="BF94" s="29" t="n">
        <v>0</v>
      </c>
      <c r="BG94" s="29" t="n">
        <v>0</v>
      </c>
      <c r="BH94" s="29" t="n">
        <v>0</v>
      </c>
      <c r="BI94" s="29" t="n">
        <v>0</v>
      </c>
      <c r="BJ94" s="29" t="n">
        <v>0</v>
      </c>
      <c r="BK94" s="29" t="n">
        <v>0</v>
      </c>
      <c r="BL94" s="29" t="n">
        <v>0</v>
      </c>
      <c r="BM94" s="29" t="n">
        <v>0</v>
      </c>
      <c r="BN94" s="29" t="n">
        <v>0</v>
      </c>
      <c r="BO94" s="29" t="n">
        <v>0</v>
      </c>
      <c r="BP94" s="29" t="n">
        <v>803669.0978160329</v>
      </c>
      <c r="BQ94" s="29" t="n">
        <v>430760.4530471332</v>
      </c>
      <c r="BR94" s="29" t="n">
        <v>69351.97367752722</v>
      </c>
      <c r="BS94" s="29" t="n">
        <v>0</v>
      </c>
      <c r="BT94" s="29" t="n">
        <v>128088.7082464353</v>
      </c>
      <c r="BU94" s="29" t="n">
        <v>11425614.08400553</v>
      </c>
      <c r="BV94" s="29" t="n">
        <v>7017238.043911666</v>
      </c>
      <c r="BW94" s="29" t="n">
        <v>0</v>
      </c>
      <c r="BX94" s="29" t="n">
        <v>21851.33460240782</v>
      </c>
      <c r="BY94" s="29" t="n">
        <v>1448000</v>
      </c>
      <c r="BZ94" s="29" t="n">
        <v>110166.3472935036</v>
      </c>
      <c r="CA94" s="29" t="n">
        <v>109071400.9817853</v>
      </c>
      <c r="CB94" s="29" t="n">
        <v>473059.7875834415</v>
      </c>
      <c r="CC94" s="29" t="n">
        <v>467704.1218743069</v>
      </c>
      <c r="CD94" s="29" t="n">
        <v>29699265.05129683</v>
      </c>
      <c r="CE94" s="29" t="n">
        <v>15246837.65955587</v>
      </c>
      <c r="CF94" s="29" t="n">
        <v>1784792.296116614</v>
      </c>
      <c r="CG94" s="29" t="n">
        <v>308243.0145003044</v>
      </c>
      <c r="CH94" s="29" t="n">
        <v>1123400.566812024</v>
      </c>
      <c r="CI94" s="29" t="n">
        <v>207565.9413957679</v>
      </c>
      <c r="CJ94" s="29" t="n">
        <v>539017.262149886</v>
      </c>
      <c r="CK94" s="29" t="n">
        <v>784295</v>
      </c>
      <c r="CL94" s="29" t="n">
        <v>3890476.603215617</v>
      </c>
      <c r="CM94" s="29" t="n">
        <v>2062.05250705851</v>
      </c>
      <c r="CN94" s="29" t="n">
        <v>0</v>
      </c>
      <c r="CO94" s="29" t="n">
        <v>0</v>
      </c>
      <c r="CP94" s="29" t="n">
        <v>195487.034130992</v>
      </c>
      <c r="CQ94" s="29" t="n">
        <v>54747.77973836379</v>
      </c>
      <c r="CR94" s="29" t="n">
        <v>826763.3111990539</v>
      </c>
      <c r="CS94" s="29" t="n">
        <v>5475.92288447272</v>
      </c>
      <c r="CT94" s="29" t="n">
        <v>5000.11977654611</v>
      </c>
      <c r="CU94" s="29" t="n">
        <v>925946.5499318448</v>
      </c>
      <c r="CV94" s="29" t="n">
        <v>266759.118009422</v>
      </c>
      <c r="CW94" s="29" t="n">
        <v>767640.856167914</v>
      </c>
      <c r="CX94" s="29" t="n">
        <v>393077.2398949919</v>
      </c>
      <c r="CY94" s="29" t="n">
        <v>52066.56831816266</v>
      </c>
      <c r="CZ94" s="29" t="n">
        <v>111.006359856237</v>
      </c>
      <c r="DA94" s="29" t="n">
        <v>0</v>
      </c>
      <c r="DB94" s="29" t="n">
        <v>761908.7451536534</v>
      </c>
      <c r="DC94" s="29" t="n">
        <v>267625.7645407585</v>
      </c>
      <c r="DD94" s="29" t="n">
        <v>13354.95367373481</v>
      </c>
      <c r="DE94" s="29" t="n">
        <v>0</v>
      </c>
      <c r="DF94" s="29">
        <f>SUM(C94:DE94)</f>
        <v/>
      </c>
      <c r="DG94" s="29" t="n">
        <v>0</v>
      </c>
      <c r="DH94" s="29" t="n">
        <v>0</v>
      </c>
      <c r="DI94" s="29" t="n">
        <v>88315537.52132568</v>
      </c>
      <c r="DJ94" s="29" t="n">
        <v>0</v>
      </c>
      <c r="DK94" s="29">
        <f>SUM(DG94:DJ94)</f>
        <v/>
      </c>
      <c r="DL94" s="29">
        <f>DF94+DK94</f>
        <v/>
      </c>
    </row>
    <row r="95">
      <c r="A95" s="30" t="inlineStr">
        <is>
          <t>641</t>
        </is>
      </c>
      <c r="B95" s="30" t="inlineStr">
        <is>
          <t>Servicios de correos</t>
        </is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0</v>
      </c>
      <c r="H95" s="31" t="n">
        <v>25370.2509351202</v>
      </c>
      <c r="I95" s="31" t="n">
        <v>398324.36343813</v>
      </c>
      <c r="J95" s="31" t="n">
        <v>271175.288933789</v>
      </c>
      <c r="K95" s="31" t="n">
        <v>1727226.89218219</v>
      </c>
      <c r="L95" s="31" t="n">
        <v>509.964471033278</v>
      </c>
      <c r="M95" s="31" t="n">
        <v>29990.33073688561</v>
      </c>
      <c r="N95" s="31" t="n">
        <v>35233.83779367214</v>
      </c>
      <c r="O95" s="31" t="n">
        <v>23449.0665465892</v>
      </c>
      <c r="P95" s="31" t="n">
        <v>18939.4142692584</v>
      </c>
      <c r="Q95" s="31" t="n">
        <v>31023.4963501415</v>
      </c>
      <c r="R95" s="31" t="n">
        <v>33277.7453105583</v>
      </c>
      <c r="S95" s="31" t="n">
        <v>29888.1378761929</v>
      </c>
      <c r="T95" s="31" t="n">
        <v>21351.1566206321</v>
      </c>
      <c r="U95" s="31" t="n">
        <v>133919.0563152567</v>
      </c>
      <c r="V95" s="31" t="n">
        <v>890.611958570152</v>
      </c>
      <c r="W95" s="31" t="n">
        <v>63400.00000000001</v>
      </c>
      <c r="X95" s="31" t="n">
        <v>7210.90592356039</v>
      </c>
      <c r="Y95" s="31" t="n">
        <v>81870.00498051116</v>
      </c>
      <c r="Z95" s="31" t="n">
        <v>17032.35697014</v>
      </c>
      <c r="AA95" s="31" t="n">
        <v>46722.51524190515</v>
      </c>
      <c r="AB95" s="31" t="n">
        <v>14906.4157341598</v>
      </c>
      <c r="AC95" s="31" t="n">
        <v>29682.72970480921</v>
      </c>
      <c r="AD95" s="31" t="n">
        <v>7072.410564566517</v>
      </c>
      <c r="AE95" s="31" t="n">
        <v>24168.60833609525</v>
      </c>
      <c r="AF95" s="31" t="n">
        <v>23006.58549622278</v>
      </c>
      <c r="AG95" s="31" t="n">
        <v>9448.125761461321</v>
      </c>
      <c r="AH95" s="31" t="n">
        <v>5137.058362352486</v>
      </c>
      <c r="AI95" s="31" t="n">
        <v>15726.22874184699</v>
      </c>
      <c r="AJ95" s="31" t="n">
        <v>37617.29538391218</v>
      </c>
      <c r="AK95" s="31" t="n">
        <v>171014.5604024655</v>
      </c>
      <c r="AL95" s="31" t="n">
        <v>68717.93159716704</v>
      </c>
      <c r="AM95" s="31" t="n">
        <v>27976.3085521906</v>
      </c>
      <c r="AN95" s="31" t="n">
        <v>61994.12794531609</v>
      </c>
      <c r="AO95" s="31" t="n">
        <v>8873.74664754267</v>
      </c>
      <c r="AP95" s="31" t="n">
        <v>12755.5870617058</v>
      </c>
      <c r="AQ95" s="31" t="n">
        <v>237248.0877476794</v>
      </c>
      <c r="AR95" s="31" t="n">
        <v>34743.0924719619</v>
      </c>
      <c r="AS95" s="31" t="n">
        <v>81829.05457569061</v>
      </c>
      <c r="AT95" s="31" t="n">
        <v>4951.475148174723</v>
      </c>
      <c r="AU95" s="31" t="n">
        <v>40646.28181151975</v>
      </c>
      <c r="AV95" s="31" t="n">
        <v>43384.4264881727</v>
      </c>
      <c r="AW95" s="31" t="n">
        <v>11788.16695236678</v>
      </c>
      <c r="AX95" s="31" t="n">
        <v>18552.35952254166</v>
      </c>
      <c r="AY95" s="31" t="n">
        <v>15759.46699751959</v>
      </c>
      <c r="AZ95" s="31" t="n">
        <v>62297.85815510071</v>
      </c>
      <c r="BA95" s="31" t="n">
        <v>46485.1943934063</v>
      </c>
      <c r="BB95" s="31" t="n">
        <v>41423.81388744289</v>
      </c>
      <c r="BC95" s="31" t="n">
        <v>20558.27910698281</v>
      </c>
      <c r="BD95" s="31" t="n">
        <v>868.2435413881529</v>
      </c>
      <c r="BE95" s="31" t="n">
        <v>16028.08428391858</v>
      </c>
      <c r="BF95" s="31" t="n">
        <v>5910.86703689219</v>
      </c>
      <c r="BG95" s="31" t="n">
        <v>8000.60962761797</v>
      </c>
      <c r="BH95" s="31" t="n">
        <v>65948.65400054683</v>
      </c>
      <c r="BI95" s="31" t="n">
        <v>1379.39690733949</v>
      </c>
      <c r="BJ95" s="31" t="n">
        <v>15202.48409118173</v>
      </c>
      <c r="BK95" s="31" t="n">
        <v>84213.4023299486</v>
      </c>
      <c r="BL95" s="31" t="n">
        <v>222391.589944855</v>
      </c>
      <c r="BM95" s="31" t="n">
        <v>11113.70803790299</v>
      </c>
      <c r="BN95" s="31" t="n">
        <v>33392.16208525923</v>
      </c>
      <c r="BO95" s="31" t="n">
        <v>18779.78438744799</v>
      </c>
      <c r="BP95" s="31" t="n">
        <v>232801.566599095</v>
      </c>
      <c r="BQ95" s="31" t="n">
        <v>156286.134509061</v>
      </c>
      <c r="BR95" s="31" t="n">
        <v>92699.1615838375</v>
      </c>
      <c r="BS95" s="31" t="n">
        <v>284957.2138701659</v>
      </c>
      <c r="BT95" s="31" t="n">
        <v>648032.4638985</v>
      </c>
      <c r="BU95" s="31" t="n">
        <v>1740361.70443424</v>
      </c>
      <c r="BV95" s="31" t="n">
        <v>2401181.08314484</v>
      </c>
      <c r="BW95" s="31" t="n">
        <v>0</v>
      </c>
      <c r="BX95" s="31" t="n">
        <v>107862.596535677</v>
      </c>
      <c r="BY95" s="31" t="n">
        <v>100547</v>
      </c>
      <c r="BZ95" s="31" t="n">
        <v>7528.0591976705</v>
      </c>
      <c r="CA95" s="31" t="n">
        <v>1009923</v>
      </c>
      <c r="CB95" s="31" t="n">
        <v>0</v>
      </c>
      <c r="CC95" s="31" t="n">
        <v>695.5319499995451</v>
      </c>
      <c r="CD95" s="31" t="n">
        <v>317132.4776881919</v>
      </c>
      <c r="CE95" s="31" t="n">
        <v>1666396.129504754</v>
      </c>
      <c r="CF95" s="31" t="n">
        <v>231983.086744974</v>
      </c>
      <c r="CG95" s="31" t="n">
        <v>422197.347327959</v>
      </c>
      <c r="CH95" s="31" t="n">
        <v>1263947.075262191</v>
      </c>
      <c r="CI95" s="31" t="n">
        <v>370310.477739024</v>
      </c>
      <c r="CJ95" s="31" t="n">
        <v>3315219.66041081</v>
      </c>
      <c r="CK95" s="31" t="n">
        <v>1790011.690824057</v>
      </c>
      <c r="CL95" s="31" t="n">
        <v>5013410.997870416</v>
      </c>
      <c r="CM95" s="31" t="n">
        <v>477200.8103564736</v>
      </c>
      <c r="CN95" s="31" t="n">
        <v>0</v>
      </c>
      <c r="CO95" s="31" t="n">
        <v>0</v>
      </c>
      <c r="CP95" s="31" t="n">
        <v>45216.05645914911</v>
      </c>
      <c r="CQ95" s="31" t="n">
        <v>32730.61601815863</v>
      </c>
      <c r="CR95" s="31" t="n">
        <v>434444.313758647</v>
      </c>
      <c r="CS95" s="31" t="n">
        <v>75831.19467964199</v>
      </c>
      <c r="CT95" s="31" t="n">
        <v>69242.2198405934</v>
      </c>
      <c r="CU95" s="31" t="n">
        <v>3429764.902800732</v>
      </c>
      <c r="CV95" s="31" t="n">
        <v>3694110.20518597</v>
      </c>
      <c r="CW95" s="31" t="n">
        <v>1635627.300557003</v>
      </c>
      <c r="CX95" s="31" t="n">
        <v>16634.1756878661</v>
      </c>
      <c r="CY95" s="31" t="n">
        <v>490519.7116371745</v>
      </c>
      <c r="CZ95" s="31" t="n">
        <v>97112.5072214071</v>
      </c>
      <c r="DA95" s="31" t="n">
        <v>137185.701249204</v>
      </c>
      <c r="DB95" s="31" t="n">
        <v>2708097.521641099</v>
      </c>
      <c r="DC95" s="31" t="n">
        <v>228722.8875977573</v>
      </c>
      <c r="DD95" s="31" t="n">
        <v>27767.9068748982</v>
      </c>
      <c r="DE95" s="31" t="n">
        <v>0</v>
      </c>
      <c r="DF95" s="31">
        <f>SUM(C95:DE95)</f>
        <v/>
      </c>
      <c r="DG95" s="31" t="n">
        <v>0</v>
      </c>
      <c r="DH95" s="31" t="n">
        <v>0</v>
      </c>
      <c r="DI95" s="31" t="n">
        <v>1822397.208891437</v>
      </c>
      <c r="DJ95" s="31" t="n">
        <v>0</v>
      </c>
      <c r="DK95" s="31">
        <f>SUM(DG95:DJ95)</f>
        <v/>
      </c>
      <c r="DL95" s="31">
        <f>DF95+DK95</f>
        <v/>
      </c>
    </row>
    <row r="96">
      <c r="A96" s="28" t="inlineStr">
        <is>
          <t>642</t>
        </is>
      </c>
      <c r="B96" s="28" t="inlineStr">
        <is>
          <t>Servicios de transmisión de radio y televisión</t>
        </is>
      </c>
      <c r="C96" s="29" t="n">
        <v>0</v>
      </c>
      <c r="D96" s="29" t="n">
        <v>0</v>
      </c>
      <c r="E96" s="29" t="n">
        <v>0</v>
      </c>
      <c r="F96" s="29" t="n">
        <v>0</v>
      </c>
      <c r="G96" s="29" t="n">
        <v>0</v>
      </c>
      <c r="H96" s="29" t="n">
        <v>54276.7070327478</v>
      </c>
      <c r="I96" s="29" t="n">
        <v>921.3657026168286</v>
      </c>
      <c r="J96" s="29" t="n">
        <v>258076.6980961636</v>
      </c>
      <c r="K96" s="29" t="n">
        <v>71384.24678659672</v>
      </c>
      <c r="L96" s="29" t="n">
        <v>81407.46040882637</v>
      </c>
      <c r="M96" s="29" t="n">
        <v>20514.81286798804</v>
      </c>
      <c r="N96" s="29" t="n">
        <v>247450.5869043057</v>
      </c>
      <c r="O96" s="29" t="n">
        <v>89965.47517335019</v>
      </c>
      <c r="P96" s="29" t="n">
        <v>81397.71596749855</v>
      </c>
      <c r="Q96" s="29" t="n">
        <v>291436.2260089188</v>
      </c>
      <c r="R96" s="29" t="n">
        <v>707480.2968392526</v>
      </c>
      <c r="S96" s="29" t="n">
        <v>99981.43972177277</v>
      </c>
      <c r="T96" s="29" t="n">
        <v>236327.0672721392</v>
      </c>
      <c r="U96" s="29" t="n">
        <v>1783127.426774862</v>
      </c>
      <c r="V96" s="29" t="n">
        <v>3962.410596756171</v>
      </c>
      <c r="W96" s="29" t="n">
        <v>489428.069611862</v>
      </c>
      <c r="X96" s="29" t="n">
        <v>122338.2055618146</v>
      </c>
      <c r="Y96" s="29" t="n">
        <v>424691.9838175658</v>
      </c>
      <c r="Z96" s="29" t="n">
        <v>312809.2190442741</v>
      </c>
      <c r="AA96" s="29" t="n">
        <v>540590.641458372</v>
      </c>
      <c r="AB96" s="29" t="n">
        <v>1091157.683003131</v>
      </c>
      <c r="AC96" s="29" t="n">
        <v>1560433.03089315</v>
      </c>
      <c r="AD96" s="29" t="n">
        <v>914298.1821298623</v>
      </c>
      <c r="AE96" s="29" t="n">
        <v>45147.16630240323</v>
      </c>
      <c r="AF96" s="29" t="n">
        <v>174675.5085981926</v>
      </c>
      <c r="AG96" s="29" t="n">
        <v>7072.664315818904</v>
      </c>
      <c r="AH96" s="29" t="n">
        <v>107477.7315970591</v>
      </c>
      <c r="AI96" s="29" t="n">
        <v>54695.90463360436</v>
      </c>
      <c r="AJ96" s="29" t="n">
        <v>184781.1215612301</v>
      </c>
      <c r="AK96" s="29" t="n">
        <v>468290.8555622033</v>
      </c>
      <c r="AL96" s="29" t="n">
        <v>154478.7959845853</v>
      </c>
      <c r="AM96" s="29" t="n">
        <v>43031.50387030786</v>
      </c>
      <c r="AN96" s="29" t="n">
        <v>113254.5817666051</v>
      </c>
      <c r="AO96" s="29" t="n">
        <v>84250.51900002643</v>
      </c>
      <c r="AP96" s="29" t="n">
        <v>30126.44855254152</v>
      </c>
      <c r="AQ96" s="29" t="n">
        <v>4864772.838711384</v>
      </c>
      <c r="AR96" s="29" t="n">
        <v>148329.8023206333</v>
      </c>
      <c r="AS96" s="29" t="n">
        <v>232285.8906084346</v>
      </c>
      <c r="AT96" s="29" t="n">
        <v>17287.62990944347</v>
      </c>
      <c r="AU96" s="29" t="n">
        <v>253808.2154283591</v>
      </c>
      <c r="AV96" s="29" t="n">
        <v>228885.0124343725</v>
      </c>
      <c r="AW96" s="29" t="n">
        <v>16185.70803551748</v>
      </c>
      <c r="AX96" s="29" t="n">
        <v>29693.64086128952</v>
      </c>
      <c r="AY96" s="29" t="n">
        <v>83271.89601289191</v>
      </c>
      <c r="AZ96" s="29" t="n">
        <v>214907.8076604279</v>
      </c>
      <c r="BA96" s="29" t="n">
        <v>108920.9101154565</v>
      </c>
      <c r="BB96" s="29" t="n">
        <v>267877.4827220603</v>
      </c>
      <c r="BC96" s="29" t="n">
        <v>137145.7277847433</v>
      </c>
      <c r="BD96" s="29" t="n">
        <v>11956.52745853653</v>
      </c>
      <c r="BE96" s="29" t="n">
        <v>57231.74448579213</v>
      </c>
      <c r="BF96" s="29" t="n">
        <v>25167.28896236494</v>
      </c>
      <c r="BG96" s="29" t="n">
        <v>63088.09673560585</v>
      </c>
      <c r="BH96" s="29" t="n">
        <v>251233.1165472779</v>
      </c>
      <c r="BI96" s="29" t="n">
        <v>51372.43912300692</v>
      </c>
      <c r="BJ96" s="29" t="n">
        <v>51726.9937383803</v>
      </c>
      <c r="BK96" s="29" t="n">
        <v>730599.9880276502</v>
      </c>
      <c r="BL96" s="29" t="n">
        <v>65167.92819640884</v>
      </c>
      <c r="BM96" s="29" t="n">
        <v>72529.81045706991</v>
      </c>
      <c r="BN96" s="29" t="n">
        <v>144055.0039207328</v>
      </c>
      <c r="BO96" s="29" t="n">
        <v>39260.40068965741</v>
      </c>
      <c r="BP96" s="29" t="n">
        <v>123308.7980030805</v>
      </c>
      <c r="BQ96" s="29" t="n">
        <v>139987.382123279</v>
      </c>
      <c r="BR96" s="29" t="n">
        <v>57286.19759287652</v>
      </c>
      <c r="BS96" s="29" t="n">
        <v>6702.326415315177</v>
      </c>
      <c r="BT96" s="29" t="n">
        <v>1770737.584732493</v>
      </c>
      <c r="BU96" s="29" t="n">
        <v>8542020.487231867</v>
      </c>
      <c r="BV96" s="29" t="n">
        <v>14857453.02889672</v>
      </c>
      <c r="BW96" s="29" t="n">
        <v>2579.849142602705</v>
      </c>
      <c r="BX96" s="29" t="n">
        <v>1042762.1549964</v>
      </c>
      <c r="BY96" s="29" t="n">
        <v>1871289.464698095</v>
      </c>
      <c r="BZ96" s="29" t="n">
        <v>26816.78114148519</v>
      </c>
      <c r="CA96" s="29" t="n">
        <v>1915935.177164399</v>
      </c>
      <c r="CB96" s="29" t="n">
        <v>29445.35431502548</v>
      </c>
      <c r="CC96" s="29" t="n">
        <v>6163.705198960245</v>
      </c>
      <c r="CD96" s="29" t="n">
        <v>726647.1418179692</v>
      </c>
      <c r="CE96" s="29" t="n">
        <v>911326.3278666323</v>
      </c>
      <c r="CF96" s="29" t="n">
        <v>247223.7750799782</v>
      </c>
      <c r="CG96" s="29" t="n">
        <v>3549320.121719969</v>
      </c>
      <c r="CH96" s="29" t="n">
        <v>16117463.07685875</v>
      </c>
      <c r="CI96" s="29" t="n">
        <v>2519272.201201047</v>
      </c>
      <c r="CJ96" s="29" t="n">
        <v>3294895.487312744</v>
      </c>
      <c r="CK96" s="29" t="n">
        <v>945946.6934469939</v>
      </c>
      <c r="CL96" s="29" t="n">
        <v>2343614.985784624</v>
      </c>
      <c r="CM96" s="29" t="n">
        <v>698035.3195573908</v>
      </c>
      <c r="CN96" s="29" t="n">
        <v>0</v>
      </c>
      <c r="CO96" s="29" t="n">
        <v>0</v>
      </c>
      <c r="CP96" s="29" t="n">
        <v>36600.29797608138</v>
      </c>
      <c r="CQ96" s="29" t="n">
        <v>242637.719596524</v>
      </c>
      <c r="CR96" s="29" t="n">
        <v>3905211.959388404</v>
      </c>
      <c r="CS96" s="29" t="n">
        <v>68523.41811600934</v>
      </c>
      <c r="CT96" s="29" t="n">
        <v>73297.69007852406</v>
      </c>
      <c r="CU96" s="29" t="n">
        <v>10574908.39934115</v>
      </c>
      <c r="CV96" s="29" t="n">
        <v>4145455.626585016</v>
      </c>
      <c r="CW96" s="29" t="n">
        <v>2224453.5888923</v>
      </c>
      <c r="CX96" s="29" t="n">
        <v>311339.2543289635</v>
      </c>
      <c r="CY96" s="29" t="n">
        <v>1723643.272874064</v>
      </c>
      <c r="CZ96" s="29" t="n">
        <v>131086.9541003513</v>
      </c>
      <c r="DA96" s="29" t="n">
        <v>409166.9157318241</v>
      </c>
      <c r="DB96" s="29" t="n">
        <v>605463.3944783314</v>
      </c>
      <c r="DC96" s="29" t="n">
        <v>2860031.061119278</v>
      </c>
      <c r="DD96" s="29" t="n">
        <v>509874.75636695</v>
      </c>
      <c r="DE96" s="29" t="n">
        <v>0</v>
      </c>
      <c r="DF96" s="29">
        <f>SUM(C96:DE96)</f>
        <v/>
      </c>
      <c r="DG96" s="29" t="n">
        <v>0</v>
      </c>
      <c r="DH96" s="29" t="n">
        <v>0</v>
      </c>
      <c r="DI96" s="29" t="n">
        <v>48899672.82268982</v>
      </c>
      <c r="DJ96" s="29" t="n">
        <v>0</v>
      </c>
      <c r="DK96" s="29">
        <f>SUM(DG96:DJ96)</f>
        <v/>
      </c>
      <c r="DL96" s="29">
        <f>DF96+DK96</f>
        <v/>
      </c>
    </row>
    <row r="97">
      <c r="A97" s="30" t="inlineStr">
        <is>
          <t>643</t>
        </is>
      </c>
      <c r="B97" s="30" t="inlineStr">
        <is>
          <t>Servicios de Telecomunicaciones</t>
        </is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0</v>
      </c>
      <c r="H97" s="31" t="n">
        <v>342542.5508966668</v>
      </c>
      <c r="I97" s="31" t="n">
        <v>6149.928984956343</v>
      </c>
      <c r="J97" s="31" t="n">
        <v>727922.6340133374</v>
      </c>
      <c r="K97" s="31" t="n">
        <v>414130.5170126554</v>
      </c>
      <c r="L97" s="31" t="n">
        <v>143105.8642785357</v>
      </c>
      <c r="M97" s="31" t="n">
        <v>136932.2104344311</v>
      </c>
      <c r="N97" s="31" t="n">
        <v>357121.5604814677</v>
      </c>
      <c r="O97" s="31" t="n">
        <v>133597.805534409</v>
      </c>
      <c r="P97" s="31" t="n">
        <v>65793.59641666868</v>
      </c>
      <c r="Q97" s="31" t="n">
        <v>1011025.230318499</v>
      </c>
      <c r="R97" s="31" t="n">
        <v>959672.5851035181</v>
      </c>
      <c r="S97" s="31" t="n">
        <v>149802.07487545</v>
      </c>
      <c r="T97" s="31" t="n">
        <v>298638.0657089534</v>
      </c>
      <c r="U97" s="31" t="n">
        <v>745725.5413130266</v>
      </c>
      <c r="V97" s="31" t="n">
        <v>14616.54663378185</v>
      </c>
      <c r="W97" s="31" t="n">
        <v>71752.31929530494</v>
      </c>
      <c r="X97" s="31" t="n">
        <v>54782.09775663408</v>
      </c>
      <c r="Y97" s="31" t="n">
        <v>236967.3421133439</v>
      </c>
      <c r="Z97" s="31" t="n">
        <v>22871.48571171579</v>
      </c>
      <c r="AA97" s="31" t="n">
        <v>166545.3546411362</v>
      </c>
      <c r="AB97" s="31" t="n">
        <v>40969.97639578531</v>
      </c>
      <c r="AC97" s="31" t="n">
        <v>220428.1089713958</v>
      </c>
      <c r="AD97" s="31" t="n">
        <v>59550.3217203215</v>
      </c>
      <c r="AE97" s="31" t="n">
        <v>135617.4594410125</v>
      </c>
      <c r="AF97" s="31" t="n">
        <v>236729.3550497257</v>
      </c>
      <c r="AG97" s="31" t="n">
        <v>24059.67715299662</v>
      </c>
      <c r="AH97" s="31" t="n">
        <v>57687.5576221997</v>
      </c>
      <c r="AI97" s="31" t="n">
        <v>168915.3408724685</v>
      </c>
      <c r="AJ97" s="31" t="n">
        <v>172434.4404453265</v>
      </c>
      <c r="AK97" s="31" t="n">
        <v>486566.1265704577</v>
      </c>
      <c r="AL97" s="31" t="n">
        <v>311726.3412897481</v>
      </c>
      <c r="AM97" s="31" t="n">
        <v>184901.5223289213</v>
      </c>
      <c r="AN97" s="31" t="n">
        <v>534828.5281460695</v>
      </c>
      <c r="AO97" s="31" t="n">
        <v>69468.44024734628</v>
      </c>
      <c r="AP97" s="31" t="n">
        <v>63603.95406511815</v>
      </c>
      <c r="AQ97" s="31" t="n">
        <v>774864.8763777744</v>
      </c>
      <c r="AR97" s="31" t="n">
        <v>98083.62948357203</v>
      </c>
      <c r="AS97" s="31" t="n">
        <v>437100.2630504338</v>
      </c>
      <c r="AT97" s="31" t="n">
        <v>48623.14516224232</v>
      </c>
      <c r="AU97" s="31" t="n">
        <v>424324.5635396981</v>
      </c>
      <c r="AV97" s="31" t="n">
        <v>1273881.944794596</v>
      </c>
      <c r="AW97" s="31" t="n">
        <v>42304.77037114723</v>
      </c>
      <c r="AX97" s="31" t="n">
        <v>88253.04275706438</v>
      </c>
      <c r="AY97" s="31" t="n">
        <v>151692.3773682876</v>
      </c>
      <c r="AZ97" s="31" t="n">
        <v>387266.9919498403</v>
      </c>
      <c r="BA97" s="31" t="n">
        <v>114896.8630785388</v>
      </c>
      <c r="BB97" s="31" t="n">
        <v>104464.1309141098</v>
      </c>
      <c r="BC97" s="31" t="n">
        <v>64005.71838447468</v>
      </c>
      <c r="BD97" s="31" t="n">
        <v>25267.51674325574</v>
      </c>
      <c r="BE97" s="31" t="n">
        <v>89960.3266132187</v>
      </c>
      <c r="BF97" s="31" t="n">
        <v>28945.59460416184</v>
      </c>
      <c r="BG97" s="31" t="n">
        <v>71636.35504219421</v>
      </c>
      <c r="BH97" s="31" t="n">
        <v>467923.3157520597</v>
      </c>
      <c r="BI97" s="31" t="n">
        <v>3945.121017444618</v>
      </c>
      <c r="BJ97" s="31" t="n">
        <v>79151.93111655609</v>
      </c>
      <c r="BK97" s="31" t="n">
        <v>684402.7349688889</v>
      </c>
      <c r="BL97" s="31" t="n">
        <v>21079.44425501806</v>
      </c>
      <c r="BM97" s="31" t="n">
        <v>72658.32085436693</v>
      </c>
      <c r="BN97" s="31" t="n">
        <v>279706.6673961901</v>
      </c>
      <c r="BO97" s="31" t="n">
        <v>127108.5190267444</v>
      </c>
      <c r="BP97" s="31" t="n">
        <v>134273.5268264136</v>
      </c>
      <c r="BQ97" s="31" t="n">
        <v>291927.4424907622</v>
      </c>
      <c r="BR97" s="31" t="n">
        <v>83441.00263571602</v>
      </c>
      <c r="BS97" s="31" t="n">
        <v>44736.66793881859</v>
      </c>
      <c r="BT97" s="31" t="n">
        <v>3116256.977152246</v>
      </c>
      <c r="BU97" s="31" t="n">
        <v>9853315.350685591</v>
      </c>
      <c r="BV97" s="31" t="n">
        <v>15636602.67620106</v>
      </c>
      <c r="BW97" s="31" t="n">
        <v>17219.96919773053</v>
      </c>
      <c r="BX97" s="31" t="n">
        <v>4530993.565547382</v>
      </c>
      <c r="BY97" s="31" t="n">
        <v>826050.5869360564</v>
      </c>
      <c r="BZ97" s="31" t="n">
        <v>127262.4686903274</v>
      </c>
      <c r="CA97" s="31" t="n">
        <v>9906991.383890446</v>
      </c>
      <c r="CB97" s="31" t="n">
        <v>196541.7612789019</v>
      </c>
      <c r="CC97" s="31" t="n">
        <v>32671.21722028543</v>
      </c>
      <c r="CD97" s="31" t="n">
        <v>1811149.721694354</v>
      </c>
      <c r="CE97" s="31" t="n">
        <v>2596504.600495607</v>
      </c>
      <c r="CF97" s="31" t="n">
        <v>574393.8776712621</v>
      </c>
      <c r="CG97" s="31" t="n">
        <v>12428229.74188466</v>
      </c>
      <c r="CH97" s="31" t="n">
        <v>79874853.79454058</v>
      </c>
      <c r="CI97" s="31" t="n">
        <v>13787496.93042313</v>
      </c>
      <c r="CJ97" s="31" t="n">
        <v>5508768.919020708</v>
      </c>
      <c r="CK97" s="31" t="n">
        <v>612122.2330249568</v>
      </c>
      <c r="CL97" s="31" t="n">
        <v>2547047.401541335</v>
      </c>
      <c r="CM97" s="31" t="n">
        <v>3085607.224855707</v>
      </c>
      <c r="CN97" s="31" t="n">
        <v>0</v>
      </c>
      <c r="CO97" s="31" t="n">
        <v>0</v>
      </c>
      <c r="CP97" s="31" t="n">
        <v>109203.5500010717</v>
      </c>
      <c r="CQ97" s="31" t="n">
        <v>927681.8859995862</v>
      </c>
      <c r="CR97" s="31" t="n">
        <v>21891115.39651439</v>
      </c>
      <c r="CS97" s="31" t="n">
        <v>188432.8184308074</v>
      </c>
      <c r="CT97" s="31" t="n">
        <v>243668.934791125</v>
      </c>
      <c r="CU97" s="31" t="n">
        <v>35210523.66360482</v>
      </c>
      <c r="CV97" s="31" t="n">
        <v>14568340.24094446</v>
      </c>
      <c r="CW97" s="31" t="n">
        <v>5572480.67446649</v>
      </c>
      <c r="CX97" s="31" t="n">
        <v>1663237.452660735</v>
      </c>
      <c r="CY97" s="31" t="n">
        <v>4894731.766108252</v>
      </c>
      <c r="CZ97" s="31" t="n">
        <v>682560.9464881673</v>
      </c>
      <c r="DA97" s="31" t="n">
        <v>380923.1794416794</v>
      </c>
      <c r="DB97" s="31" t="n">
        <v>28003.45234042133</v>
      </c>
      <c r="DC97" s="31" t="n">
        <v>2491781.521954694</v>
      </c>
      <c r="DD97" s="31" t="n">
        <v>354337.5833148711</v>
      </c>
      <c r="DE97" s="31" t="n">
        <v>0</v>
      </c>
      <c r="DF97" s="31">
        <f>SUM(C97:DE97)</f>
        <v/>
      </c>
      <c r="DG97" s="31" t="n">
        <v>0</v>
      </c>
      <c r="DH97" s="31" t="n">
        <v>0</v>
      </c>
      <c r="DI97" s="31" t="n">
        <v>340562684.9112305</v>
      </c>
      <c r="DJ97" s="31" t="n">
        <v>0</v>
      </c>
      <c r="DK97" s="31">
        <f>SUM(DG97:DJ97)</f>
        <v/>
      </c>
      <c r="DL97" s="31">
        <f>DF97+DK97</f>
        <v/>
      </c>
    </row>
    <row r="98">
      <c r="A98" s="28" t="inlineStr">
        <is>
          <t>644</t>
        </is>
      </c>
      <c r="B98" s="28" t="inlineStr">
        <is>
          <t>Servicios de Internet</t>
        </is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42824.62766051367</v>
      </c>
      <c r="I98" s="29" t="n">
        <v>768.8633666969021</v>
      </c>
      <c r="J98" s="29" t="n">
        <v>91004.79834017866</v>
      </c>
      <c r="K98" s="29" t="n">
        <v>51774.54639576447</v>
      </c>
      <c r="L98" s="29" t="n">
        <v>17891.07758356432</v>
      </c>
      <c r="M98" s="29" t="n">
        <v>17119.2481378893</v>
      </c>
      <c r="N98" s="29" t="n">
        <v>44647.29364899841</v>
      </c>
      <c r="O98" s="29" t="n">
        <v>16702.38124664017</v>
      </c>
      <c r="P98" s="29" t="n">
        <v>8225.507346793569</v>
      </c>
      <c r="Q98" s="29" t="n">
        <v>126398.2501748693</v>
      </c>
      <c r="R98" s="29" t="n">
        <v>119978.1487744525</v>
      </c>
      <c r="S98" s="29" t="n">
        <v>18728.23701032338</v>
      </c>
      <c r="T98" s="29" t="n">
        <v>37335.69431232491</v>
      </c>
      <c r="U98" s="29" t="n">
        <v>93230.51562519361</v>
      </c>
      <c r="V98" s="29" t="n">
        <v>1827.358865740066</v>
      </c>
      <c r="W98" s="29" t="n">
        <v>8970.46614955195</v>
      </c>
      <c r="X98" s="29" t="n">
        <v>6848.851136153972</v>
      </c>
      <c r="Y98" s="29" t="n">
        <v>29625.62801947145</v>
      </c>
      <c r="Z98" s="29" t="n">
        <v>2859.390335837305</v>
      </c>
      <c r="AA98" s="29" t="n">
        <v>20821.47979112356</v>
      </c>
      <c r="AB98" s="29" t="n">
        <v>5122.061419279906</v>
      </c>
      <c r="AC98" s="29" t="n">
        <v>27557.895122521</v>
      </c>
      <c r="AD98" s="29" t="n">
        <v>7444.973910718267</v>
      </c>
      <c r="AE98" s="29" t="n">
        <v>16954.87813009888</v>
      </c>
      <c r="AF98" s="29" t="n">
        <v>29595.87490599461</v>
      </c>
      <c r="AG98" s="29" t="n">
        <v>3007.937883956694</v>
      </c>
      <c r="AH98" s="29" t="n">
        <v>7212.091371855226</v>
      </c>
      <c r="AI98" s="29" t="n">
        <v>21117.77517881093</v>
      </c>
      <c r="AJ98" s="29" t="n">
        <v>21557.73257538378</v>
      </c>
      <c r="AK98" s="29" t="n">
        <v>60830.43741004902</v>
      </c>
      <c r="AL98" s="29" t="n">
        <v>38971.98891864028</v>
      </c>
      <c r="AM98" s="29" t="n">
        <v>23116.36562193669</v>
      </c>
      <c r="AN98" s="29" t="n">
        <v>66864.19693004877</v>
      </c>
      <c r="AO98" s="29" t="n">
        <v>8684.93587135891</v>
      </c>
      <c r="AP98" s="29" t="n">
        <v>7951.758528816412</v>
      </c>
      <c r="AQ98" s="29" t="n">
        <v>96873.51171766802</v>
      </c>
      <c r="AR98" s="29" t="n">
        <v>12262.4033166988</v>
      </c>
      <c r="AS98" s="29" t="n">
        <v>54646.22122550309</v>
      </c>
      <c r="AT98" s="29" t="n">
        <v>6078.859638913246</v>
      </c>
      <c r="AU98" s="29" t="n">
        <v>53049.00484109279</v>
      </c>
      <c r="AV98" s="29" t="n">
        <v>159260.5643487968</v>
      </c>
      <c r="AW98" s="29" t="n">
        <v>5288.937198212299</v>
      </c>
      <c r="AX98" s="29" t="n">
        <v>11033.38457101287</v>
      </c>
      <c r="AY98" s="29" t="n">
        <v>18964.56239591303</v>
      </c>
      <c r="AZ98" s="29" t="n">
        <v>48416.07179033955</v>
      </c>
      <c r="BA98" s="29" t="n">
        <v>14364.39171664768</v>
      </c>
      <c r="BB98" s="29" t="n">
        <v>13060.09282223583</v>
      </c>
      <c r="BC98" s="29" t="n">
        <v>8001.987054699356</v>
      </c>
      <c r="BD98" s="29" t="n">
        <v>3158.941841249222</v>
      </c>
      <c r="BE98" s="29" t="n">
        <v>11246.82898911283</v>
      </c>
      <c r="BF98" s="29" t="n">
        <v>3618.774683876703</v>
      </c>
      <c r="BG98" s="29" t="n">
        <v>8955.968312864516</v>
      </c>
      <c r="BH98" s="29" t="n">
        <v>58499.71549023669</v>
      </c>
      <c r="BI98" s="29" t="n">
        <v>493.2185452740979</v>
      </c>
      <c r="BJ98" s="29" t="n">
        <v>9895.564711023831</v>
      </c>
      <c r="BK98" s="29" t="n">
        <v>85563.94590440673</v>
      </c>
      <c r="BL98" s="29" t="n">
        <v>2635.349532922762</v>
      </c>
      <c r="BM98" s="29" t="n">
        <v>9083.734353239668</v>
      </c>
      <c r="BN98" s="29" t="n">
        <v>34968.89321939577</v>
      </c>
      <c r="BO98" s="29" t="n">
        <v>15891.09144411587</v>
      </c>
      <c r="BP98" s="29" t="n">
        <v>16786.85983961098</v>
      </c>
      <c r="BQ98" s="29" t="n">
        <v>36496.73302142318</v>
      </c>
      <c r="BR98" s="29" t="n">
        <v>10431.78390579694</v>
      </c>
      <c r="BS98" s="29" t="n">
        <v>5592.972733568175</v>
      </c>
      <c r="BT98" s="29" t="n">
        <v>389594.0647130896</v>
      </c>
      <c r="BU98" s="29" t="n">
        <v>1231860.275490346</v>
      </c>
      <c r="BV98" s="29" t="n">
        <v>1954886.146935091</v>
      </c>
      <c r="BW98" s="29" t="n">
        <v>2152.83843507309</v>
      </c>
      <c r="BX98" s="29" t="n">
        <v>566464.259312661</v>
      </c>
      <c r="BY98" s="29" t="n">
        <v>103272.7429677982</v>
      </c>
      <c r="BZ98" s="29" t="n">
        <v>15910.33821215723</v>
      </c>
      <c r="CA98" s="29" t="n">
        <v>1238570.846572025</v>
      </c>
      <c r="CB98" s="29" t="n">
        <v>24571.6268664374</v>
      </c>
      <c r="CC98" s="29" t="n">
        <v>4084.551565964592</v>
      </c>
      <c r="CD98" s="29" t="n">
        <v>226429.7158585748</v>
      </c>
      <c r="CE98" s="29" t="n">
        <v>324614.6863914102</v>
      </c>
      <c r="CF98" s="29" t="n">
        <v>71810.65207040765</v>
      </c>
      <c r="CG98" s="29" t="n">
        <v>1553775.756566048</v>
      </c>
      <c r="CH98" s="29" t="n">
        <v>9985944.41547511</v>
      </c>
      <c r="CI98" s="29" t="n">
        <v>1723711.173605297</v>
      </c>
      <c r="CJ98" s="29" t="n">
        <v>688705.6139663021</v>
      </c>
      <c r="CK98" s="29" t="n">
        <v>76527.44642496629</v>
      </c>
      <c r="CL98" s="29" t="n">
        <v>318431.5534498109</v>
      </c>
      <c r="CM98" s="29" t="n">
        <v>385762.2364437247</v>
      </c>
      <c r="CN98" s="29" t="n">
        <v>0</v>
      </c>
      <c r="CO98" s="29" t="n">
        <v>0</v>
      </c>
      <c r="CP98" s="29" t="n">
        <v>13652.61441464815</v>
      </c>
      <c r="CQ98" s="29" t="n">
        <v>115978.67549985</v>
      </c>
      <c r="CR98" s="29" t="n">
        <v>2736824.559386993</v>
      </c>
      <c r="CS98" s="29" t="n">
        <v>23557.8478270713</v>
      </c>
      <c r="CT98" s="29" t="n">
        <v>30463.46031331974</v>
      </c>
      <c r="CU98" s="29" t="n">
        <v>4402015.345767821</v>
      </c>
      <c r="CV98" s="29" t="n">
        <v>1821332.108425644</v>
      </c>
      <c r="CW98" s="29" t="n">
        <v>696670.8498104949</v>
      </c>
      <c r="CX98" s="29" t="n">
        <v>207937.7421425932</v>
      </c>
      <c r="CY98" s="29" t="n">
        <v>611938.7644920878</v>
      </c>
      <c r="CZ98" s="29" t="n">
        <v>85333.68573465597</v>
      </c>
      <c r="DA98" s="29" t="n">
        <v>47622.96912937393</v>
      </c>
      <c r="DB98" s="29" t="n">
        <v>3500.988173726924</v>
      </c>
      <c r="DC98" s="29" t="n">
        <v>311522.2199686615</v>
      </c>
      <c r="DD98" s="29" t="n">
        <v>44299.24116540833</v>
      </c>
      <c r="DE98" s="29" t="n">
        <v>0</v>
      </c>
      <c r="DF98" s="29">
        <f>SUM(C98:DE98)</f>
        <v/>
      </c>
      <c r="DG98" s="29" t="n">
        <v>0</v>
      </c>
      <c r="DH98" s="29" t="n">
        <v>0</v>
      </c>
      <c r="DI98" s="29" t="n">
        <v>38251126.43146282</v>
      </c>
      <c r="DJ98" s="29" t="n">
        <v>0</v>
      </c>
      <c r="DK98" s="29">
        <f>SUM(DG98:DJ98)</f>
        <v/>
      </c>
      <c r="DL98" s="29">
        <f>DF98+DK98</f>
        <v/>
      </c>
    </row>
    <row r="99">
      <c r="A99" s="30" t="inlineStr">
        <is>
          <t>651 2</t>
        </is>
      </c>
      <c r="B99" s="30" t="inlineStr">
        <is>
          <t>651 2 - Intermediación monetaria</t>
        </is>
      </c>
      <c r="C99" s="31" t="n">
        <v>7547461.145132673</v>
      </c>
      <c r="D99" s="31" t="n">
        <v>3011192.26174172</v>
      </c>
      <c r="E99" s="31" t="n">
        <v>25844.849547</v>
      </c>
      <c r="F99" s="31" t="n">
        <v>112989.426645</v>
      </c>
      <c r="G99" s="31" t="n">
        <v>207881.084853</v>
      </c>
      <c r="H99" s="31" t="n">
        <v>969743.1270049668</v>
      </c>
      <c r="I99" s="31" t="n">
        <v>27353.04390829813</v>
      </c>
      <c r="J99" s="31" t="n">
        <v>6273249.380288919</v>
      </c>
      <c r="K99" s="31" t="n">
        <v>1425846.658317186</v>
      </c>
      <c r="L99" s="31" t="n">
        <v>902591.1828529936</v>
      </c>
      <c r="M99" s="31" t="n">
        <v>511917.4446244019</v>
      </c>
      <c r="N99" s="31" t="n">
        <v>1171799.673748353</v>
      </c>
      <c r="O99" s="31" t="n">
        <v>275452.6503862725</v>
      </c>
      <c r="P99" s="31" t="n">
        <v>289970.0484938928</v>
      </c>
      <c r="Q99" s="31" t="n">
        <v>4140941.420134407</v>
      </c>
      <c r="R99" s="31" t="n">
        <v>988311.3908811483</v>
      </c>
      <c r="S99" s="31" t="n">
        <v>547146.575636913</v>
      </c>
      <c r="T99" s="31" t="n">
        <v>494125.3811811716</v>
      </c>
      <c r="U99" s="31" t="n">
        <v>1080052.485923444</v>
      </c>
      <c r="V99" s="31" t="n">
        <v>198794.6947552461</v>
      </c>
      <c r="W99" s="31" t="n">
        <v>286384.4982147861</v>
      </c>
      <c r="X99" s="31" t="n">
        <v>204746.5540746035</v>
      </c>
      <c r="Y99" s="31" t="n">
        <v>898574.3633232455</v>
      </c>
      <c r="Z99" s="31" t="n">
        <v>125959.0091092486</v>
      </c>
      <c r="AA99" s="31" t="n">
        <v>809908.4671012595</v>
      </c>
      <c r="AB99" s="31" t="n">
        <v>336429.0313979226</v>
      </c>
      <c r="AC99" s="31" t="n">
        <v>1323604.559987386</v>
      </c>
      <c r="AD99" s="31" t="n">
        <v>237591.7510879117</v>
      </c>
      <c r="AE99" s="31" t="n">
        <v>559685.8953600619</v>
      </c>
      <c r="AF99" s="31" t="n">
        <v>846229.2922875136</v>
      </c>
      <c r="AG99" s="31" t="n">
        <v>110310.430699728</v>
      </c>
      <c r="AH99" s="31" t="n">
        <v>234434.6320887419</v>
      </c>
      <c r="AI99" s="31" t="n">
        <v>704701.7675656372</v>
      </c>
      <c r="AJ99" s="31" t="n">
        <v>912902.4627274306</v>
      </c>
      <c r="AK99" s="31" t="n">
        <v>617167.2508396055</v>
      </c>
      <c r="AL99" s="31" t="n">
        <v>601327.0557033895</v>
      </c>
      <c r="AM99" s="31" t="n">
        <v>1004636.760582503</v>
      </c>
      <c r="AN99" s="31" t="n">
        <v>618429.1843575027</v>
      </c>
      <c r="AO99" s="31" t="n">
        <v>357063.6455918251</v>
      </c>
      <c r="AP99" s="31" t="n">
        <v>467109.0853075996</v>
      </c>
      <c r="AQ99" s="31" t="n">
        <v>2709012.917493593</v>
      </c>
      <c r="AR99" s="31" t="n">
        <v>380997.1873833426</v>
      </c>
      <c r="AS99" s="31" t="n">
        <v>1226410.909980792</v>
      </c>
      <c r="AT99" s="31" t="n">
        <v>187260.3051400793</v>
      </c>
      <c r="AU99" s="31" t="n">
        <v>1312859.812290317</v>
      </c>
      <c r="AV99" s="31" t="n">
        <v>1278276.261797697</v>
      </c>
      <c r="AW99" s="31" t="n">
        <v>424034.217958873</v>
      </c>
      <c r="AX99" s="31" t="n">
        <v>425352.397489178</v>
      </c>
      <c r="AY99" s="31" t="n">
        <v>471594.585962643</v>
      </c>
      <c r="AZ99" s="31" t="n">
        <v>1163278.611317546</v>
      </c>
      <c r="BA99" s="31" t="n">
        <v>512554.9917336024</v>
      </c>
      <c r="BB99" s="31" t="n">
        <v>800936.595206579</v>
      </c>
      <c r="BC99" s="31" t="n">
        <v>313682.464984487</v>
      </c>
      <c r="BD99" s="31" t="n">
        <v>57758.81846436389</v>
      </c>
      <c r="BE99" s="31" t="n">
        <v>268119.0162622933</v>
      </c>
      <c r="BF99" s="31" t="n">
        <v>153154.2061546036</v>
      </c>
      <c r="BG99" s="31" t="n">
        <v>187454.2063909078</v>
      </c>
      <c r="BH99" s="31" t="n">
        <v>327202.5111666438</v>
      </c>
      <c r="BI99" s="31" t="n">
        <v>86221.38878969463</v>
      </c>
      <c r="BJ99" s="31" t="n">
        <v>218498.0837753598</v>
      </c>
      <c r="BK99" s="31" t="n">
        <v>1190021.634113121</v>
      </c>
      <c r="BL99" s="31" t="n">
        <v>668702.8963485039</v>
      </c>
      <c r="BM99" s="31" t="n">
        <v>229659.6311038095</v>
      </c>
      <c r="BN99" s="31" t="n">
        <v>838981.4767492483</v>
      </c>
      <c r="BO99" s="31" t="n">
        <v>370828.4226053507</v>
      </c>
      <c r="BP99" s="31" t="n">
        <v>3551234.45971556</v>
      </c>
      <c r="BQ99" s="31" t="n">
        <v>1228092.744264293</v>
      </c>
      <c r="BR99" s="31" t="n">
        <v>986930.2714896878</v>
      </c>
      <c r="BS99" s="31" t="n">
        <v>8402747.289283531</v>
      </c>
      <c r="BT99" s="31" t="n">
        <v>4369420.22341424</v>
      </c>
      <c r="BU99" s="31" t="n">
        <v>18943833.09606775</v>
      </c>
      <c r="BV99" s="31" t="n">
        <v>26955410.41419097</v>
      </c>
      <c r="BW99" s="31" t="n">
        <v>797744.9179003986</v>
      </c>
      <c r="BX99" s="31" t="n">
        <v>1144731.186098146</v>
      </c>
      <c r="BY99" s="31" t="n">
        <v>6592191.001032722</v>
      </c>
      <c r="BZ99" s="31" t="n">
        <v>166555.7556754722</v>
      </c>
      <c r="CA99" s="31" t="n">
        <v>9843264.04896397</v>
      </c>
      <c r="CB99" s="31" t="n">
        <v>757457.3316811845</v>
      </c>
      <c r="CC99" s="31" t="n">
        <v>56507.62403166767</v>
      </c>
      <c r="CD99" s="31" t="n">
        <v>592947.6579468797</v>
      </c>
      <c r="CE99" s="31" t="n">
        <v>3415476.222325527</v>
      </c>
      <c r="CF99" s="31" t="n">
        <v>400902.4939076932</v>
      </c>
      <c r="CG99" s="31" t="n">
        <v>1558275.095612622</v>
      </c>
      <c r="CH99" s="31" t="n">
        <v>4706941.144679548</v>
      </c>
      <c r="CI99" s="31" t="n">
        <v>765022.9573747172</v>
      </c>
      <c r="CJ99" s="31" t="n">
        <v>14296981.63879587</v>
      </c>
      <c r="CK99" s="31" t="n">
        <v>3372530.612552393</v>
      </c>
      <c r="CL99" s="31" t="n">
        <v>4502429.216329646</v>
      </c>
      <c r="CM99" s="31" t="n">
        <v>1689854.37606013</v>
      </c>
      <c r="CN99" s="31" t="n">
        <v>7151549.537905999</v>
      </c>
      <c r="CO99" s="31" t="n">
        <v>1619989.982992</v>
      </c>
      <c r="CP99" s="31" t="n">
        <v>278809.82864116</v>
      </c>
      <c r="CQ99" s="31" t="n">
        <v>803352.0987212964</v>
      </c>
      <c r="CR99" s="31" t="n">
        <v>2533763.950198635</v>
      </c>
      <c r="CS99" s="31" t="n">
        <v>231195.6319916217</v>
      </c>
      <c r="CT99" s="31" t="n">
        <v>101137.3213297383</v>
      </c>
      <c r="CU99" s="31" t="n">
        <v>12078972.14492987</v>
      </c>
      <c r="CV99" s="31" t="n">
        <v>80063093.62119064</v>
      </c>
      <c r="CW99" s="31" t="n">
        <v>5536951.967720842</v>
      </c>
      <c r="CX99" s="31" t="n">
        <v>8665.365787998875</v>
      </c>
      <c r="CY99" s="31" t="n">
        <v>10925354.68983434</v>
      </c>
      <c r="CZ99" s="31" t="n">
        <v>3363.409438220092</v>
      </c>
      <c r="DA99" s="31" t="n">
        <v>1420898.106020228</v>
      </c>
      <c r="DB99" s="31" t="n">
        <v>3099486.34968297</v>
      </c>
      <c r="DC99" s="31" t="n">
        <v>2894873.239512714</v>
      </c>
      <c r="DD99" s="31" t="n">
        <v>832726.8966416727</v>
      </c>
      <c r="DE99" s="31" t="n">
        <v>0</v>
      </c>
      <c r="DF99" s="31">
        <f>SUM(C99:DE99)</f>
        <v/>
      </c>
      <c r="DG99" s="31" t="n">
        <v>0</v>
      </c>
      <c r="DH99" s="31" t="n">
        <v>0</v>
      </c>
      <c r="DI99" s="31" t="n">
        <v>188347510.7971719</v>
      </c>
      <c r="DJ99" s="31" t="n">
        <v>0</v>
      </c>
      <c r="DK99" s="31">
        <f>SUM(DG99:DJ99)</f>
        <v/>
      </c>
      <c r="DL99" s="31">
        <f>DF99+DK99</f>
        <v/>
      </c>
    </row>
    <row r="100">
      <c r="A100" s="28" t="inlineStr">
        <is>
          <t>659</t>
        </is>
      </c>
      <c r="B100" s="28" t="inlineStr">
        <is>
          <t>Otros tipos de intermediación financiera</t>
        </is>
      </c>
      <c r="C100" s="29" t="n">
        <v>1337147.022343618</v>
      </c>
      <c r="D100" s="29" t="n">
        <v>177837.1138995701</v>
      </c>
      <c r="E100" s="29" t="n">
        <v>0</v>
      </c>
      <c r="F100" s="29" t="n">
        <v>0</v>
      </c>
      <c r="G100" s="29" t="n">
        <v>0</v>
      </c>
      <c r="H100" s="29" t="n">
        <v>132345.7421549038</v>
      </c>
      <c r="I100" s="29" t="n">
        <v>6954.052697142354</v>
      </c>
      <c r="J100" s="29" t="n">
        <v>676464.0357805877</v>
      </c>
      <c r="K100" s="29" t="n">
        <v>94908.62210561526</v>
      </c>
      <c r="L100" s="29" t="n">
        <v>32187.65075756372</v>
      </c>
      <c r="M100" s="29" t="n">
        <v>60206.26907532537</v>
      </c>
      <c r="N100" s="29" t="n">
        <v>150469.1948028005</v>
      </c>
      <c r="O100" s="29" t="n">
        <v>55018.16427674741</v>
      </c>
      <c r="P100" s="29" t="n">
        <v>39983.12101236185</v>
      </c>
      <c r="Q100" s="29" t="n">
        <v>946141.04435286</v>
      </c>
      <c r="R100" s="29" t="n">
        <v>151224.0270115318</v>
      </c>
      <c r="S100" s="29" t="n">
        <v>74021.42898120551</v>
      </c>
      <c r="T100" s="29" t="n">
        <v>67922.81567465264</v>
      </c>
      <c r="U100" s="29" t="n">
        <v>60907.6100252829</v>
      </c>
      <c r="V100" s="29" t="n">
        <v>27203.46873937349</v>
      </c>
      <c r="W100" s="29" t="n">
        <v>57708.55710293251</v>
      </c>
      <c r="X100" s="29" t="n">
        <v>14983.32258961225</v>
      </c>
      <c r="Y100" s="29" t="n">
        <v>157523.0723160458</v>
      </c>
      <c r="Z100" s="29" t="n">
        <v>25793.83562820881</v>
      </c>
      <c r="AA100" s="29" t="n">
        <v>73404.24792528247</v>
      </c>
      <c r="AB100" s="29" t="n">
        <v>923.512435791117</v>
      </c>
      <c r="AC100" s="29" t="n">
        <v>352001.5298559938</v>
      </c>
      <c r="AD100" s="29" t="n">
        <v>36476.74445755974</v>
      </c>
      <c r="AE100" s="29" t="n">
        <v>53193.32115367131</v>
      </c>
      <c r="AF100" s="29" t="n">
        <v>79499.53532121165</v>
      </c>
      <c r="AG100" s="29" t="n">
        <v>14093.59555603128</v>
      </c>
      <c r="AH100" s="29" t="n">
        <v>22922.01826556549</v>
      </c>
      <c r="AI100" s="29" t="n">
        <v>118210.2569445907</v>
      </c>
      <c r="AJ100" s="29" t="n">
        <v>95881.61820508834</v>
      </c>
      <c r="AK100" s="29" t="n">
        <v>78785.20568089523</v>
      </c>
      <c r="AL100" s="29" t="n">
        <v>78458.24691108664</v>
      </c>
      <c r="AM100" s="29" t="n">
        <v>6329.370077554609</v>
      </c>
      <c r="AN100" s="29" t="n">
        <v>68039.1497213165</v>
      </c>
      <c r="AO100" s="29" t="n">
        <v>40137.8892042559</v>
      </c>
      <c r="AP100" s="29" t="n">
        <v>16902.38623310238</v>
      </c>
      <c r="AQ100" s="29" t="n">
        <v>377386.8086872005</v>
      </c>
      <c r="AR100" s="29" t="n">
        <v>57697.54261741447</v>
      </c>
      <c r="AS100" s="29" t="n">
        <v>177980.7249995859</v>
      </c>
      <c r="AT100" s="29" t="n">
        <v>28790.11943623816</v>
      </c>
      <c r="AU100" s="29" t="n">
        <v>116500.035457233</v>
      </c>
      <c r="AV100" s="29" t="n">
        <v>43135.92085151985</v>
      </c>
      <c r="AW100" s="29" t="n">
        <v>17492.08402230503</v>
      </c>
      <c r="AX100" s="29" t="n">
        <v>38357.46433058179</v>
      </c>
      <c r="AY100" s="29" t="n">
        <v>51873.08101953485</v>
      </c>
      <c r="AZ100" s="29" t="n">
        <v>144330.9276844547</v>
      </c>
      <c r="BA100" s="29" t="n">
        <v>80518.07366297281</v>
      </c>
      <c r="BB100" s="29" t="n">
        <v>99767.12745487184</v>
      </c>
      <c r="BC100" s="29" t="n">
        <v>52139.13824976914</v>
      </c>
      <c r="BD100" s="29" t="n">
        <v>11151.26795909896</v>
      </c>
      <c r="BE100" s="29" t="n">
        <v>37735.8824570916</v>
      </c>
      <c r="BF100" s="29" t="n">
        <v>19220.39526643332</v>
      </c>
      <c r="BG100" s="29" t="n">
        <v>23704.84749437916</v>
      </c>
      <c r="BH100" s="29" t="n">
        <v>90337.30839523331</v>
      </c>
      <c r="BI100" s="29" t="n">
        <v>14765.35000099642</v>
      </c>
      <c r="BJ100" s="29" t="n">
        <v>40874.27704507668</v>
      </c>
      <c r="BK100" s="29" t="n">
        <v>44992.42890333397</v>
      </c>
      <c r="BL100" s="29" t="n">
        <v>99394.38692701701</v>
      </c>
      <c r="BM100" s="29" t="n">
        <v>25247.92482745423</v>
      </c>
      <c r="BN100" s="29" t="n">
        <v>76907.83499120973</v>
      </c>
      <c r="BO100" s="29" t="n">
        <v>51655.93526607862</v>
      </c>
      <c r="BP100" s="29" t="n">
        <v>454877.6065155437</v>
      </c>
      <c r="BQ100" s="29" t="n">
        <v>471227.7764385068</v>
      </c>
      <c r="BR100" s="29" t="n">
        <v>309509.008663996</v>
      </c>
      <c r="BS100" s="29" t="n">
        <v>256719.1930322734</v>
      </c>
      <c r="BT100" s="29" t="n">
        <v>1247624.421444638</v>
      </c>
      <c r="BU100" s="29" t="n">
        <v>5041431.159173732</v>
      </c>
      <c r="BV100" s="29" t="n">
        <v>6107731.708970348</v>
      </c>
      <c r="BW100" s="29" t="n">
        <v>162467.7381572778</v>
      </c>
      <c r="BX100" s="29" t="n">
        <v>323021.0889949208</v>
      </c>
      <c r="BY100" s="29" t="n">
        <v>1841181.191271874</v>
      </c>
      <c r="BZ100" s="29" t="n">
        <v>26613.34044089813</v>
      </c>
      <c r="CA100" s="29" t="n">
        <v>2705902.46147122</v>
      </c>
      <c r="CB100" s="29" t="n">
        <v>265945.2241201143</v>
      </c>
      <c r="CC100" s="29" t="n">
        <v>8342.484781597894</v>
      </c>
      <c r="CD100" s="29" t="n">
        <v>29731.4301638879</v>
      </c>
      <c r="CE100" s="29" t="n">
        <v>795062.1504685194</v>
      </c>
      <c r="CF100" s="29" t="n">
        <v>51476.2667437663</v>
      </c>
      <c r="CG100" s="29" t="n">
        <v>594984.6149976531</v>
      </c>
      <c r="CH100" s="29" t="n">
        <v>804052.4296341414</v>
      </c>
      <c r="CI100" s="29" t="n">
        <v>211830.8808849097</v>
      </c>
      <c r="CJ100" s="29" t="n">
        <v>8308388.744608282</v>
      </c>
      <c r="CK100" s="29" t="n">
        <v>1589076.536748451</v>
      </c>
      <c r="CL100" s="29" t="n">
        <v>1773513.099341529</v>
      </c>
      <c r="CM100" s="29" t="n">
        <v>550316.368188218</v>
      </c>
      <c r="CN100" s="29" t="n">
        <v>0</v>
      </c>
      <c r="CO100" s="29" t="n">
        <v>0</v>
      </c>
      <c r="CP100" s="29" t="n">
        <v>1787.301466582152</v>
      </c>
      <c r="CQ100" s="29" t="n">
        <v>98834.59233653211</v>
      </c>
      <c r="CR100" s="29" t="n">
        <v>381870.5136745085</v>
      </c>
      <c r="CS100" s="29" t="n">
        <v>64366.63595834754</v>
      </c>
      <c r="CT100" s="29" t="n">
        <v>58773.81697935794</v>
      </c>
      <c r="CU100" s="29" t="n">
        <v>2140421.079014685</v>
      </c>
      <c r="CV100" s="29" t="n">
        <v>3135615.201260399</v>
      </c>
      <c r="CW100" s="29" t="n">
        <v>1728326.658794772</v>
      </c>
      <c r="CX100" s="29" t="n">
        <v>5035.694204541709</v>
      </c>
      <c r="CY100" s="29" t="n">
        <v>2155411.363983068</v>
      </c>
      <c r="CZ100" s="29" t="n">
        <v>1954.574316874527</v>
      </c>
      <c r="DA100" s="29" t="n">
        <v>272933.9735943959</v>
      </c>
      <c r="DB100" s="29" t="n">
        <v>606204.9067680755</v>
      </c>
      <c r="DC100" s="29" t="n">
        <v>804994.2425288237</v>
      </c>
      <c r="DD100" s="29" t="n">
        <v>47032.21579428525</v>
      </c>
      <c r="DE100" s="29" t="n">
        <v>0</v>
      </c>
      <c r="DF100" s="29">
        <f>SUM(C100:DE100)</f>
        <v/>
      </c>
      <c r="DG100" s="29" t="n">
        <v>0</v>
      </c>
      <c r="DH100" s="29" t="n">
        <v>0</v>
      </c>
      <c r="DI100" s="29" t="n">
        <v>38219055.42022815</v>
      </c>
      <c r="DJ100" s="29" t="n">
        <v>0</v>
      </c>
      <c r="DK100" s="29">
        <f>SUM(DG100:DJ100)</f>
        <v/>
      </c>
      <c r="DL100" s="29">
        <f>DF100+DK100</f>
        <v/>
      </c>
    </row>
    <row r="101">
      <c r="A101" s="30" t="inlineStr">
        <is>
          <t>66</t>
        </is>
      </c>
      <c r="B101" s="30" t="inlineStr">
        <is>
          <t>Financiación de planes de seguros y de pensiones, excepto los planes</t>
        </is>
      </c>
      <c r="C101" s="31" t="n">
        <v>1546782.59109199</v>
      </c>
      <c r="D101" s="31" t="n">
        <v>212863.614037095</v>
      </c>
      <c r="E101" s="31" t="n">
        <v>0</v>
      </c>
      <c r="F101" s="31" t="n">
        <v>0</v>
      </c>
      <c r="G101" s="31" t="n">
        <v>0</v>
      </c>
      <c r="H101" s="31" t="n">
        <v>291175.998814998</v>
      </c>
      <c r="I101" s="31" t="n">
        <v>0</v>
      </c>
      <c r="J101" s="31" t="n">
        <v>0</v>
      </c>
      <c r="K101" s="31" t="n">
        <v>203202.584092942</v>
      </c>
      <c r="L101" s="31" t="n">
        <v>0</v>
      </c>
      <c r="M101" s="31" t="n">
        <v>0</v>
      </c>
      <c r="N101" s="31" t="n">
        <v>199520.4983272041</v>
      </c>
      <c r="O101" s="31" t="n">
        <v>194304.254089439</v>
      </c>
      <c r="P101" s="31" t="n">
        <v>80574.97406422081</v>
      </c>
      <c r="Q101" s="31" t="n">
        <v>434114.263458855</v>
      </c>
      <c r="R101" s="31" t="n">
        <v>177738.182429682</v>
      </c>
      <c r="S101" s="31" t="n">
        <v>131786.5469503892</v>
      </c>
      <c r="T101" s="31" t="n">
        <v>88797.32791870119</v>
      </c>
      <c r="U101" s="31" t="n">
        <v>186029.6951614206</v>
      </c>
      <c r="V101" s="31" t="n">
        <v>48650.11521083699</v>
      </c>
      <c r="W101" s="31" t="n">
        <v>72620.7910925773</v>
      </c>
      <c r="X101" s="31" t="n">
        <v>37197.1893767096</v>
      </c>
      <c r="Y101" s="31" t="n">
        <v>168545.0925158267</v>
      </c>
      <c r="Z101" s="31" t="n">
        <v>34985.8702368254</v>
      </c>
      <c r="AA101" s="31" t="n">
        <v>101535.9696328837</v>
      </c>
      <c r="AB101" s="31" t="n">
        <v>65495.8661163893</v>
      </c>
      <c r="AC101" s="31" t="n">
        <v>180331.7279150375</v>
      </c>
      <c r="AD101" s="31" t="n">
        <v>45574.01287177925</v>
      </c>
      <c r="AE101" s="31" t="n">
        <v>203621.3887528144</v>
      </c>
      <c r="AF101" s="31" t="n">
        <v>127910.7736844817</v>
      </c>
      <c r="AG101" s="31" t="n">
        <v>30367.4337690198</v>
      </c>
      <c r="AH101" s="31" t="n">
        <v>41213.50034437912</v>
      </c>
      <c r="AI101" s="31" t="n">
        <v>135492.7645132945</v>
      </c>
      <c r="AJ101" s="31" t="n">
        <v>247093.2474311184</v>
      </c>
      <c r="AK101" s="31" t="n">
        <v>94981.55516067063</v>
      </c>
      <c r="AL101" s="31" t="n">
        <v>174935.3908994017</v>
      </c>
      <c r="AM101" s="31" t="n">
        <v>629798.8797854185</v>
      </c>
      <c r="AN101" s="31" t="n">
        <v>303975.7737218907</v>
      </c>
      <c r="AO101" s="31" t="n">
        <v>119637.8605938433</v>
      </c>
      <c r="AP101" s="31" t="n">
        <v>312351.587807258</v>
      </c>
      <c r="AQ101" s="31" t="n">
        <v>753973.7865301331</v>
      </c>
      <c r="AR101" s="31" t="n">
        <v>149060.7533887551</v>
      </c>
      <c r="AS101" s="31" t="n">
        <v>314095.4876648151</v>
      </c>
      <c r="AT101" s="31" t="n">
        <v>39928.03393188881</v>
      </c>
      <c r="AU101" s="31" t="n">
        <v>324102.6561156156</v>
      </c>
      <c r="AV101" s="31" t="n">
        <v>122861.015839579</v>
      </c>
      <c r="AW101" s="31" t="n">
        <v>164627.0737089581</v>
      </c>
      <c r="AX101" s="31" t="n">
        <v>79246.3695413722</v>
      </c>
      <c r="AY101" s="31" t="n">
        <v>93695.57772691174</v>
      </c>
      <c r="AZ101" s="31" t="n">
        <v>217040.4686005198</v>
      </c>
      <c r="BA101" s="31" t="n">
        <v>122369.8726236691</v>
      </c>
      <c r="BB101" s="31" t="n">
        <v>105022.3952106036</v>
      </c>
      <c r="BC101" s="31" t="n">
        <v>67520.73758634381</v>
      </c>
      <c r="BD101" s="31" t="n">
        <v>7570.23834832854</v>
      </c>
      <c r="BE101" s="31" t="n">
        <v>62779.6158209886</v>
      </c>
      <c r="BF101" s="31" t="n">
        <v>41015.6376303701</v>
      </c>
      <c r="BG101" s="31" t="n">
        <v>49843.1473238006</v>
      </c>
      <c r="BH101" s="31" t="n">
        <v>252026.5136740782</v>
      </c>
      <c r="BI101" s="31" t="n">
        <v>22034.0263921352</v>
      </c>
      <c r="BJ101" s="31" t="n">
        <v>47165.04357464916</v>
      </c>
      <c r="BK101" s="31" t="n">
        <v>226773.2653647932</v>
      </c>
      <c r="BL101" s="31" t="n">
        <v>141846.892471901</v>
      </c>
      <c r="BM101" s="31" t="n">
        <v>108054.9177896766</v>
      </c>
      <c r="BN101" s="31" t="n">
        <v>146865.0334308572</v>
      </c>
      <c r="BO101" s="31" t="n">
        <v>100894.3097593402</v>
      </c>
      <c r="BP101" s="31" t="n">
        <v>1310302.75855206</v>
      </c>
      <c r="BQ101" s="31" t="n">
        <v>222596.505136187</v>
      </c>
      <c r="BR101" s="31" t="n">
        <v>57489.6438470082</v>
      </c>
      <c r="BS101" s="31" t="n">
        <v>3799701.34395916</v>
      </c>
      <c r="BT101" s="31" t="n">
        <v>284037.3682322169</v>
      </c>
      <c r="BU101" s="31" t="n">
        <v>898127.996206436</v>
      </c>
      <c r="BV101" s="31" t="n">
        <v>1517624.41277114</v>
      </c>
      <c r="BW101" s="31" t="n">
        <v>778.0139777342069</v>
      </c>
      <c r="BX101" s="31" t="n">
        <v>204682.994229515</v>
      </c>
      <c r="BY101" s="31" t="n">
        <v>0</v>
      </c>
      <c r="BZ101" s="31" t="n">
        <v>170474.369033769</v>
      </c>
      <c r="CA101" s="31" t="n">
        <v>17814260.1130939</v>
      </c>
      <c r="CB101" s="31" t="n">
        <v>20526.10202961253</v>
      </c>
      <c r="CC101" s="31" t="n">
        <v>37600.07112570864</v>
      </c>
      <c r="CD101" s="31" t="n">
        <v>2498615.903666658</v>
      </c>
      <c r="CE101" s="31" t="n">
        <v>6056136.726101313</v>
      </c>
      <c r="CF101" s="31" t="n">
        <v>141901.812993251</v>
      </c>
      <c r="CG101" s="31" t="n">
        <v>332489.110938935</v>
      </c>
      <c r="CH101" s="31" t="n">
        <v>1575062.795034281</v>
      </c>
      <c r="CI101" s="31" t="n">
        <v>246196.505728907</v>
      </c>
      <c r="CJ101" s="31" t="n">
        <v>0</v>
      </c>
      <c r="CK101" s="31" t="n">
        <v>86712.41878550631</v>
      </c>
      <c r="CL101" s="31" t="n">
        <v>18070714.57904816</v>
      </c>
      <c r="CM101" s="31" t="n">
        <v>761488.0481845057</v>
      </c>
      <c r="CN101" s="31" t="n">
        <v>0</v>
      </c>
      <c r="CO101" s="31" t="n">
        <v>0</v>
      </c>
      <c r="CP101" s="31" t="n">
        <v>12190.3728892994</v>
      </c>
      <c r="CQ101" s="31" t="n">
        <v>169513.600362576</v>
      </c>
      <c r="CR101" s="31" t="n">
        <v>436986.7067007159</v>
      </c>
      <c r="CS101" s="31" t="n">
        <v>162369.6532672819</v>
      </c>
      <c r="CT101" s="31" t="n">
        <v>148261.349098755</v>
      </c>
      <c r="CU101" s="31" t="n">
        <v>4033126.149995253</v>
      </c>
      <c r="CV101" s="31" t="n">
        <v>7909823.86181765</v>
      </c>
      <c r="CW101" s="31" t="n">
        <v>959110.477559465</v>
      </c>
      <c r="CX101" s="31" t="n">
        <v>19938.306606698</v>
      </c>
      <c r="CY101" s="31" t="n">
        <v>505349.2038174503</v>
      </c>
      <c r="CZ101" s="31" t="n">
        <v>18638.8254939046</v>
      </c>
      <c r="DA101" s="31" t="n">
        <v>975448.390338439</v>
      </c>
      <c r="DB101" s="31" t="n">
        <v>1126908.80920901</v>
      </c>
      <c r="DC101" s="31" t="n">
        <v>783844.3233646932</v>
      </c>
      <c r="DD101" s="31" t="n">
        <v>2513.19538951315</v>
      </c>
      <c r="DE101" s="31" t="n">
        <v>0</v>
      </c>
      <c r="DF101" s="31">
        <f>SUM(C101:DE101)</f>
        <v/>
      </c>
      <c r="DG101" s="31" t="n">
        <v>0</v>
      </c>
      <c r="DH101" s="31" t="n">
        <v>0</v>
      </c>
      <c r="DI101" s="31" t="n">
        <v>189589682.4895163</v>
      </c>
      <c r="DJ101" s="31" t="n">
        <v>0</v>
      </c>
      <c r="DK101" s="31">
        <f>SUM(DG101:DJ101)</f>
        <v/>
      </c>
      <c r="DL101" s="31">
        <f>DF101+DK101</f>
        <v/>
      </c>
    </row>
    <row r="102">
      <c r="A102" s="28" t="inlineStr">
        <is>
          <t>67</t>
        </is>
      </c>
      <c r="B102" s="28" t="inlineStr">
        <is>
          <t>ACTIVIDADES AUXILIARES DE LA INTERMEDIACIÓN</t>
        </is>
      </c>
      <c r="C102" s="29" t="n">
        <v>468282.692553221</v>
      </c>
      <c r="D102" s="29" t="n">
        <v>62280.39336080119</v>
      </c>
      <c r="E102" s="29" t="n">
        <v>0</v>
      </c>
      <c r="F102" s="29" t="n">
        <v>0</v>
      </c>
      <c r="G102" s="29" t="n">
        <v>0</v>
      </c>
      <c r="H102" s="29" t="n">
        <v>46348.84530171463</v>
      </c>
      <c r="I102" s="29" t="n">
        <v>2435.381051417374</v>
      </c>
      <c r="J102" s="29" t="n">
        <v>236904.6894600551</v>
      </c>
      <c r="K102" s="29" t="n">
        <v>33237.97934219421</v>
      </c>
      <c r="L102" s="29" t="n">
        <v>11272.44761559305</v>
      </c>
      <c r="M102" s="29" t="n">
        <v>21084.85702773525</v>
      </c>
      <c r="N102" s="29" t="n">
        <v>52695.86553397216</v>
      </c>
      <c r="O102" s="29" t="n">
        <v>19267.92916286352</v>
      </c>
      <c r="P102" s="29" t="n">
        <v>14002.50178288814</v>
      </c>
      <c r="Q102" s="29" t="n">
        <v>331348.3621330734</v>
      </c>
      <c r="R102" s="29" t="n">
        <v>52960.21556670907</v>
      </c>
      <c r="S102" s="29" t="n">
        <v>25923.06866091822</v>
      </c>
      <c r="T102" s="29" t="n">
        <v>23787.27131603987</v>
      </c>
      <c r="U102" s="29" t="n">
        <v>21330.47386938091</v>
      </c>
      <c r="V102" s="29" t="n">
        <v>9526.935613806847</v>
      </c>
      <c r="W102" s="29" t="n">
        <v>20210.13250746183</v>
      </c>
      <c r="X102" s="29" t="n">
        <v>5247.314265681441</v>
      </c>
      <c r="Y102" s="29" t="n">
        <v>55166.20626662667</v>
      </c>
      <c r="Z102" s="29" t="n">
        <v>9033.26754456836</v>
      </c>
      <c r="AA102" s="29" t="n">
        <v>25706.92548306936</v>
      </c>
      <c r="AB102" s="29" t="n">
        <v>323.4235897864594</v>
      </c>
      <c r="AC102" s="29" t="n">
        <v>123274.5699832689</v>
      </c>
      <c r="AD102" s="29" t="n">
        <v>12774.53251193219</v>
      </c>
      <c r="AE102" s="29" t="n">
        <v>18628.85026063215</v>
      </c>
      <c r="AF102" s="29" t="n">
        <v>27841.55805970903</v>
      </c>
      <c r="AG102" s="29" t="n">
        <v>4935.722672565198</v>
      </c>
      <c r="AH102" s="29" t="n">
        <v>8027.527454190988</v>
      </c>
      <c r="AI102" s="29" t="n">
        <v>41398.45243973163</v>
      </c>
      <c r="AJ102" s="29" t="n">
        <v>33578.73262189448</v>
      </c>
      <c r="AK102" s="29" t="n">
        <v>27591.3924445984</v>
      </c>
      <c r="AL102" s="29" t="n">
        <v>27476.88810773685</v>
      </c>
      <c r="AM102" s="29" t="n">
        <v>2216.610748523504</v>
      </c>
      <c r="AN102" s="29" t="n">
        <v>23828.01270026842</v>
      </c>
      <c r="AO102" s="29" t="n">
        <v>14056.70320158832</v>
      </c>
      <c r="AP102" s="29" t="n">
        <v>5919.390166938331</v>
      </c>
      <c r="AQ102" s="29" t="n">
        <v>132164.7567193964</v>
      </c>
      <c r="AR102" s="29" t="n">
        <v>20206.27512091474</v>
      </c>
      <c r="AS102" s="29" t="n">
        <v>62330.68745073459</v>
      </c>
      <c r="AT102" s="29" t="n">
        <v>10082.59706916946</v>
      </c>
      <c r="AU102" s="29" t="n">
        <v>40799.51521773597</v>
      </c>
      <c r="AV102" s="29" t="n">
        <v>15106.64483753487</v>
      </c>
      <c r="AW102" s="29" t="n">
        <v>6125.90842103166</v>
      </c>
      <c r="AX102" s="29" t="n">
        <v>13433.18002889221</v>
      </c>
      <c r="AY102" s="29" t="n">
        <v>18166.48853488367</v>
      </c>
      <c r="AZ102" s="29" t="n">
        <v>50546.18101479953</v>
      </c>
      <c r="BA102" s="29" t="n">
        <v>28198.2607028579</v>
      </c>
      <c r="BB102" s="29" t="n">
        <v>34939.47807697539</v>
      </c>
      <c r="BC102" s="29" t="n">
        <v>18259.66452381045</v>
      </c>
      <c r="BD102" s="29" t="n">
        <v>3905.289170159327</v>
      </c>
      <c r="BE102" s="29" t="n">
        <v>13215.49563929525</v>
      </c>
      <c r="BF102" s="29" t="n">
        <v>6731.180862615441</v>
      </c>
      <c r="BG102" s="29" t="n">
        <v>8301.682332415008</v>
      </c>
      <c r="BH102" s="29" t="n">
        <v>31637.05808444713</v>
      </c>
      <c r="BI102" s="29" t="n">
        <v>5170.978014697675</v>
      </c>
      <c r="BJ102" s="29" t="n">
        <v>14314.59382625472</v>
      </c>
      <c r="BK102" s="29" t="n">
        <v>15756.81312473377</v>
      </c>
      <c r="BL102" s="29" t="n">
        <v>34808.94049577387</v>
      </c>
      <c r="BM102" s="29" t="n">
        <v>8842.083945906799</v>
      </c>
      <c r="BN102" s="29" t="n">
        <v>26933.91784622136</v>
      </c>
      <c r="BO102" s="29" t="n">
        <v>18090.44185010943</v>
      </c>
      <c r="BP102" s="29" t="n">
        <v>159302.8341699617</v>
      </c>
      <c r="BQ102" s="29" t="n">
        <v>165028.8324837509</v>
      </c>
      <c r="BR102" s="29" t="n">
        <v>108393.2503492562</v>
      </c>
      <c r="BS102" s="29" t="n">
        <v>89905.71188838939</v>
      </c>
      <c r="BT102" s="29" t="n">
        <v>436930.9534453813</v>
      </c>
      <c r="BU102" s="29" t="n">
        <v>1765561.242025414</v>
      </c>
      <c r="BV102" s="29" t="n">
        <v>2138990.703547576</v>
      </c>
      <c r="BW102" s="29" t="n">
        <v>56897.87929525868</v>
      </c>
      <c r="BX102" s="29" t="n">
        <v>113125.3203861552</v>
      </c>
      <c r="BY102" s="29" t="n">
        <v>644800.662395354</v>
      </c>
      <c r="BZ102" s="29" t="n">
        <v>9320.266590921437</v>
      </c>
      <c r="CA102" s="29" t="n">
        <v>947634.9790042066</v>
      </c>
      <c r="CB102" s="29" t="n">
        <v>93136.76322919226</v>
      </c>
      <c r="CC102" s="29" t="n">
        <v>2921.624302213052</v>
      </c>
      <c r="CD102" s="29" t="n">
        <v>10412.25380452266</v>
      </c>
      <c r="CE102" s="29" t="n">
        <v>278438.9736859286</v>
      </c>
      <c r="CF102" s="29" t="n">
        <v>18027.52007861416</v>
      </c>
      <c r="CG102" s="29" t="n">
        <v>208369.7550703912</v>
      </c>
      <c r="CH102" s="29" t="n">
        <v>281587.4622695577</v>
      </c>
      <c r="CI102" s="29" t="n">
        <v>74185.3615265463</v>
      </c>
      <c r="CJ102" s="29" t="n">
        <v>2909683.518035928</v>
      </c>
      <c r="CK102" s="29" t="n">
        <v>556511.0095354082</v>
      </c>
      <c r="CL102" s="29" t="n">
        <v>57985768.59796446</v>
      </c>
      <c r="CM102" s="29" t="n">
        <v>192726.4738619477</v>
      </c>
      <c r="CN102" s="29" t="n">
        <v>0</v>
      </c>
      <c r="CO102" s="29" t="n">
        <v>0</v>
      </c>
      <c r="CP102" s="29" t="n">
        <v>625.9314265296472</v>
      </c>
      <c r="CQ102" s="29" t="n">
        <v>34612.89465060605</v>
      </c>
      <c r="CR102" s="29" t="n">
        <v>133734.9964978098</v>
      </c>
      <c r="CS102" s="29" t="n">
        <v>22541.86046373454</v>
      </c>
      <c r="CT102" s="29" t="n">
        <v>20583.19751442501</v>
      </c>
      <c r="CU102" s="29" t="n">
        <v>749597.5605748254</v>
      </c>
      <c r="CV102" s="29" t="n">
        <v>1098124.817032794</v>
      </c>
      <c r="CW102" s="29" t="n">
        <v>605277.8399591303</v>
      </c>
      <c r="CX102" s="29" t="n">
        <v>1763.552101282288</v>
      </c>
      <c r="CY102" s="29" t="n">
        <v>754847.3131374349</v>
      </c>
      <c r="CZ102" s="29" t="n">
        <v>684.5121057048323</v>
      </c>
      <c r="DA102" s="29" t="n">
        <v>95584.29545018944</v>
      </c>
      <c r="DB102" s="29" t="n">
        <v>212299.21709191</v>
      </c>
      <c r="DC102" s="29" t="n">
        <v>281917.2948689904</v>
      </c>
      <c r="DD102" s="29" t="n">
        <v>16471.16755365457</v>
      </c>
      <c r="DE102" s="29" t="n">
        <v>0</v>
      </c>
      <c r="DF102" s="29">
        <f>SUM(C102:DE102)</f>
        <v/>
      </c>
      <c r="DG102" s="29" t="n">
        <v>0</v>
      </c>
      <c r="DH102" s="29" t="n">
        <v>0</v>
      </c>
      <c r="DI102" s="29" t="n">
        <v>14350229.06230329</v>
      </c>
      <c r="DJ102" s="29" t="n">
        <v>0</v>
      </c>
      <c r="DK102" s="29">
        <f>SUM(DG102:DJ102)</f>
        <v/>
      </c>
      <c r="DL102" s="29">
        <f>DF102+DK102</f>
        <v/>
      </c>
    </row>
    <row r="103">
      <c r="A103" s="30" t="inlineStr">
        <is>
          <t>701 A</t>
        </is>
      </c>
      <c r="B103" s="30" t="inlineStr">
        <is>
          <t>701 A - Propiedad de la vivienda.</t>
        </is>
      </c>
      <c r="C103" s="31" t="n">
        <v>0</v>
      </c>
      <c r="D103" s="31" t="n">
        <v>0</v>
      </c>
      <c r="E103" s="31" t="n">
        <v>0</v>
      </c>
      <c r="F103" s="31" t="n">
        <v>0</v>
      </c>
      <c r="G103" s="31" t="n">
        <v>0</v>
      </c>
      <c r="H103" s="31" t="n">
        <v>0</v>
      </c>
      <c r="I103" s="31" t="n">
        <v>0</v>
      </c>
      <c r="J103" s="31" t="n">
        <v>0</v>
      </c>
      <c r="K103" s="31" t="n">
        <v>0</v>
      </c>
      <c r="L103" s="31" t="n">
        <v>0</v>
      </c>
      <c r="M103" s="31" t="n">
        <v>0</v>
      </c>
      <c r="N103" s="31" t="n">
        <v>0</v>
      </c>
      <c r="O103" s="31" t="n">
        <v>0</v>
      </c>
      <c r="P103" s="31" t="n">
        <v>0</v>
      </c>
      <c r="Q103" s="31" t="n">
        <v>0</v>
      </c>
      <c r="R103" s="31" t="n">
        <v>0</v>
      </c>
      <c r="S103" s="31" t="n">
        <v>0</v>
      </c>
      <c r="T103" s="31" t="n">
        <v>0</v>
      </c>
      <c r="U103" s="31" t="n">
        <v>0</v>
      </c>
      <c r="V103" s="31" t="n">
        <v>0</v>
      </c>
      <c r="W103" s="31" t="n">
        <v>0</v>
      </c>
      <c r="X103" s="31" t="n">
        <v>0</v>
      </c>
      <c r="Y103" s="31" t="n">
        <v>0</v>
      </c>
      <c r="Z103" s="31" t="n">
        <v>0</v>
      </c>
      <c r="AA103" s="31" t="n">
        <v>0</v>
      </c>
      <c r="AB103" s="31" t="n">
        <v>0</v>
      </c>
      <c r="AC103" s="31" t="n">
        <v>0</v>
      </c>
      <c r="AD103" s="31" t="n">
        <v>0</v>
      </c>
      <c r="AE103" s="31" t="n">
        <v>0</v>
      </c>
      <c r="AF103" s="31" t="n">
        <v>0</v>
      </c>
      <c r="AG103" s="31" t="n">
        <v>0</v>
      </c>
      <c r="AH103" s="31" t="n">
        <v>0</v>
      </c>
      <c r="AI103" s="31" t="n">
        <v>0</v>
      </c>
      <c r="AJ103" s="31" t="n">
        <v>0</v>
      </c>
      <c r="AK103" s="31" t="n">
        <v>0</v>
      </c>
      <c r="AL103" s="31" t="n">
        <v>0</v>
      </c>
      <c r="AM103" s="31" t="n">
        <v>0</v>
      </c>
      <c r="AN103" s="31" t="n">
        <v>0</v>
      </c>
      <c r="AO103" s="31" t="n">
        <v>0</v>
      </c>
      <c r="AP103" s="31" t="n">
        <v>0</v>
      </c>
      <c r="AQ103" s="31" t="n">
        <v>0</v>
      </c>
      <c r="AR103" s="31" t="n">
        <v>0</v>
      </c>
      <c r="AS103" s="31" t="n">
        <v>0</v>
      </c>
      <c r="AT103" s="31" t="n">
        <v>0</v>
      </c>
      <c r="AU103" s="31" t="n">
        <v>0</v>
      </c>
      <c r="AV103" s="31" t="n">
        <v>0</v>
      </c>
      <c r="AW103" s="31" t="n">
        <v>0</v>
      </c>
      <c r="AX103" s="31" t="n">
        <v>0</v>
      </c>
      <c r="AY103" s="31" t="n">
        <v>0</v>
      </c>
      <c r="AZ103" s="31" t="n">
        <v>0</v>
      </c>
      <c r="BA103" s="31" t="n">
        <v>0</v>
      </c>
      <c r="BB103" s="31" t="n">
        <v>0</v>
      </c>
      <c r="BC103" s="31" t="n">
        <v>0</v>
      </c>
      <c r="BD103" s="31" t="n">
        <v>0</v>
      </c>
      <c r="BE103" s="31" t="n">
        <v>0</v>
      </c>
      <c r="BF103" s="31" t="n">
        <v>0</v>
      </c>
      <c r="BG103" s="31" t="n">
        <v>0</v>
      </c>
      <c r="BH103" s="31" t="n">
        <v>0</v>
      </c>
      <c r="BI103" s="31" t="n">
        <v>0</v>
      </c>
      <c r="BJ103" s="31" t="n">
        <v>0</v>
      </c>
      <c r="BK103" s="31" t="n">
        <v>0</v>
      </c>
      <c r="BL103" s="31" t="n">
        <v>0</v>
      </c>
      <c r="BM103" s="31" t="n">
        <v>0</v>
      </c>
      <c r="BN103" s="31" t="n">
        <v>0</v>
      </c>
      <c r="BO103" s="31" t="n">
        <v>0</v>
      </c>
      <c r="BP103" s="31" t="n">
        <v>0</v>
      </c>
      <c r="BQ103" s="31" t="n">
        <v>0</v>
      </c>
      <c r="BR103" s="31" t="n">
        <v>0</v>
      </c>
      <c r="BS103" s="31" t="n">
        <v>0</v>
      </c>
      <c r="BT103" s="31" t="n">
        <v>0</v>
      </c>
      <c r="BU103" s="31" t="n">
        <v>0</v>
      </c>
      <c r="BV103" s="31" t="n">
        <v>0</v>
      </c>
      <c r="BW103" s="31" t="n">
        <v>0</v>
      </c>
      <c r="BX103" s="31" t="n">
        <v>0</v>
      </c>
      <c r="BY103" s="31" t="n">
        <v>0</v>
      </c>
      <c r="BZ103" s="31" t="n">
        <v>0</v>
      </c>
      <c r="CA103" s="31" t="n">
        <v>0</v>
      </c>
      <c r="CB103" s="31" t="n">
        <v>0</v>
      </c>
      <c r="CC103" s="31" t="n">
        <v>0</v>
      </c>
      <c r="CD103" s="31" t="n">
        <v>0</v>
      </c>
      <c r="CE103" s="31" t="n">
        <v>0</v>
      </c>
      <c r="CF103" s="31" t="n">
        <v>0</v>
      </c>
      <c r="CG103" s="31" t="n">
        <v>0</v>
      </c>
      <c r="CH103" s="31" t="n">
        <v>0</v>
      </c>
      <c r="CI103" s="31" t="n">
        <v>0</v>
      </c>
      <c r="CJ103" s="31" t="n">
        <v>0</v>
      </c>
      <c r="CK103" s="31" t="n">
        <v>0</v>
      </c>
      <c r="CL103" s="31" t="n">
        <v>0</v>
      </c>
      <c r="CM103" s="31" t="n">
        <v>0</v>
      </c>
      <c r="CN103" s="31" t="n">
        <v>0</v>
      </c>
      <c r="CO103" s="31" t="n">
        <v>0</v>
      </c>
      <c r="CP103" s="31" t="n">
        <v>0</v>
      </c>
      <c r="CQ103" s="31" t="n">
        <v>0</v>
      </c>
      <c r="CR103" s="31" t="n">
        <v>0</v>
      </c>
      <c r="CS103" s="31" t="n">
        <v>0</v>
      </c>
      <c r="CT103" s="31" t="n">
        <v>0</v>
      </c>
      <c r="CU103" s="31" t="n">
        <v>0</v>
      </c>
      <c r="CV103" s="31" t="n">
        <v>0</v>
      </c>
      <c r="CW103" s="31" t="n">
        <v>0</v>
      </c>
      <c r="CX103" s="31" t="n">
        <v>0</v>
      </c>
      <c r="CY103" s="31" t="n">
        <v>0</v>
      </c>
      <c r="CZ103" s="31" t="n">
        <v>0</v>
      </c>
      <c r="DA103" s="31" t="n">
        <v>0</v>
      </c>
      <c r="DB103" s="31" t="n">
        <v>0</v>
      </c>
      <c r="DC103" s="31" t="n">
        <v>0</v>
      </c>
      <c r="DD103" s="31" t="n">
        <v>0</v>
      </c>
      <c r="DE103" s="31" t="n">
        <v>0</v>
      </c>
      <c r="DF103" s="31">
        <f>SUM(C103:DE103)</f>
        <v/>
      </c>
      <c r="DG103" s="31" t="n">
        <v>0</v>
      </c>
      <c r="DH103" s="31" t="n">
        <v>0</v>
      </c>
      <c r="DI103" s="31" t="n">
        <v>607600635.89763</v>
      </c>
      <c r="DJ103" s="31" t="n">
        <v>0</v>
      </c>
      <c r="DK103" s="31">
        <f>SUM(DG103:DJ103)</f>
        <v/>
      </c>
      <c r="DL103" s="31">
        <f>DF103+DK103</f>
        <v/>
      </c>
    </row>
    <row r="104">
      <c r="A104" s="28" t="inlineStr">
        <is>
          <t>701 B</t>
        </is>
      </c>
      <c r="B104" s="28" t="inlineStr">
        <is>
          <t>701 B - Alquiler de los sectores productores.</t>
        </is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207197.8590894853</v>
      </c>
      <c r="I104" s="29" t="n">
        <v>1901.885916484573</v>
      </c>
      <c r="J104" s="29" t="n">
        <v>705193.9849064752</v>
      </c>
      <c r="K104" s="29" t="n">
        <v>673857.016511799</v>
      </c>
      <c r="L104" s="29" t="n">
        <v>82856.85122569042</v>
      </c>
      <c r="M104" s="29" t="n">
        <v>136895.9277548186</v>
      </c>
      <c r="N104" s="29" t="n">
        <v>240007.1026104537</v>
      </c>
      <c r="O104" s="29" t="n">
        <v>139083.0724567096</v>
      </c>
      <c r="P104" s="29" t="n">
        <v>69514.4372010698</v>
      </c>
      <c r="Q104" s="29" t="n">
        <v>236680.6123318139</v>
      </c>
      <c r="R104" s="29" t="n">
        <v>507094.527130529</v>
      </c>
      <c r="S104" s="29" t="n">
        <v>96290.61068874037</v>
      </c>
      <c r="T104" s="29" t="n">
        <v>157830.46187017</v>
      </c>
      <c r="U104" s="29" t="n">
        <v>645887.1192084203</v>
      </c>
      <c r="V104" s="29" t="n">
        <v>39361.46890900579</v>
      </c>
      <c r="W104" s="29" t="n">
        <v>96982.45479349836</v>
      </c>
      <c r="X104" s="29" t="n">
        <v>103302.7366758481</v>
      </c>
      <c r="Y104" s="29" t="n">
        <v>230898.1705599671</v>
      </c>
      <c r="Z104" s="29" t="n">
        <v>1522.517955330713</v>
      </c>
      <c r="AA104" s="29" t="n">
        <v>151091.0054292505</v>
      </c>
      <c r="AB104" s="29" t="n">
        <v>98388.89726930198</v>
      </c>
      <c r="AC104" s="29" t="n">
        <v>347464.6910823584</v>
      </c>
      <c r="AD104" s="29" t="n">
        <v>16926.09397665796</v>
      </c>
      <c r="AE104" s="29" t="n">
        <v>186959.78777537</v>
      </c>
      <c r="AF104" s="29" t="n">
        <v>622445.5332557497</v>
      </c>
      <c r="AG104" s="29" t="n">
        <v>39906.20908435409</v>
      </c>
      <c r="AH104" s="29" t="n">
        <v>267592.4363487183</v>
      </c>
      <c r="AI104" s="29" t="n">
        <v>190905.3364622672</v>
      </c>
      <c r="AJ104" s="29" t="n">
        <v>397412.637082795</v>
      </c>
      <c r="AK104" s="29" t="n">
        <v>302758.4562585965</v>
      </c>
      <c r="AL104" s="29" t="n">
        <v>351809.6270128076</v>
      </c>
      <c r="AM104" s="29" t="n">
        <v>260607.7946147897</v>
      </c>
      <c r="AN104" s="29" t="n">
        <v>86888.53644250677</v>
      </c>
      <c r="AO104" s="29" t="n">
        <v>32424.75987536368</v>
      </c>
      <c r="AP104" s="29" t="n">
        <v>49263.1436534631</v>
      </c>
      <c r="AQ104" s="29" t="n">
        <v>837584.8482065236</v>
      </c>
      <c r="AR104" s="29" t="n">
        <v>86812.25882008568</v>
      </c>
      <c r="AS104" s="29" t="n">
        <v>397019.9331846433</v>
      </c>
      <c r="AT104" s="29" t="n">
        <v>35045.61386788473</v>
      </c>
      <c r="AU104" s="29" t="n">
        <v>296287.3485397295</v>
      </c>
      <c r="AV104" s="29" t="n">
        <v>100764.0648486625</v>
      </c>
      <c r="AW104" s="29" t="n">
        <v>36480.54262239561</v>
      </c>
      <c r="AX104" s="29" t="n">
        <v>96878.35161109701</v>
      </c>
      <c r="AY104" s="29" t="n">
        <v>198203.0691881744</v>
      </c>
      <c r="AZ104" s="29" t="n">
        <v>388398.7697862647</v>
      </c>
      <c r="BA104" s="29" t="n">
        <v>164025.2182720598</v>
      </c>
      <c r="BB104" s="29" t="n">
        <v>182825.6292482174</v>
      </c>
      <c r="BC104" s="29" t="n">
        <v>55113.7694142642</v>
      </c>
      <c r="BD104" s="29" t="n">
        <v>24359.21096537039</v>
      </c>
      <c r="BE104" s="29" t="n">
        <v>90533.40058131461</v>
      </c>
      <c r="BF104" s="29" t="n">
        <v>30429.74995081742</v>
      </c>
      <c r="BG104" s="29" t="n">
        <v>80612.12854162315</v>
      </c>
      <c r="BH104" s="29" t="n">
        <v>286278.6689904456</v>
      </c>
      <c r="BI104" s="29" t="n">
        <v>12812.66445622623</v>
      </c>
      <c r="BJ104" s="29" t="n">
        <v>90039.54311557082</v>
      </c>
      <c r="BK104" s="29" t="n">
        <v>104211.0042870286</v>
      </c>
      <c r="BL104" s="29" t="n">
        <v>207041.8617420699</v>
      </c>
      <c r="BM104" s="29" t="n">
        <v>215879.9649111685</v>
      </c>
      <c r="BN104" s="29" t="n">
        <v>409015.8558202053</v>
      </c>
      <c r="BO104" s="29" t="n">
        <v>124443.4755811833</v>
      </c>
      <c r="BP104" s="29" t="n">
        <v>793911.6768206469</v>
      </c>
      <c r="BQ104" s="29" t="n">
        <v>440556.6294934633</v>
      </c>
      <c r="BR104" s="29" t="n">
        <v>220390.1937697429</v>
      </c>
      <c r="BS104" s="29" t="n">
        <v>0</v>
      </c>
      <c r="BT104" s="29" t="n">
        <v>3412940.055137525</v>
      </c>
      <c r="BU104" s="29" t="n">
        <v>7271894.885223906</v>
      </c>
      <c r="BV104" s="29" t="n">
        <v>72582875.54360431</v>
      </c>
      <c r="BW104" s="29" t="n">
        <v>0</v>
      </c>
      <c r="BX104" s="29" t="n">
        <v>674730.5793048276</v>
      </c>
      <c r="BY104" s="29" t="n">
        <v>15854400.96623192</v>
      </c>
      <c r="BZ104" s="29" t="n">
        <v>234194.9575304569</v>
      </c>
      <c r="CA104" s="29" t="n">
        <v>4399727.821729149</v>
      </c>
      <c r="CB104" s="29" t="n">
        <v>592150.7686265511</v>
      </c>
      <c r="CC104" s="29" t="n">
        <v>19550.00657506113</v>
      </c>
      <c r="CD104" s="29" t="n">
        <v>778521.8749578497</v>
      </c>
      <c r="CE104" s="29" t="n">
        <v>6846791.95100846</v>
      </c>
      <c r="CF104" s="29" t="n">
        <v>596451.404812266</v>
      </c>
      <c r="CG104" s="29" t="n">
        <v>1094521.270026265</v>
      </c>
      <c r="CH104" s="29" t="n">
        <v>1752012.506676027</v>
      </c>
      <c r="CI104" s="29" t="n">
        <v>1269631.322953235</v>
      </c>
      <c r="CJ104" s="29" t="n">
        <v>5923678.119787078</v>
      </c>
      <c r="CK104" s="29" t="n">
        <v>1395369.60500323</v>
      </c>
      <c r="CL104" s="29" t="n">
        <v>2719371.770447516</v>
      </c>
      <c r="CM104" s="29" t="n">
        <v>1322789.008332859</v>
      </c>
      <c r="CN104" s="29" t="n">
        <v>0</v>
      </c>
      <c r="CO104" s="29" t="n">
        <v>0</v>
      </c>
      <c r="CP104" s="29" t="n">
        <v>234317.4778299941</v>
      </c>
      <c r="CQ104" s="29" t="n">
        <v>510744.0208822357</v>
      </c>
      <c r="CR104" s="29" t="n">
        <v>1478452.485349224</v>
      </c>
      <c r="CS104" s="29" t="n">
        <v>187781.7013681947</v>
      </c>
      <c r="CT104" s="29" t="n">
        <v>171465.3435582485</v>
      </c>
      <c r="CU104" s="29" t="n">
        <v>4042479.591238598</v>
      </c>
      <c r="CV104" s="29" t="n">
        <v>9147769.625706041</v>
      </c>
      <c r="CW104" s="29" t="n">
        <v>4161828.911430621</v>
      </c>
      <c r="CX104" s="29" t="n">
        <v>1362940.326617581</v>
      </c>
      <c r="CY104" s="29" t="n">
        <v>4217034.630748662</v>
      </c>
      <c r="CZ104" s="29" t="n">
        <v>292126.0649232692</v>
      </c>
      <c r="DA104" s="29" t="n">
        <v>1007366.925346069</v>
      </c>
      <c r="DB104" s="29" t="n">
        <v>855716.9615186849</v>
      </c>
      <c r="DC104" s="29" t="n">
        <v>2159863.790933044</v>
      </c>
      <c r="DD104" s="29" t="n">
        <v>460979.3451902763</v>
      </c>
      <c r="DE104" s="29" t="n">
        <v>0</v>
      </c>
      <c r="DF104" s="29">
        <f>SUM(C104:DE104)</f>
        <v/>
      </c>
      <c r="DG104" s="29" t="n">
        <v>0</v>
      </c>
      <c r="DH104" s="29" t="n">
        <v>0</v>
      </c>
      <c r="DI104" s="29" t="n">
        <v>465105.2212319432</v>
      </c>
      <c r="DJ104" s="29" t="n">
        <v>0</v>
      </c>
      <c r="DK104" s="29">
        <f>SUM(DG104:DJ104)</f>
        <v/>
      </c>
      <c r="DL104" s="29">
        <f>DF104+DK104</f>
        <v/>
      </c>
    </row>
    <row r="105">
      <c r="A105" s="30" t="inlineStr">
        <is>
          <t>702</t>
        </is>
      </c>
      <c r="B105" s="30" t="inlineStr">
        <is>
          <t>Actividades inmobiliarias realizadas a cambio de una retribución o por contrata</t>
        </is>
      </c>
      <c r="C105" s="31" t="n">
        <v>100882</v>
      </c>
      <c r="D105" s="31" t="n">
        <v>0</v>
      </c>
      <c r="E105" s="31" t="n">
        <v>0</v>
      </c>
      <c r="F105" s="31" t="n">
        <v>0</v>
      </c>
      <c r="G105" s="31" t="n">
        <v>0</v>
      </c>
      <c r="H105" s="31" t="n">
        <v>0</v>
      </c>
      <c r="I105" s="31" t="n">
        <v>0</v>
      </c>
      <c r="J105" s="31" t="n">
        <v>0</v>
      </c>
      <c r="K105" s="31" t="n">
        <v>0</v>
      </c>
      <c r="L105" s="31" t="n">
        <v>1211.6604708574</v>
      </c>
      <c r="M105" s="31" t="n">
        <v>7275.98780702929</v>
      </c>
      <c r="N105" s="31" t="n">
        <v>0</v>
      </c>
      <c r="O105" s="31" t="n">
        <v>0</v>
      </c>
      <c r="P105" s="31" t="n">
        <v>0</v>
      </c>
      <c r="Q105" s="31" t="n">
        <v>168999.9999999999</v>
      </c>
      <c r="R105" s="31" t="n">
        <v>0</v>
      </c>
      <c r="S105" s="31" t="n">
        <v>0</v>
      </c>
      <c r="T105" s="31" t="n">
        <v>0</v>
      </c>
      <c r="U105" s="31" t="n">
        <v>0</v>
      </c>
      <c r="V105" s="31" t="n">
        <v>0</v>
      </c>
      <c r="W105" s="31" t="n">
        <v>0</v>
      </c>
      <c r="X105" s="31" t="n">
        <v>0</v>
      </c>
      <c r="Y105" s="31" t="n">
        <v>0</v>
      </c>
      <c r="Z105" s="31" t="n">
        <v>0</v>
      </c>
      <c r="AA105" s="31" t="n">
        <v>0</v>
      </c>
      <c r="AB105" s="31" t="n">
        <v>0</v>
      </c>
      <c r="AC105" s="31" t="n">
        <v>0</v>
      </c>
      <c r="AD105" s="31" t="n">
        <v>0</v>
      </c>
      <c r="AE105" s="31" t="n">
        <v>0</v>
      </c>
      <c r="AF105" s="31" t="n">
        <v>0</v>
      </c>
      <c r="AG105" s="31" t="n">
        <v>0</v>
      </c>
      <c r="AH105" s="31" t="n">
        <v>0</v>
      </c>
      <c r="AI105" s="31" t="n">
        <v>0</v>
      </c>
      <c r="AJ105" s="31" t="n">
        <v>0</v>
      </c>
      <c r="AK105" s="31" t="n">
        <v>0</v>
      </c>
      <c r="AL105" s="31" t="n">
        <v>0</v>
      </c>
      <c r="AM105" s="31" t="n">
        <v>0</v>
      </c>
      <c r="AN105" s="31" t="n">
        <v>0</v>
      </c>
      <c r="AO105" s="31" t="n">
        <v>0</v>
      </c>
      <c r="AP105" s="31" t="n">
        <v>0</v>
      </c>
      <c r="AQ105" s="31" t="n">
        <v>0</v>
      </c>
      <c r="AR105" s="31" t="n">
        <v>0</v>
      </c>
      <c r="AS105" s="31" t="n">
        <v>0</v>
      </c>
      <c r="AT105" s="31" t="n">
        <v>0</v>
      </c>
      <c r="AU105" s="31" t="n">
        <v>0</v>
      </c>
      <c r="AV105" s="31" t="n">
        <v>0</v>
      </c>
      <c r="AW105" s="31" t="n">
        <v>0</v>
      </c>
      <c r="AX105" s="31" t="n">
        <v>0</v>
      </c>
      <c r="AY105" s="31" t="n">
        <v>0</v>
      </c>
      <c r="AZ105" s="31" t="n">
        <v>0</v>
      </c>
      <c r="BA105" s="31" t="n">
        <v>0</v>
      </c>
      <c r="BB105" s="31" t="n">
        <v>0</v>
      </c>
      <c r="BC105" s="31" t="n">
        <v>0</v>
      </c>
      <c r="BD105" s="31" t="n">
        <v>0</v>
      </c>
      <c r="BE105" s="31" t="n">
        <v>0</v>
      </c>
      <c r="BF105" s="31" t="n">
        <v>0</v>
      </c>
      <c r="BG105" s="31" t="n">
        <v>0</v>
      </c>
      <c r="BH105" s="31" t="n">
        <v>0</v>
      </c>
      <c r="BI105" s="31" t="n">
        <v>0</v>
      </c>
      <c r="BJ105" s="31" t="n">
        <v>0</v>
      </c>
      <c r="BK105" s="31" t="n">
        <v>0</v>
      </c>
      <c r="BL105" s="31" t="n">
        <v>0</v>
      </c>
      <c r="BM105" s="31" t="n">
        <v>0</v>
      </c>
      <c r="BN105" s="31" t="n">
        <v>0</v>
      </c>
      <c r="BO105" s="31" t="n">
        <v>0</v>
      </c>
      <c r="BP105" s="31" t="n">
        <v>0</v>
      </c>
      <c r="BQ105" s="31" t="n">
        <v>300000</v>
      </c>
      <c r="BR105" s="31" t="n">
        <v>300000</v>
      </c>
      <c r="BS105" s="31" t="n">
        <v>0</v>
      </c>
      <c r="BT105" s="31" t="n">
        <v>0</v>
      </c>
      <c r="BU105" s="31" t="n">
        <v>1000000</v>
      </c>
      <c r="BV105" s="31" t="n">
        <v>1000000</v>
      </c>
      <c r="BW105" s="31" t="n">
        <v>0</v>
      </c>
      <c r="BX105" s="31" t="n">
        <v>0</v>
      </c>
      <c r="BY105" s="31" t="n">
        <v>0</v>
      </c>
      <c r="BZ105" s="31" t="n">
        <v>0</v>
      </c>
      <c r="CA105" s="31" t="n">
        <v>0</v>
      </c>
      <c r="CB105" s="31" t="n">
        <v>0</v>
      </c>
      <c r="CC105" s="31" t="n">
        <v>0</v>
      </c>
      <c r="CD105" s="31" t="n">
        <v>0</v>
      </c>
      <c r="CE105" s="31" t="n">
        <v>200000</v>
      </c>
      <c r="CF105" s="31" t="n">
        <v>0</v>
      </c>
      <c r="CG105" s="31" t="n">
        <v>0</v>
      </c>
      <c r="CH105" s="31" t="n">
        <v>0</v>
      </c>
      <c r="CI105" s="31" t="n">
        <v>0</v>
      </c>
      <c r="CJ105" s="31" t="n">
        <v>0</v>
      </c>
      <c r="CK105" s="31" t="n">
        <v>18048.59285003232</v>
      </c>
      <c r="CL105" s="31" t="n">
        <v>0</v>
      </c>
      <c r="CM105" s="31" t="n">
        <v>1932.069047801736</v>
      </c>
      <c r="CN105" s="31" t="n">
        <v>2548980.36789191</v>
      </c>
      <c r="CO105" s="31" t="n">
        <v>3463577.84966168</v>
      </c>
      <c r="CP105" s="31" t="n">
        <v>0</v>
      </c>
      <c r="CQ105" s="31" t="n">
        <v>0</v>
      </c>
      <c r="CR105" s="31" t="n">
        <v>5986.788948655149</v>
      </c>
      <c r="CS105" s="31" t="n">
        <v>0</v>
      </c>
      <c r="CT105" s="31" t="n">
        <v>0</v>
      </c>
      <c r="CU105" s="31" t="n">
        <v>0</v>
      </c>
      <c r="CV105" s="31" t="n">
        <v>0</v>
      </c>
      <c r="CW105" s="31" t="n">
        <v>0</v>
      </c>
      <c r="CX105" s="31" t="n">
        <v>0</v>
      </c>
      <c r="CY105" s="31" t="n">
        <v>0</v>
      </c>
      <c r="CZ105" s="31" t="n">
        <v>0</v>
      </c>
      <c r="DA105" s="31" t="n">
        <v>0</v>
      </c>
      <c r="DB105" s="31" t="n">
        <v>0</v>
      </c>
      <c r="DC105" s="31" t="n">
        <v>16100</v>
      </c>
      <c r="DD105" s="31" t="n">
        <v>0</v>
      </c>
      <c r="DE105" s="31" t="n">
        <v>0</v>
      </c>
      <c r="DF105" s="31">
        <f>SUM(C105:DE105)</f>
        <v/>
      </c>
      <c r="DG105" s="31" t="n">
        <v>0</v>
      </c>
      <c r="DH105" s="31" t="n">
        <v>0</v>
      </c>
      <c r="DI105" s="31" t="n">
        <v>23658303.3106948</v>
      </c>
      <c r="DJ105" s="31" t="n">
        <v>0</v>
      </c>
      <c r="DK105" s="31">
        <f>SUM(DG105:DJ105)</f>
        <v/>
      </c>
      <c r="DL105" s="31">
        <f>DF105+DK105</f>
        <v/>
      </c>
    </row>
    <row r="106">
      <c r="A106" s="28" t="inlineStr">
        <is>
          <t>71</t>
        </is>
      </c>
      <c r="B106" s="28" t="inlineStr">
        <is>
          <t>ALQUILER DE MAQUINARIA Y EQUIPO SIN OPERARIOS Y DE EFECTOS PERSONALES Y ENSERES DOMÉSTICOS</t>
        </is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498305.0099531409</v>
      </c>
      <c r="I106" s="29" t="n">
        <v>8188.60732843116</v>
      </c>
      <c r="J106" s="29" t="n">
        <v>1399535.842966811</v>
      </c>
      <c r="K106" s="29" t="n">
        <v>4405084.870214898</v>
      </c>
      <c r="L106" s="29" t="n">
        <v>737276.5668855992</v>
      </c>
      <c r="M106" s="29" t="n">
        <v>271688.7632061316</v>
      </c>
      <c r="N106" s="29" t="n">
        <v>218688.800720329</v>
      </c>
      <c r="O106" s="29" t="n">
        <v>226724.583375331</v>
      </c>
      <c r="P106" s="29" t="n">
        <v>97747.27693043996</v>
      </c>
      <c r="Q106" s="29" t="n">
        <v>92885.34835262402</v>
      </c>
      <c r="R106" s="29" t="n">
        <v>289244.5909693538</v>
      </c>
      <c r="S106" s="29" t="n">
        <v>41262.41209188056</v>
      </c>
      <c r="T106" s="29" t="n">
        <v>38581.02934854009</v>
      </c>
      <c r="U106" s="29" t="n">
        <v>81159.55745312825</v>
      </c>
      <c r="V106" s="29" t="n">
        <v>11169.89950057065</v>
      </c>
      <c r="W106" s="29" t="n">
        <v>20728.69751342422</v>
      </c>
      <c r="X106" s="29" t="n">
        <v>16360.58139250453</v>
      </c>
      <c r="Y106" s="29" t="n">
        <v>333806.4178856862</v>
      </c>
      <c r="Z106" s="29" t="n">
        <v>64734.05602347743</v>
      </c>
      <c r="AA106" s="29" t="n">
        <v>72179.97221478453</v>
      </c>
      <c r="AB106" s="29" t="n">
        <v>54425.63122462339</v>
      </c>
      <c r="AC106" s="29" t="n">
        <v>211367.7186691985</v>
      </c>
      <c r="AD106" s="29" t="n">
        <v>18912.22876955652</v>
      </c>
      <c r="AE106" s="29" t="n">
        <v>109569.8090920834</v>
      </c>
      <c r="AF106" s="29" t="n">
        <v>19037.490813829</v>
      </c>
      <c r="AG106" s="29" t="n">
        <v>28904.40007829352</v>
      </c>
      <c r="AH106" s="29" t="n">
        <v>5161.884499137291</v>
      </c>
      <c r="AI106" s="29" t="n">
        <v>86954.5402026599</v>
      </c>
      <c r="AJ106" s="29" t="n">
        <v>161422.248347316</v>
      </c>
      <c r="AK106" s="29" t="n">
        <v>92442.59828122472</v>
      </c>
      <c r="AL106" s="29" t="n">
        <v>166275.4869895905</v>
      </c>
      <c r="AM106" s="29" t="n">
        <v>383652.6542865444</v>
      </c>
      <c r="AN106" s="29" t="n">
        <v>125433.1871292458</v>
      </c>
      <c r="AO106" s="29" t="n">
        <v>40535.65248485505</v>
      </c>
      <c r="AP106" s="29" t="n">
        <v>174092.8459759769</v>
      </c>
      <c r="AQ106" s="29" t="n">
        <v>310914.0670187487</v>
      </c>
      <c r="AR106" s="29" t="n">
        <v>40067.47328889375</v>
      </c>
      <c r="AS106" s="29" t="n">
        <v>9754.358876418364</v>
      </c>
      <c r="AT106" s="29" t="n">
        <v>34327.38022964006</v>
      </c>
      <c r="AU106" s="29" t="n">
        <v>473038.105394276</v>
      </c>
      <c r="AV106" s="29" t="n">
        <v>221518.8380523319</v>
      </c>
      <c r="AW106" s="29" t="n">
        <v>9640.597223651572</v>
      </c>
      <c r="AX106" s="29" t="n">
        <v>17873.4838735705</v>
      </c>
      <c r="AY106" s="29" t="n">
        <v>138790.5723189981</v>
      </c>
      <c r="AZ106" s="29" t="n">
        <v>100829.4584012995</v>
      </c>
      <c r="BA106" s="29" t="n">
        <v>77749.51121707232</v>
      </c>
      <c r="BB106" s="29" t="n">
        <v>419248.7768030923</v>
      </c>
      <c r="BC106" s="29" t="n">
        <v>20631.67474043067</v>
      </c>
      <c r="BD106" s="29" t="n">
        <v>1356.676283763465</v>
      </c>
      <c r="BE106" s="29" t="n">
        <v>13633.62633143426</v>
      </c>
      <c r="BF106" s="29" t="n">
        <v>8304.646440646975</v>
      </c>
      <c r="BG106" s="29" t="n">
        <v>21027.07606339987</v>
      </c>
      <c r="BH106" s="29" t="n">
        <v>123038.1692842789</v>
      </c>
      <c r="BI106" s="29" t="n">
        <v>671.8578537822775</v>
      </c>
      <c r="BJ106" s="29" t="n">
        <v>12105.75633622215</v>
      </c>
      <c r="BK106" s="29" t="n">
        <v>452261.8051251658</v>
      </c>
      <c r="BL106" s="29" t="n">
        <v>61795.19377740202</v>
      </c>
      <c r="BM106" s="29" t="n">
        <v>34486.68158777627</v>
      </c>
      <c r="BN106" s="29" t="n">
        <v>37488.58586780567</v>
      </c>
      <c r="BO106" s="29" t="n">
        <v>88042.79469580927</v>
      </c>
      <c r="BP106" s="29" t="n">
        <v>1286130.366269513</v>
      </c>
      <c r="BQ106" s="29" t="n">
        <v>482018.995352022</v>
      </c>
      <c r="BR106" s="29" t="n">
        <v>128140.5048930379</v>
      </c>
      <c r="BS106" s="29" t="n">
        <v>7497539.830726088</v>
      </c>
      <c r="BT106" s="29" t="n">
        <v>2401603.105520431</v>
      </c>
      <c r="BU106" s="29" t="n">
        <v>3474279.966886715</v>
      </c>
      <c r="BV106" s="29" t="n">
        <v>1655788.660479711</v>
      </c>
      <c r="BW106" s="29" t="n">
        <v>0</v>
      </c>
      <c r="BX106" s="29" t="n">
        <v>72497.24946320799</v>
      </c>
      <c r="BY106" s="29" t="n">
        <v>305887.21839299</v>
      </c>
      <c r="BZ106" s="29" t="n">
        <v>52262.84519127188</v>
      </c>
      <c r="CA106" s="29" t="n">
        <v>1611455.635929571</v>
      </c>
      <c r="CB106" s="29" t="n">
        <v>0</v>
      </c>
      <c r="CC106" s="29" t="n">
        <v>50334.86631903028</v>
      </c>
      <c r="CD106" s="29" t="n">
        <v>5709690.488982759</v>
      </c>
      <c r="CE106" s="29" t="n">
        <v>1619694.011231172</v>
      </c>
      <c r="CF106" s="29" t="n">
        <v>97558.42427120425</v>
      </c>
      <c r="CG106" s="29" t="n">
        <v>1844768.203429023</v>
      </c>
      <c r="CH106" s="29" t="n">
        <v>16683228.80820072</v>
      </c>
      <c r="CI106" s="29" t="n">
        <v>553706.0275643059</v>
      </c>
      <c r="CJ106" s="29" t="n">
        <v>37359.76057608926</v>
      </c>
      <c r="CK106" s="29" t="n">
        <v>1874479.274669338</v>
      </c>
      <c r="CL106" s="29" t="n">
        <v>361459.2301525362</v>
      </c>
      <c r="CM106" s="29" t="n">
        <v>210093.1985361241</v>
      </c>
      <c r="CN106" s="29" t="n">
        <v>0</v>
      </c>
      <c r="CO106" s="29" t="n">
        <v>0</v>
      </c>
      <c r="CP106" s="29" t="n">
        <v>131506.4670866792</v>
      </c>
      <c r="CQ106" s="29" t="n">
        <v>95395.22306037473</v>
      </c>
      <c r="CR106" s="29" t="n">
        <v>2469994.491912492</v>
      </c>
      <c r="CS106" s="29" t="n">
        <v>14517.21365600643</v>
      </c>
      <c r="CT106" s="29" t="n">
        <v>13255.81251473975</v>
      </c>
      <c r="CU106" s="29" t="n">
        <v>2770400.180008119</v>
      </c>
      <c r="CV106" s="29" t="n">
        <v>707204.8296756658</v>
      </c>
      <c r="CW106" s="29" t="n">
        <v>207160.9605872178</v>
      </c>
      <c r="CX106" s="29" t="n">
        <v>232226.8897184724</v>
      </c>
      <c r="CY106" s="29" t="n">
        <v>925768.5721169901</v>
      </c>
      <c r="CZ106" s="29" t="n">
        <v>27384.77320424252</v>
      </c>
      <c r="DA106" s="29" t="n">
        <v>1498537.484948424</v>
      </c>
      <c r="DB106" s="29" t="n">
        <v>131570.7728621565</v>
      </c>
      <c r="DC106" s="29" t="n">
        <v>1778846.904040371</v>
      </c>
      <c r="DD106" s="29" t="n">
        <v>0</v>
      </c>
      <c r="DE106" s="29" t="n">
        <v>0</v>
      </c>
      <c r="DF106" s="29">
        <f>SUM(C106:DE106)</f>
        <v/>
      </c>
      <c r="DG106" s="29" t="n">
        <v>0</v>
      </c>
      <c r="DH106" s="29" t="n">
        <v>0</v>
      </c>
      <c r="DI106" s="29" t="n">
        <v>4834897.511342132</v>
      </c>
      <c r="DJ106" s="29" t="n">
        <v>0</v>
      </c>
      <c r="DK106" s="29">
        <f>SUM(DG106:DJ106)</f>
        <v/>
      </c>
      <c r="DL106" s="29">
        <f>DF106+DK106</f>
        <v/>
      </c>
    </row>
    <row r="107">
      <c r="A107" s="30" t="inlineStr">
        <is>
          <t>72</t>
        </is>
      </c>
      <c r="B107" s="30" t="inlineStr">
        <is>
          <t>Informática y actividades conexas</t>
        </is>
      </c>
      <c r="C107" s="31" t="n">
        <v>15634411.98690958</v>
      </c>
      <c r="D107" s="31" t="n">
        <v>1373474.414207127</v>
      </c>
      <c r="E107" s="31" t="n">
        <v>57237.38944716453</v>
      </c>
      <c r="F107" s="31" t="n">
        <v>0</v>
      </c>
      <c r="G107" s="31" t="n">
        <v>448002.7515243119</v>
      </c>
      <c r="H107" s="31" t="n">
        <v>1045803.782974085</v>
      </c>
      <c r="I107" s="31" t="n">
        <v>25964.09457573744</v>
      </c>
      <c r="J107" s="31" t="n">
        <v>2178738.403254267</v>
      </c>
      <c r="K107" s="31" t="n">
        <v>2398632.574825607</v>
      </c>
      <c r="L107" s="31" t="n">
        <v>603246.1519551092</v>
      </c>
      <c r="M107" s="31" t="n">
        <v>495075.3141663108</v>
      </c>
      <c r="N107" s="31" t="n">
        <v>378094.574515096</v>
      </c>
      <c r="O107" s="31" t="n">
        <v>321796.1585328054</v>
      </c>
      <c r="P107" s="31" t="n">
        <v>250355.0548226176</v>
      </c>
      <c r="Q107" s="31" t="n">
        <v>1706418.44814006</v>
      </c>
      <c r="R107" s="31" t="n">
        <v>791364.9014862836</v>
      </c>
      <c r="S107" s="31" t="n">
        <v>336106.6723781565</v>
      </c>
      <c r="T107" s="31" t="n">
        <v>1347886.45882757</v>
      </c>
      <c r="U107" s="31" t="n">
        <v>811033.1386353851</v>
      </c>
      <c r="V107" s="31" t="n">
        <v>259671.9375677565</v>
      </c>
      <c r="W107" s="31" t="n">
        <v>290256.1428460665</v>
      </c>
      <c r="X107" s="31" t="n">
        <v>84702.97360986486</v>
      </c>
      <c r="Y107" s="31" t="n">
        <v>695750.9755214696</v>
      </c>
      <c r="Z107" s="31" t="n">
        <v>203734.4213995728</v>
      </c>
      <c r="AA107" s="31" t="n">
        <v>207580.3687160149</v>
      </c>
      <c r="AB107" s="31" t="n">
        <v>472750.4998832003</v>
      </c>
      <c r="AC107" s="31" t="n">
        <v>1027386.154582287</v>
      </c>
      <c r="AD107" s="31" t="n">
        <v>2393174.949242514</v>
      </c>
      <c r="AE107" s="31" t="n">
        <v>451771.9778081048</v>
      </c>
      <c r="AF107" s="31" t="n">
        <v>238235.8560189087</v>
      </c>
      <c r="AG107" s="31" t="n">
        <v>80175.39185904633</v>
      </c>
      <c r="AH107" s="31" t="n">
        <v>127687.1235759759</v>
      </c>
      <c r="AI107" s="31" t="n">
        <v>269425.0777302888</v>
      </c>
      <c r="AJ107" s="31" t="n">
        <v>1183238.842208827</v>
      </c>
      <c r="AK107" s="31" t="n">
        <v>1973235.623736484</v>
      </c>
      <c r="AL107" s="31" t="n">
        <v>281594.6099019612</v>
      </c>
      <c r="AM107" s="31" t="n">
        <v>675803.5960815398</v>
      </c>
      <c r="AN107" s="31" t="n">
        <v>782514.9995328176</v>
      </c>
      <c r="AO107" s="31" t="n">
        <v>623163.3731315768</v>
      </c>
      <c r="AP107" s="31" t="n">
        <v>1095681.303256628</v>
      </c>
      <c r="AQ107" s="31" t="n">
        <v>2455702.165498362</v>
      </c>
      <c r="AR107" s="31" t="n">
        <v>835026.5459141555</v>
      </c>
      <c r="AS107" s="31" t="n">
        <v>854713.1602749063</v>
      </c>
      <c r="AT107" s="31" t="n">
        <v>250045.0355058952</v>
      </c>
      <c r="AU107" s="31" t="n">
        <v>772306.9200570988</v>
      </c>
      <c r="AV107" s="31" t="n">
        <v>1151279.943232858</v>
      </c>
      <c r="AW107" s="31" t="n">
        <v>130020.624513859</v>
      </c>
      <c r="AX107" s="31" t="n">
        <v>261425.9070260947</v>
      </c>
      <c r="AY107" s="31" t="n">
        <v>216834.8351320931</v>
      </c>
      <c r="AZ107" s="31" t="n">
        <v>553946.8778910555</v>
      </c>
      <c r="BA107" s="31" t="n">
        <v>198611.6916515467</v>
      </c>
      <c r="BB107" s="31" t="n">
        <v>393441.0427363603</v>
      </c>
      <c r="BC107" s="31" t="n">
        <v>162176.9426062158</v>
      </c>
      <c r="BD107" s="31" t="n">
        <v>4657.754744388096</v>
      </c>
      <c r="BE107" s="31" t="n">
        <v>138879.7180353046</v>
      </c>
      <c r="BF107" s="31" t="n">
        <v>154866.6742701337</v>
      </c>
      <c r="BG107" s="31" t="n">
        <v>47166.24882662519</v>
      </c>
      <c r="BH107" s="31" t="n">
        <v>141312.2583081737</v>
      </c>
      <c r="BI107" s="31" t="n">
        <v>20133.25374364049</v>
      </c>
      <c r="BJ107" s="31" t="n">
        <v>125508.0914653366</v>
      </c>
      <c r="BK107" s="31" t="n">
        <v>3099193.560197224</v>
      </c>
      <c r="BL107" s="31" t="n">
        <v>499586.5359865762</v>
      </c>
      <c r="BM107" s="31" t="n">
        <v>216029.396699925</v>
      </c>
      <c r="BN107" s="31" t="n">
        <v>229270.9574694656</v>
      </c>
      <c r="BO107" s="31" t="n">
        <v>121786.4284527949</v>
      </c>
      <c r="BP107" s="31" t="n">
        <v>1975747.441918307</v>
      </c>
      <c r="BQ107" s="31" t="n">
        <v>475922.4952062358</v>
      </c>
      <c r="BR107" s="31" t="n">
        <v>636189.1345827321</v>
      </c>
      <c r="BS107" s="31" t="n">
        <v>4659.434093845556</v>
      </c>
      <c r="BT107" s="31" t="n">
        <v>5495857.803411532</v>
      </c>
      <c r="BU107" s="31" t="n">
        <v>13049058.15898968</v>
      </c>
      <c r="BV107" s="31" t="n">
        <v>24383386.22022485</v>
      </c>
      <c r="BW107" s="31" t="n">
        <v>367030.2372925724</v>
      </c>
      <c r="BX107" s="31" t="n">
        <v>1693840.518534181</v>
      </c>
      <c r="BY107" s="31" t="n">
        <v>5597702.662742626</v>
      </c>
      <c r="BZ107" s="31" t="n">
        <v>230251.9307563955</v>
      </c>
      <c r="CA107" s="31" t="n">
        <v>11561140.87827885</v>
      </c>
      <c r="CB107" s="31" t="n">
        <v>313709.4822030581</v>
      </c>
      <c r="CC107" s="31" t="n">
        <v>11531.8499638978</v>
      </c>
      <c r="CD107" s="31" t="n">
        <v>1517380.389302949</v>
      </c>
      <c r="CE107" s="31" t="n">
        <v>3088221.158759546</v>
      </c>
      <c r="CF107" s="31" t="n">
        <v>162995.7299132867</v>
      </c>
      <c r="CG107" s="31" t="n">
        <v>11839905.62314651</v>
      </c>
      <c r="CH107" s="31" t="n">
        <v>14215752.34162711</v>
      </c>
      <c r="CI107" s="31" t="n">
        <v>5651814.113606884</v>
      </c>
      <c r="CJ107" s="31" t="n">
        <v>20548131.08316473</v>
      </c>
      <c r="CK107" s="31" t="n">
        <v>3346098.348342412</v>
      </c>
      <c r="CL107" s="31" t="n">
        <v>1773681.891373971</v>
      </c>
      <c r="CM107" s="31" t="n">
        <v>989913.2241326886</v>
      </c>
      <c r="CN107" s="31" t="n">
        <v>0</v>
      </c>
      <c r="CO107" s="31" t="n">
        <v>0</v>
      </c>
      <c r="CP107" s="31" t="n">
        <v>626233.480456765</v>
      </c>
      <c r="CQ107" s="31" t="n">
        <v>631852.2779981573</v>
      </c>
      <c r="CR107" s="31" t="n">
        <v>18864852.82211756</v>
      </c>
      <c r="CS107" s="31" t="n">
        <v>227899.6771262409</v>
      </c>
      <c r="CT107" s="31" t="n">
        <v>208097.467168243</v>
      </c>
      <c r="CU107" s="31" t="n">
        <v>14910106.27036458</v>
      </c>
      <c r="CV107" s="31" t="n">
        <v>11884581.98906037</v>
      </c>
      <c r="CW107" s="31" t="n">
        <v>1138067.150868486</v>
      </c>
      <c r="CX107" s="31" t="n">
        <v>957774.3060306362</v>
      </c>
      <c r="CY107" s="31" t="n">
        <v>5080411.424831202</v>
      </c>
      <c r="CZ107" s="31" t="n">
        <v>392185.3555112471</v>
      </c>
      <c r="DA107" s="31" t="n">
        <v>713797.1178835556</v>
      </c>
      <c r="DB107" s="31" t="n">
        <v>4378649.444501102</v>
      </c>
      <c r="DC107" s="31" t="n">
        <v>13744541.99045053</v>
      </c>
      <c r="DD107" s="31" t="n">
        <v>272792.8807295436</v>
      </c>
      <c r="DE107" s="31" t="n">
        <v>0</v>
      </c>
      <c r="DF107" s="31">
        <f>SUM(C107:DE107)</f>
        <v/>
      </c>
      <c r="DG107" s="31" t="n">
        <v>0</v>
      </c>
      <c r="DH107" s="31" t="n">
        <v>0</v>
      </c>
      <c r="DI107" s="31" t="n">
        <v>80453852.64809048</v>
      </c>
      <c r="DJ107" s="31" t="n">
        <v>0</v>
      </c>
      <c r="DK107" s="31">
        <f>SUM(DG107:DJ107)</f>
        <v/>
      </c>
      <c r="DL107" s="31">
        <f>DF107+DK107</f>
        <v/>
      </c>
    </row>
    <row r="108">
      <c r="A108" s="28" t="inlineStr">
        <is>
          <t>73 PR</t>
        </is>
      </c>
      <c r="B108" s="28" t="inlineStr">
        <is>
          <t>Servicios de Investigación y Desarrollo - PRIVADO</t>
        </is>
      </c>
      <c r="C108" s="29" t="n">
        <v>0</v>
      </c>
      <c r="D108" s="29" t="n">
        <v>0</v>
      </c>
      <c r="E108" s="29" t="n">
        <v>0</v>
      </c>
      <c r="F108" s="29" t="n">
        <v>0</v>
      </c>
      <c r="G108" s="29" t="n">
        <v>0</v>
      </c>
      <c r="H108" s="29" t="n">
        <v>1161.500772052154</v>
      </c>
      <c r="I108" s="29" t="n">
        <v>0</v>
      </c>
      <c r="J108" s="29" t="n">
        <v>239298.4885107406</v>
      </c>
      <c r="K108" s="29" t="n">
        <v>1105562.963768002</v>
      </c>
      <c r="L108" s="29" t="n">
        <v>0</v>
      </c>
      <c r="M108" s="29" t="n">
        <v>0</v>
      </c>
      <c r="N108" s="29" t="n">
        <v>0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0</v>
      </c>
      <c r="BN108" s="29" t="n">
        <v>0</v>
      </c>
      <c r="BO108" s="29" t="n">
        <v>0</v>
      </c>
      <c r="BP108" s="29" t="n">
        <v>0</v>
      </c>
      <c r="BQ108" s="29" t="n">
        <v>0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0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29677.26304472765</v>
      </c>
      <c r="CN108" s="29" t="n">
        <v>0</v>
      </c>
      <c r="CO108" s="29" t="n">
        <v>0</v>
      </c>
      <c r="CP108" s="29" t="n">
        <v>0</v>
      </c>
      <c r="CQ108" s="29" t="n">
        <v>0</v>
      </c>
      <c r="CR108" s="29" t="n">
        <v>0</v>
      </c>
      <c r="CS108" s="29" t="n">
        <v>0</v>
      </c>
      <c r="CT108" s="29" t="n">
        <v>0</v>
      </c>
      <c r="CU108" s="29" t="n">
        <v>0</v>
      </c>
      <c r="CV108" s="29" t="n">
        <v>0</v>
      </c>
      <c r="CW108" s="29" t="n">
        <v>0</v>
      </c>
      <c r="CX108" s="29" t="n">
        <v>0</v>
      </c>
      <c r="CY108" s="29" t="n">
        <v>2507096.035733119</v>
      </c>
      <c r="CZ108" s="29" t="n">
        <v>0</v>
      </c>
      <c r="DA108" s="29" t="n">
        <v>0</v>
      </c>
      <c r="DB108" s="29" t="n">
        <v>779001.4414979799</v>
      </c>
      <c r="DC108" s="29" t="n">
        <v>0</v>
      </c>
      <c r="DD108" s="29" t="n">
        <v>0</v>
      </c>
      <c r="DE108" s="29" t="n">
        <v>0</v>
      </c>
      <c r="DF108" s="29">
        <f>SUM(C108:DE108)</f>
        <v/>
      </c>
      <c r="DG108" s="29" t="n">
        <v>0</v>
      </c>
      <c r="DH108" s="29" t="n">
        <v>0</v>
      </c>
      <c r="DI108" s="29" t="n">
        <v>11664418.26848075</v>
      </c>
      <c r="DJ108" s="29" t="n">
        <v>0</v>
      </c>
      <c r="DK108" s="29">
        <f>SUM(DG108:DJ108)</f>
        <v/>
      </c>
      <c r="DL108" s="29">
        <f>DF108+DK108</f>
        <v/>
      </c>
    </row>
    <row r="109">
      <c r="A109" s="30" t="inlineStr">
        <is>
          <t>73 PU</t>
        </is>
      </c>
      <c r="B109" s="30" t="inlineStr">
        <is>
          <t>Servicios de Investigación y Desarrollo - PUBLICO</t>
        </is>
      </c>
      <c r="C109" s="31" t="n">
        <v>0</v>
      </c>
      <c r="D109" s="31" t="n">
        <v>0</v>
      </c>
      <c r="E109" s="31" t="n">
        <v>0</v>
      </c>
      <c r="F109" s="31" t="n">
        <v>0</v>
      </c>
      <c r="G109" s="31" t="n">
        <v>0</v>
      </c>
      <c r="H109" s="31" t="n">
        <v>0</v>
      </c>
      <c r="I109" s="31" t="n">
        <v>0</v>
      </c>
      <c r="J109" s="31" t="n">
        <v>0</v>
      </c>
      <c r="K109" s="31" t="n">
        <v>0</v>
      </c>
      <c r="L109" s="31" t="n">
        <v>0</v>
      </c>
      <c r="M109" s="31" t="n">
        <v>0</v>
      </c>
      <c r="N109" s="31" t="n">
        <v>0</v>
      </c>
      <c r="O109" s="31" t="n">
        <v>0</v>
      </c>
      <c r="P109" s="31" t="n">
        <v>0</v>
      </c>
      <c r="Q109" s="31" t="n">
        <v>0</v>
      </c>
      <c r="R109" s="31" t="n">
        <v>0</v>
      </c>
      <c r="S109" s="31" t="n">
        <v>0</v>
      </c>
      <c r="T109" s="31" t="n">
        <v>0</v>
      </c>
      <c r="U109" s="31" t="n">
        <v>0</v>
      </c>
      <c r="V109" s="31" t="n">
        <v>0</v>
      </c>
      <c r="W109" s="31" t="n">
        <v>0</v>
      </c>
      <c r="X109" s="31" t="n">
        <v>0</v>
      </c>
      <c r="Y109" s="31" t="n">
        <v>0</v>
      </c>
      <c r="Z109" s="31" t="n">
        <v>0</v>
      </c>
      <c r="AA109" s="31" t="n">
        <v>0</v>
      </c>
      <c r="AB109" s="31" t="n">
        <v>0</v>
      </c>
      <c r="AC109" s="31" t="n">
        <v>0</v>
      </c>
      <c r="AD109" s="31" t="n">
        <v>0</v>
      </c>
      <c r="AE109" s="31" t="n">
        <v>0</v>
      </c>
      <c r="AF109" s="31" t="n">
        <v>0</v>
      </c>
      <c r="AG109" s="31" t="n">
        <v>0</v>
      </c>
      <c r="AH109" s="31" t="n">
        <v>0</v>
      </c>
      <c r="AI109" s="31" t="n">
        <v>0</v>
      </c>
      <c r="AJ109" s="31" t="n">
        <v>0</v>
      </c>
      <c r="AK109" s="31" t="n">
        <v>0</v>
      </c>
      <c r="AL109" s="31" t="n">
        <v>0</v>
      </c>
      <c r="AM109" s="31" t="n">
        <v>0</v>
      </c>
      <c r="AN109" s="31" t="n">
        <v>0</v>
      </c>
      <c r="AO109" s="31" t="n">
        <v>0</v>
      </c>
      <c r="AP109" s="31" t="n">
        <v>0</v>
      </c>
      <c r="AQ109" s="31" t="n">
        <v>0</v>
      </c>
      <c r="AR109" s="31" t="n">
        <v>0</v>
      </c>
      <c r="AS109" s="31" t="n">
        <v>0</v>
      </c>
      <c r="AT109" s="31" t="n">
        <v>0</v>
      </c>
      <c r="AU109" s="31" t="n">
        <v>0</v>
      </c>
      <c r="AV109" s="31" t="n">
        <v>0</v>
      </c>
      <c r="AW109" s="31" t="n">
        <v>0</v>
      </c>
      <c r="AX109" s="31" t="n">
        <v>0</v>
      </c>
      <c r="AY109" s="31" t="n">
        <v>0</v>
      </c>
      <c r="AZ109" s="31" t="n">
        <v>0</v>
      </c>
      <c r="BA109" s="31" t="n">
        <v>0</v>
      </c>
      <c r="BB109" s="31" t="n">
        <v>0</v>
      </c>
      <c r="BC109" s="31" t="n">
        <v>0</v>
      </c>
      <c r="BD109" s="31" t="n">
        <v>0</v>
      </c>
      <c r="BE109" s="31" t="n">
        <v>0</v>
      </c>
      <c r="BF109" s="31" t="n">
        <v>0</v>
      </c>
      <c r="BG109" s="31" t="n">
        <v>0</v>
      </c>
      <c r="BH109" s="31" t="n">
        <v>0</v>
      </c>
      <c r="BI109" s="31" t="n">
        <v>0</v>
      </c>
      <c r="BJ109" s="31" t="n">
        <v>0</v>
      </c>
      <c r="BK109" s="31" t="n">
        <v>0</v>
      </c>
      <c r="BL109" s="31" t="n">
        <v>0</v>
      </c>
      <c r="BM109" s="31" t="n">
        <v>0</v>
      </c>
      <c r="BN109" s="31" t="n">
        <v>0</v>
      </c>
      <c r="BO109" s="31" t="n">
        <v>0</v>
      </c>
      <c r="BP109" s="31" t="n">
        <v>0</v>
      </c>
      <c r="BQ109" s="31" t="n">
        <v>0</v>
      </c>
      <c r="BR109" s="31" t="n">
        <v>0</v>
      </c>
      <c r="BS109" s="31" t="n">
        <v>0</v>
      </c>
      <c r="BT109" s="31" t="n">
        <v>0</v>
      </c>
      <c r="BU109" s="31" t="n">
        <v>0</v>
      </c>
      <c r="BV109" s="31" t="n">
        <v>0</v>
      </c>
      <c r="BW109" s="31" t="n">
        <v>0</v>
      </c>
      <c r="BX109" s="31" t="n">
        <v>0</v>
      </c>
      <c r="BY109" s="31" t="n">
        <v>0</v>
      </c>
      <c r="BZ109" s="31" t="n">
        <v>0</v>
      </c>
      <c r="CA109" s="31" t="n">
        <v>0</v>
      </c>
      <c r="CB109" s="31" t="n">
        <v>0</v>
      </c>
      <c r="CC109" s="31" t="n">
        <v>0</v>
      </c>
      <c r="CD109" s="31" t="n">
        <v>0</v>
      </c>
      <c r="CE109" s="31" t="n">
        <v>0</v>
      </c>
      <c r="CF109" s="31" t="n">
        <v>0</v>
      </c>
      <c r="CG109" s="31" t="n">
        <v>0</v>
      </c>
      <c r="CH109" s="31" t="n">
        <v>0</v>
      </c>
      <c r="CI109" s="31" t="n">
        <v>0</v>
      </c>
      <c r="CJ109" s="31" t="n">
        <v>0</v>
      </c>
      <c r="CK109" s="31" t="n">
        <v>0</v>
      </c>
      <c r="CL109" s="31" t="n">
        <v>0</v>
      </c>
      <c r="CM109" s="31" t="n">
        <v>0</v>
      </c>
      <c r="CN109" s="31" t="n">
        <v>0</v>
      </c>
      <c r="CO109" s="31" t="n">
        <v>0</v>
      </c>
      <c r="CP109" s="31" t="n">
        <v>0</v>
      </c>
      <c r="CQ109" s="31" t="n">
        <v>0</v>
      </c>
      <c r="CR109" s="31" t="n">
        <v>0</v>
      </c>
      <c r="CS109" s="31" t="n">
        <v>0</v>
      </c>
      <c r="CT109" s="31" t="n">
        <v>0</v>
      </c>
      <c r="CU109" s="31" t="n">
        <v>0</v>
      </c>
      <c r="CV109" s="31" t="n">
        <v>0</v>
      </c>
      <c r="CW109" s="31" t="n">
        <v>0</v>
      </c>
      <c r="CX109" s="31" t="n">
        <v>0</v>
      </c>
      <c r="CY109" s="31" t="n">
        <v>0</v>
      </c>
      <c r="CZ109" s="31" t="n">
        <v>0</v>
      </c>
      <c r="DA109" s="31" t="n">
        <v>0</v>
      </c>
      <c r="DB109" s="31" t="n">
        <v>0</v>
      </c>
      <c r="DC109" s="31" t="n">
        <v>0</v>
      </c>
      <c r="DD109" s="31" t="n">
        <v>0</v>
      </c>
      <c r="DE109" s="31" t="n">
        <v>0</v>
      </c>
      <c r="DF109" s="31">
        <f>SUM(C109:DE109)</f>
        <v/>
      </c>
      <c r="DG109" s="31" t="n">
        <v>0</v>
      </c>
      <c r="DH109" s="31" t="n">
        <v>0</v>
      </c>
      <c r="DI109" s="31" t="n">
        <v>27751112.4590389</v>
      </c>
      <c r="DJ109" s="31" t="n">
        <v>0</v>
      </c>
      <c r="DK109" s="31">
        <f>SUM(DG109:DJ109)</f>
        <v/>
      </c>
      <c r="DL109" s="31">
        <f>DF109+DK109</f>
        <v/>
      </c>
    </row>
    <row r="110">
      <c r="A110" s="28" t="inlineStr">
        <is>
          <t>74</t>
        </is>
      </c>
      <c r="B110" s="28" t="inlineStr">
        <is>
          <t>OTRAS ACTIVIDADES EMPRESARIALES</t>
        </is>
      </c>
      <c r="C110" s="29" t="n">
        <v>14235293.53300085</v>
      </c>
      <c r="D110" s="29" t="n">
        <v>1632699.326544297</v>
      </c>
      <c r="E110" s="29" t="n">
        <v>0</v>
      </c>
      <c r="F110" s="29" t="n">
        <v>0</v>
      </c>
      <c r="G110" s="29" t="n">
        <v>0</v>
      </c>
      <c r="H110" s="29" t="n">
        <v>1046857.986778847</v>
      </c>
      <c r="I110" s="29" t="n">
        <v>23176.56154686539</v>
      </c>
      <c r="J110" s="29" t="n">
        <v>8507474.277335726</v>
      </c>
      <c r="K110" s="29" t="n">
        <v>5249546.253595726</v>
      </c>
      <c r="L110" s="29" t="n">
        <v>5468150.649138571</v>
      </c>
      <c r="M110" s="29" t="n">
        <v>936921.8599833612</v>
      </c>
      <c r="N110" s="29" t="n">
        <v>2934327.376617298</v>
      </c>
      <c r="O110" s="29" t="n">
        <v>1509639.277107179</v>
      </c>
      <c r="P110" s="29" t="n">
        <v>714316.3203351516</v>
      </c>
      <c r="Q110" s="29" t="n">
        <v>6090091.04338964</v>
      </c>
      <c r="R110" s="29" t="n">
        <v>2593534.937690403</v>
      </c>
      <c r="S110" s="29" t="n">
        <v>1375572.088372912</v>
      </c>
      <c r="T110" s="29" t="n">
        <v>1031780.707096911</v>
      </c>
      <c r="U110" s="29" t="n">
        <v>5253428.39608671</v>
      </c>
      <c r="V110" s="29" t="n">
        <v>550289.9960796111</v>
      </c>
      <c r="W110" s="29" t="n">
        <v>1457895.398127445</v>
      </c>
      <c r="X110" s="29" t="n">
        <v>589712.1982654504</v>
      </c>
      <c r="Y110" s="29" t="n">
        <v>4176201.721649528</v>
      </c>
      <c r="Z110" s="29" t="n">
        <v>1543887.077258079</v>
      </c>
      <c r="AA110" s="29" t="n">
        <v>1563350.176320581</v>
      </c>
      <c r="AB110" s="29" t="n">
        <v>2034893.200953221</v>
      </c>
      <c r="AC110" s="29" t="n">
        <v>4562500.662519262</v>
      </c>
      <c r="AD110" s="29" t="n">
        <v>2148392.010150036</v>
      </c>
      <c r="AE110" s="29" t="n">
        <v>1416849.904597789</v>
      </c>
      <c r="AF110" s="29" t="n">
        <v>1191475.016854281</v>
      </c>
      <c r="AG110" s="29" t="n">
        <v>413967.4101347923</v>
      </c>
      <c r="AH110" s="29" t="n">
        <v>1047746.526145877</v>
      </c>
      <c r="AI110" s="29" t="n">
        <v>1177133.53946995</v>
      </c>
      <c r="AJ110" s="29" t="n">
        <v>2066785.905091193</v>
      </c>
      <c r="AK110" s="29" t="n">
        <v>3292615.033856968</v>
      </c>
      <c r="AL110" s="29" t="n">
        <v>1647981.678398823</v>
      </c>
      <c r="AM110" s="29" t="n">
        <v>4841328.360771251</v>
      </c>
      <c r="AN110" s="29" t="n">
        <v>2509134.012454388</v>
      </c>
      <c r="AO110" s="29" t="n">
        <v>964795.9798669855</v>
      </c>
      <c r="AP110" s="29" t="n">
        <v>1841296.525613364</v>
      </c>
      <c r="AQ110" s="29" t="n">
        <v>16585916.82577037</v>
      </c>
      <c r="AR110" s="29" t="n">
        <v>1446220.377097438</v>
      </c>
      <c r="AS110" s="29" t="n">
        <v>2559429.891013288</v>
      </c>
      <c r="AT110" s="29" t="n">
        <v>471393.1676858141</v>
      </c>
      <c r="AU110" s="29" t="n">
        <v>2520222.915568251</v>
      </c>
      <c r="AV110" s="29" t="n">
        <v>5072579.936299426</v>
      </c>
      <c r="AW110" s="29" t="n">
        <v>944908.624356701</v>
      </c>
      <c r="AX110" s="29" t="n">
        <v>825669.1290903912</v>
      </c>
      <c r="AY110" s="29" t="n">
        <v>773295.3429737887</v>
      </c>
      <c r="AZ110" s="29" t="n">
        <v>2297295.7639535</v>
      </c>
      <c r="BA110" s="29" t="n">
        <v>1099159.933574523</v>
      </c>
      <c r="BB110" s="29" t="n">
        <v>1828051.842736665</v>
      </c>
      <c r="BC110" s="29" t="n">
        <v>650463.5441374406</v>
      </c>
      <c r="BD110" s="29" t="n">
        <v>69752.13924522846</v>
      </c>
      <c r="BE110" s="29" t="n">
        <v>492503.0958825889</v>
      </c>
      <c r="BF110" s="29" t="n">
        <v>423053.3752380456</v>
      </c>
      <c r="BG110" s="29" t="n">
        <v>470771.9536491446</v>
      </c>
      <c r="BH110" s="29" t="n">
        <v>4064765.776351261</v>
      </c>
      <c r="BI110" s="29" t="n">
        <v>251477.0611707068</v>
      </c>
      <c r="BJ110" s="29" t="n">
        <v>482936.4984798709</v>
      </c>
      <c r="BK110" s="29" t="n">
        <v>6026905.945287989</v>
      </c>
      <c r="BL110" s="29" t="n">
        <v>2495322.4863697</v>
      </c>
      <c r="BM110" s="29" t="n">
        <v>572997.8840235382</v>
      </c>
      <c r="BN110" s="29" t="n">
        <v>1153658.608593862</v>
      </c>
      <c r="BO110" s="29" t="n">
        <v>587388.3685990968</v>
      </c>
      <c r="BP110" s="29" t="n">
        <v>14244446.85123219</v>
      </c>
      <c r="BQ110" s="29" t="n">
        <v>4618964.014982876</v>
      </c>
      <c r="BR110" s="29" t="n">
        <v>2017446.070935996</v>
      </c>
      <c r="BS110" s="29" t="n">
        <v>16054230</v>
      </c>
      <c r="BT110" s="29" t="n">
        <v>10383555.20421072</v>
      </c>
      <c r="BU110" s="29" t="n">
        <v>43525797.78070232</v>
      </c>
      <c r="BV110" s="29" t="n">
        <v>81625745.22379884</v>
      </c>
      <c r="BW110" s="29" t="n">
        <v>150427.7547201344</v>
      </c>
      <c r="BX110" s="29" t="n">
        <v>2411278.580990274</v>
      </c>
      <c r="BY110" s="29" t="n">
        <v>33036651.20392249</v>
      </c>
      <c r="BZ110" s="29" t="n">
        <v>1253860.327823998</v>
      </c>
      <c r="CA110" s="29" t="n">
        <v>34004244.79403525</v>
      </c>
      <c r="CB110" s="29" t="n">
        <v>434191.556120262</v>
      </c>
      <c r="CC110" s="29" t="n">
        <v>107924.1251897084</v>
      </c>
      <c r="CD110" s="29" t="n">
        <v>10530191.64522771</v>
      </c>
      <c r="CE110" s="29" t="n">
        <v>11934196.98441786</v>
      </c>
      <c r="CF110" s="29" t="n">
        <v>1946892.723224782</v>
      </c>
      <c r="CG110" s="29" t="n">
        <v>13829961.33371219</v>
      </c>
      <c r="CH110" s="29" t="n">
        <v>26906367.74854752</v>
      </c>
      <c r="CI110" s="29" t="n">
        <v>2622896.860400864</v>
      </c>
      <c r="CJ110" s="29" t="n">
        <v>33160260.3744284</v>
      </c>
      <c r="CK110" s="29" t="n">
        <v>7324997.923826726</v>
      </c>
      <c r="CL110" s="29" t="n">
        <v>17552512.26136651</v>
      </c>
      <c r="CM110" s="29" t="n">
        <v>6358307.780340156</v>
      </c>
      <c r="CN110" s="29" t="n">
        <v>565386.2839859659</v>
      </c>
      <c r="CO110" s="29" t="n">
        <v>253952.038230082</v>
      </c>
      <c r="CP110" s="29" t="n">
        <v>4683538.583717877</v>
      </c>
      <c r="CQ110" s="29" t="n">
        <v>1271826.312824769</v>
      </c>
      <c r="CR110" s="29" t="n">
        <v>34386534.86702421</v>
      </c>
      <c r="CS110" s="29" t="n">
        <v>607247.82752437</v>
      </c>
      <c r="CT110" s="29" t="n">
        <v>554484.0451056928</v>
      </c>
      <c r="CU110" s="29" t="n">
        <v>60550495.89244698</v>
      </c>
      <c r="CV110" s="29" t="n">
        <v>29582026.31795039</v>
      </c>
      <c r="CW110" s="29" t="n">
        <v>18380280.79894825</v>
      </c>
      <c r="CX110" s="29" t="n">
        <v>3298569.662117996</v>
      </c>
      <c r="CY110" s="29" t="n">
        <v>34383221.16451072</v>
      </c>
      <c r="CZ110" s="29" t="n">
        <v>9587341.835433409</v>
      </c>
      <c r="DA110" s="29" t="n">
        <v>4063123.281265015</v>
      </c>
      <c r="DB110" s="29" t="n">
        <v>21288470.54623782</v>
      </c>
      <c r="DC110" s="29" t="n">
        <v>16952414.0791945</v>
      </c>
      <c r="DD110" s="29" t="n">
        <v>1334834.165181661</v>
      </c>
      <c r="DE110" s="29" t="n">
        <v>0</v>
      </c>
      <c r="DF110" s="29">
        <f>SUM(C110:DE110)</f>
        <v/>
      </c>
      <c r="DG110" s="29" t="n">
        <v>0</v>
      </c>
      <c r="DH110" s="29" t="n">
        <v>0</v>
      </c>
      <c r="DI110" s="29" t="n">
        <v>228515671.7141387</v>
      </c>
      <c r="DJ110" s="29" t="n">
        <v>0</v>
      </c>
      <c r="DK110" s="29">
        <f>SUM(DG110:DJ110)</f>
        <v/>
      </c>
      <c r="DL110" s="29">
        <f>DF110+DK110</f>
        <v/>
      </c>
    </row>
    <row r="111">
      <c r="A111" s="30" t="inlineStr">
        <is>
          <t>75</t>
        </is>
      </c>
      <c r="B111" s="30" t="inlineStr">
        <is>
          <t>Administración Pública y Defensa; Planes de Seguridad Social de Afiliación Obligatoria</t>
        </is>
      </c>
      <c r="C111" s="31" t="n">
        <v>1415449</v>
      </c>
      <c r="D111" s="31" t="n">
        <v>500000.0000000001</v>
      </c>
      <c r="E111" s="31" t="n">
        <v>0</v>
      </c>
      <c r="F111" s="31" t="n">
        <v>0</v>
      </c>
      <c r="G111" s="31" t="n">
        <v>0</v>
      </c>
      <c r="H111" s="31" t="n">
        <v>214930.798366596</v>
      </c>
      <c r="I111" s="31" t="n">
        <v>0</v>
      </c>
      <c r="J111" s="31" t="n">
        <v>0</v>
      </c>
      <c r="K111" s="31" t="n">
        <v>0</v>
      </c>
      <c r="L111" s="31" t="n">
        <v>44687.4765261741</v>
      </c>
      <c r="M111" s="31" t="n">
        <v>189441.9502266377</v>
      </c>
      <c r="N111" s="31" t="n">
        <v>0</v>
      </c>
      <c r="O111" s="31" t="n">
        <v>0</v>
      </c>
      <c r="P111" s="31" t="n">
        <v>0</v>
      </c>
      <c r="Q111" s="31" t="n">
        <v>0</v>
      </c>
      <c r="R111" s="31" t="n">
        <v>0</v>
      </c>
      <c r="S111" s="31" t="n">
        <v>0</v>
      </c>
      <c r="T111" s="31" t="n">
        <v>0</v>
      </c>
      <c r="U111" s="31" t="n">
        <v>0</v>
      </c>
      <c r="V111" s="31" t="n">
        <v>0</v>
      </c>
      <c r="W111" s="31" t="n">
        <v>0</v>
      </c>
      <c r="X111" s="31" t="n">
        <v>0</v>
      </c>
      <c r="Y111" s="31" t="n">
        <v>0</v>
      </c>
      <c r="Z111" s="31" t="n">
        <v>0</v>
      </c>
      <c r="AA111" s="31" t="n">
        <v>0</v>
      </c>
      <c r="AB111" s="31" t="n">
        <v>0</v>
      </c>
      <c r="AC111" s="31" t="n">
        <v>0</v>
      </c>
      <c r="AD111" s="31" t="n">
        <v>0</v>
      </c>
      <c r="AE111" s="31" t="n">
        <v>0</v>
      </c>
      <c r="AF111" s="31" t="n">
        <v>0</v>
      </c>
      <c r="AG111" s="31" t="n">
        <v>0</v>
      </c>
      <c r="AH111" s="31" t="n">
        <v>0</v>
      </c>
      <c r="AI111" s="31" t="n">
        <v>0</v>
      </c>
      <c r="AJ111" s="31" t="n">
        <v>0</v>
      </c>
      <c r="AK111" s="31" t="n">
        <v>0</v>
      </c>
      <c r="AL111" s="31" t="n">
        <v>0</v>
      </c>
      <c r="AM111" s="31" t="n">
        <v>0</v>
      </c>
      <c r="AN111" s="31" t="n">
        <v>0</v>
      </c>
      <c r="AO111" s="31" t="n">
        <v>0</v>
      </c>
      <c r="AP111" s="31" t="n">
        <v>0</v>
      </c>
      <c r="AQ111" s="31" t="n">
        <v>0</v>
      </c>
      <c r="AR111" s="31" t="n">
        <v>0</v>
      </c>
      <c r="AS111" s="31" t="n">
        <v>0</v>
      </c>
      <c r="AT111" s="31" t="n">
        <v>0</v>
      </c>
      <c r="AU111" s="31" t="n">
        <v>0</v>
      </c>
      <c r="AV111" s="31" t="n">
        <v>0</v>
      </c>
      <c r="AW111" s="31" t="n">
        <v>0</v>
      </c>
      <c r="AX111" s="31" t="n">
        <v>0</v>
      </c>
      <c r="AY111" s="31" t="n">
        <v>0</v>
      </c>
      <c r="AZ111" s="31" t="n">
        <v>0</v>
      </c>
      <c r="BA111" s="31" t="n">
        <v>0</v>
      </c>
      <c r="BB111" s="31" t="n">
        <v>0</v>
      </c>
      <c r="BC111" s="31" t="n">
        <v>0</v>
      </c>
      <c r="BD111" s="31" t="n">
        <v>0</v>
      </c>
      <c r="BE111" s="31" t="n">
        <v>0</v>
      </c>
      <c r="BF111" s="31" t="n">
        <v>0</v>
      </c>
      <c r="BG111" s="31" t="n">
        <v>0</v>
      </c>
      <c r="BH111" s="31" t="n">
        <v>0</v>
      </c>
      <c r="BI111" s="31" t="n">
        <v>0</v>
      </c>
      <c r="BJ111" s="31" t="n">
        <v>0</v>
      </c>
      <c r="BK111" s="31" t="n">
        <v>0</v>
      </c>
      <c r="BL111" s="31" t="n">
        <v>0</v>
      </c>
      <c r="BM111" s="31" t="n">
        <v>0</v>
      </c>
      <c r="BN111" s="31" t="n">
        <v>0</v>
      </c>
      <c r="BO111" s="31" t="n">
        <v>0</v>
      </c>
      <c r="BP111" s="31" t="n">
        <v>0</v>
      </c>
      <c r="BQ111" s="31" t="n">
        <v>0</v>
      </c>
      <c r="BR111" s="31" t="n">
        <v>0</v>
      </c>
      <c r="BS111" s="31" t="n">
        <v>0</v>
      </c>
      <c r="BT111" s="31" t="n">
        <v>436786.335626614</v>
      </c>
      <c r="BU111" s="31" t="n">
        <v>2730167.86335313</v>
      </c>
      <c r="BV111" s="31" t="n">
        <v>3994599.5604092</v>
      </c>
      <c r="BW111" s="31" t="n">
        <v>0</v>
      </c>
      <c r="BX111" s="31" t="n">
        <v>0</v>
      </c>
      <c r="BY111" s="31" t="n">
        <v>340.4968866603589</v>
      </c>
      <c r="BZ111" s="31" t="n">
        <v>0</v>
      </c>
      <c r="CA111" s="31" t="n">
        <v>0</v>
      </c>
      <c r="CB111" s="31" t="n">
        <v>0</v>
      </c>
      <c r="CC111" s="31" t="n">
        <v>0</v>
      </c>
      <c r="CD111" s="31" t="n">
        <v>0</v>
      </c>
      <c r="CE111" s="31" t="n">
        <v>0</v>
      </c>
      <c r="CF111" s="31" t="n">
        <v>0</v>
      </c>
      <c r="CG111" s="31" t="n">
        <v>0</v>
      </c>
      <c r="CH111" s="31" t="n">
        <v>0</v>
      </c>
      <c r="CI111" s="31" t="n">
        <v>0</v>
      </c>
      <c r="CJ111" s="31" t="n">
        <v>0</v>
      </c>
      <c r="CK111" s="31" t="n">
        <v>0</v>
      </c>
      <c r="CL111" s="31" t="n">
        <v>0</v>
      </c>
      <c r="CM111" s="31" t="n">
        <v>1323.357899697015</v>
      </c>
      <c r="CN111" s="31" t="n">
        <v>0</v>
      </c>
      <c r="CO111" s="31" t="n">
        <v>0</v>
      </c>
      <c r="CP111" s="31" t="n">
        <v>24579.1908332207</v>
      </c>
      <c r="CQ111" s="31" t="n">
        <v>0</v>
      </c>
      <c r="CR111" s="31" t="n">
        <v>0</v>
      </c>
      <c r="CS111" s="31" t="n">
        <v>339719</v>
      </c>
      <c r="CT111" s="31" t="n">
        <v>36266.6007828349</v>
      </c>
      <c r="CU111" s="31" t="n">
        <v>0</v>
      </c>
      <c r="CV111" s="31" t="n">
        <v>1934842.9378449</v>
      </c>
      <c r="CW111" s="31" t="n">
        <v>0</v>
      </c>
      <c r="CX111" s="31" t="n">
        <v>0</v>
      </c>
      <c r="CY111" s="31" t="n">
        <v>0</v>
      </c>
      <c r="CZ111" s="31" t="n">
        <v>0</v>
      </c>
      <c r="DA111" s="31" t="n">
        <v>0</v>
      </c>
      <c r="DB111" s="31" t="n">
        <v>671829</v>
      </c>
      <c r="DC111" s="31" t="n">
        <v>16558.7460948766</v>
      </c>
      <c r="DD111" s="31" t="n">
        <v>200000.0000000001</v>
      </c>
      <c r="DE111" s="31" t="n">
        <v>0</v>
      </c>
      <c r="DF111" s="31">
        <f>SUM(C111:DE111)</f>
        <v/>
      </c>
      <c r="DG111" s="31" t="n">
        <v>0</v>
      </c>
      <c r="DH111" s="31" t="n">
        <v>0</v>
      </c>
      <c r="DI111" s="31" t="n">
        <v>1434427454.395291</v>
      </c>
      <c r="DJ111" s="31" t="n">
        <v>0</v>
      </c>
      <c r="DK111" s="31">
        <f>SUM(DG111:DJ111)</f>
        <v/>
      </c>
      <c r="DL111" s="31">
        <f>DF111+DK111</f>
        <v/>
      </c>
    </row>
    <row r="112">
      <c r="A112" s="28" t="inlineStr">
        <is>
          <t>80 PR</t>
        </is>
      </c>
      <c r="B112" s="28" t="inlineStr">
        <is>
          <t>Enseñanza Privada - Adultos y otros servicios de enseñanza</t>
        </is>
      </c>
      <c r="C112" s="29" t="n">
        <v>0</v>
      </c>
      <c r="D112" s="29" t="n">
        <v>0</v>
      </c>
      <c r="E112" s="29" t="n">
        <v>0</v>
      </c>
      <c r="F112" s="29" t="n">
        <v>0</v>
      </c>
      <c r="G112" s="29" t="n">
        <v>0</v>
      </c>
      <c r="H112" s="29" t="n">
        <v>4231.6770196835</v>
      </c>
      <c r="I112" s="29" t="n">
        <v>0</v>
      </c>
      <c r="J112" s="29" t="n">
        <v>0</v>
      </c>
      <c r="K112" s="29" t="n">
        <v>0</v>
      </c>
      <c r="L112" s="29" t="n">
        <v>0</v>
      </c>
      <c r="M112" s="29" t="n">
        <v>5726.52800325829</v>
      </c>
      <c r="N112" s="29" t="n">
        <v>0</v>
      </c>
      <c r="O112" s="29" t="n">
        <v>0</v>
      </c>
      <c r="P112" s="29" t="n">
        <v>0</v>
      </c>
      <c r="Q112" s="29" t="n">
        <v>0</v>
      </c>
      <c r="R112" s="29" t="n">
        <v>0</v>
      </c>
      <c r="S112" s="29" t="n">
        <v>0</v>
      </c>
      <c r="T112" s="29" t="n">
        <v>0</v>
      </c>
      <c r="U112" s="29" t="n">
        <v>0</v>
      </c>
      <c r="V112" s="29" t="n">
        <v>0</v>
      </c>
      <c r="W112" s="29" t="n">
        <v>0</v>
      </c>
      <c r="X112" s="29" t="n">
        <v>0</v>
      </c>
      <c r="Y112" s="29" t="n">
        <v>0</v>
      </c>
      <c r="Z112" s="29" t="n">
        <v>0</v>
      </c>
      <c r="AA112" s="29" t="n">
        <v>0</v>
      </c>
      <c r="AB112" s="29" t="n">
        <v>0</v>
      </c>
      <c r="AC112" s="29" t="n">
        <v>0</v>
      </c>
      <c r="AD112" s="29" t="n">
        <v>0</v>
      </c>
      <c r="AE112" s="29" t="n">
        <v>0</v>
      </c>
      <c r="AF112" s="29" t="n">
        <v>0</v>
      </c>
      <c r="AG112" s="29" t="n">
        <v>0</v>
      </c>
      <c r="AH112" s="29" t="n">
        <v>0</v>
      </c>
      <c r="AI112" s="29" t="n">
        <v>0</v>
      </c>
      <c r="AJ112" s="29" t="n">
        <v>0</v>
      </c>
      <c r="AK112" s="29" t="n">
        <v>0</v>
      </c>
      <c r="AL112" s="29" t="n">
        <v>0</v>
      </c>
      <c r="AM112" s="29" t="n">
        <v>0</v>
      </c>
      <c r="AN112" s="29" t="n">
        <v>0</v>
      </c>
      <c r="AO112" s="29" t="n">
        <v>0</v>
      </c>
      <c r="AP112" s="29" t="n">
        <v>0</v>
      </c>
      <c r="AQ112" s="29" t="n">
        <v>0</v>
      </c>
      <c r="AR112" s="29" t="n">
        <v>0</v>
      </c>
      <c r="AS112" s="29" t="n">
        <v>0</v>
      </c>
      <c r="AT112" s="29" t="n">
        <v>0</v>
      </c>
      <c r="AU112" s="29" t="n">
        <v>0</v>
      </c>
      <c r="AV112" s="29" t="n">
        <v>0</v>
      </c>
      <c r="AW112" s="29" t="n">
        <v>0</v>
      </c>
      <c r="AX112" s="29" t="n">
        <v>0</v>
      </c>
      <c r="AY112" s="29" t="n">
        <v>0</v>
      </c>
      <c r="AZ112" s="29" t="n">
        <v>0</v>
      </c>
      <c r="BA112" s="29" t="n">
        <v>0</v>
      </c>
      <c r="BB112" s="29" t="n">
        <v>0</v>
      </c>
      <c r="BC112" s="29" t="n">
        <v>0</v>
      </c>
      <c r="BD112" s="29" t="n">
        <v>0</v>
      </c>
      <c r="BE112" s="29" t="n">
        <v>0</v>
      </c>
      <c r="BF112" s="29" t="n">
        <v>0</v>
      </c>
      <c r="BG112" s="29" t="n">
        <v>0</v>
      </c>
      <c r="BH112" s="29" t="n">
        <v>0</v>
      </c>
      <c r="BI112" s="29" t="n">
        <v>0</v>
      </c>
      <c r="BJ112" s="29" t="n">
        <v>0</v>
      </c>
      <c r="BK112" s="29" t="n">
        <v>0</v>
      </c>
      <c r="BL112" s="29" t="n">
        <v>0</v>
      </c>
      <c r="BM112" s="29" t="n">
        <v>0</v>
      </c>
      <c r="BN112" s="29" t="n">
        <v>0</v>
      </c>
      <c r="BO112" s="29" t="n">
        <v>0</v>
      </c>
      <c r="BP112" s="29" t="n">
        <v>0</v>
      </c>
      <c r="BQ112" s="29" t="n">
        <v>0</v>
      </c>
      <c r="BR112" s="29" t="n">
        <v>0</v>
      </c>
      <c r="BS112" s="29" t="n">
        <v>0</v>
      </c>
      <c r="BT112" s="29" t="n">
        <v>0</v>
      </c>
      <c r="BU112" s="29" t="n">
        <v>0</v>
      </c>
      <c r="BV112" s="29" t="n">
        <v>0</v>
      </c>
      <c r="BW112" s="29" t="n">
        <v>0</v>
      </c>
      <c r="BX112" s="29" t="n">
        <v>0</v>
      </c>
      <c r="BY112" s="29" t="n">
        <v>0</v>
      </c>
      <c r="BZ112" s="29" t="n">
        <v>0</v>
      </c>
      <c r="CA112" s="29" t="n">
        <v>0</v>
      </c>
      <c r="CB112" s="29" t="n">
        <v>0</v>
      </c>
      <c r="CC112" s="29" t="n">
        <v>0</v>
      </c>
      <c r="CD112" s="29" t="n">
        <v>0</v>
      </c>
      <c r="CE112" s="29" t="n">
        <v>0</v>
      </c>
      <c r="CF112" s="29" t="n">
        <v>0</v>
      </c>
      <c r="CG112" s="29" t="n">
        <v>0</v>
      </c>
      <c r="CH112" s="29" t="n">
        <v>0</v>
      </c>
      <c r="CI112" s="29" t="n">
        <v>0</v>
      </c>
      <c r="CJ112" s="29" t="n">
        <v>0</v>
      </c>
      <c r="CK112" s="29" t="n">
        <v>0</v>
      </c>
      <c r="CL112" s="29" t="n">
        <v>172.629487653803</v>
      </c>
      <c r="CM112" s="29" t="n">
        <v>99.72501340617301</v>
      </c>
      <c r="CN112" s="29" t="n">
        <v>0</v>
      </c>
      <c r="CO112" s="29" t="n">
        <v>0</v>
      </c>
      <c r="CP112" s="29" t="n">
        <v>0</v>
      </c>
      <c r="CQ112" s="29" t="n">
        <v>0</v>
      </c>
      <c r="CR112" s="29" t="n">
        <v>774056.260057853</v>
      </c>
      <c r="CS112" s="29" t="n">
        <v>42630.6440385044</v>
      </c>
      <c r="CT112" s="29" t="n">
        <v>38926.4660662489</v>
      </c>
      <c r="CU112" s="29" t="n">
        <v>2660713.242639295</v>
      </c>
      <c r="CV112" s="29" t="n">
        <v>2076748.2018659</v>
      </c>
      <c r="CW112" s="29" t="n">
        <v>429189.8972327342</v>
      </c>
      <c r="CX112" s="29" t="n">
        <v>1704862</v>
      </c>
      <c r="CY112" s="29" t="n">
        <v>2750.418410126715</v>
      </c>
      <c r="CZ112" s="29" t="n">
        <v>523146.811722732</v>
      </c>
      <c r="DA112" s="29" t="n">
        <v>0</v>
      </c>
      <c r="DB112" s="29" t="n">
        <v>5205010</v>
      </c>
      <c r="DC112" s="29" t="n">
        <v>0</v>
      </c>
      <c r="DD112" s="29" t="n">
        <v>0</v>
      </c>
      <c r="DE112" s="29" t="n">
        <v>0</v>
      </c>
      <c r="DF112" s="29">
        <f>SUM(C112:DE112)</f>
        <v/>
      </c>
      <c r="DG112" s="29" t="n">
        <v>0</v>
      </c>
      <c r="DH112" s="29" t="n">
        <v>0</v>
      </c>
      <c r="DI112" s="29" t="n">
        <v>289804010.0449265</v>
      </c>
      <c r="DJ112" s="29" t="n">
        <v>0</v>
      </c>
      <c r="DK112" s="29">
        <f>SUM(DG112:DJ112)</f>
        <v/>
      </c>
      <c r="DL112" s="29">
        <f>DF112+DK112</f>
        <v/>
      </c>
    </row>
    <row r="113">
      <c r="A113" s="30" t="inlineStr">
        <is>
          <t>80 PU</t>
        </is>
      </c>
      <c r="B113" s="30" t="inlineStr">
        <is>
          <t>Enseñanza Pública - Todos los niveles</t>
        </is>
      </c>
      <c r="C113" s="31" t="n">
        <v>0</v>
      </c>
      <c r="D113" s="31" t="n">
        <v>0</v>
      </c>
      <c r="E113" s="31" t="n">
        <v>0</v>
      </c>
      <c r="F113" s="31" t="n">
        <v>0</v>
      </c>
      <c r="G113" s="31" t="n">
        <v>0</v>
      </c>
      <c r="H113" s="31" t="n">
        <v>0</v>
      </c>
      <c r="I113" s="31" t="n">
        <v>0</v>
      </c>
      <c r="J113" s="31" t="n">
        <v>0</v>
      </c>
      <c r="K113" s="31" t="n">
        <v>0</v>
      </c>
      <c r="L113" s="31" t="n">
        <v>0</v>
      </c>
      <c r="M113" s="31" t="n">
        <v>0</v>
      </c>
      <c r="N113" s="31" t="n">
        <v>0</v>
      </c>
      <c r="O113" s="31" t="n">
        <v>0</v>
      </c>
      <c r="P113" s="31" t="n">
        <v>0</v>
      </c>
      <c r="Q113" s="31" t="n">
        <v>0</v>
      </c>
      <c r="R113" s="31" t="n">
        <v>0</v>
      </c>
      <c r="S113" s="31" t="n">
        <v>0</v>
      </c>
      <c r="T113" s="31" t="n">
        <v>0</v>
      </c>
      <c r="U113" s="31" t="n">
        <v>0</v>
      </c>
      <c r="V113" s="31" t="n">
        <v>0</v>
      </c>
      <c r="W113" s="31" t="n">
        <v>0</v>
      </c>
      <c r="X113" s="31" t="n">
        <v>0</v>
      </c>
      <c r="Y113" s="31" t="n">
        <v>0</v>
      </c>
      <c r="Z113" s="31" t="n">
        <v>0</v>
      </c>
      <c r="AA113" s="31" t="n">
        <v>0</v>
      </c>
      <c r="AB113" s="31" t="n">
        <v>0</v>
      </c>
      <c r="AC113" s="31" t="n">
        <v>0</v>
      </c>
      <c r="AD113" s="31" t="n">
        <v>0</v>
      </c>
      <c r="AE113" s="31" t="n">
        <v>0</v>
      </c>
      <c r="AF113" s="31" t="n">
        <v>0</v>
      </c>
      <c r="AG113" s="31" t="n">
        <v>0</v>
      </c>
      <c r="AH113" s="31" t="n">
        <v>0</v>
      </c>
      <c r="AI113" s="31" t="n">
        <v>0</v>
      </c>
      <c r="AJ113" s="31" t="n">
        <v>0</v>
      </c>
      <c r="AK113" s="31" t="n">
        <v>0</v>
      </c>
      <c r="AL113" s="31" t="n">
        <v>0</v>
      </c>
      <c r="AM113" s="31" t="n">
        <v>0</v>
      </c>
      <c r="AN113" s="31" t="n">
        <v>0</v>
      </c>
      <c r="AO113" s="31" t="n">
        <v>0</v>
      </c>
      <c r="AP113" s="31" t="n">
        <v>0</v>
      </c>
      <c r="AQ113" s="31" t="n">
        <v>0</v>
      </c>
      <c r="AR113" s="31" t="n">
        <v>0</v>
      </c>
      <c r="AS113" s="31" t="n">
        <v>0</v>
      </c>
      <c r="AT113" s="31" t="n">
        <v>0</v>
      </c>
      <c r="AU113" s="31" t="n">
        <v>0</v>
      </c>
      <c r="AV113" s="31" t="n">
        <v>0</v>
      </c>
      <c r="AW113" s="31" t="n">
        <v>0</v>
      </c>
      <c r="AX113" s="31" t="n">
        <v>0</v>
      </c>
      <c r="AY113" s="31" t="n">
        <v>0</v>
      </c>
      <c r="AZ113" s="31" t="n">
        <v>0</v>
      </c>
      <c r="BA113" s="31" t="n">
        <v>0</v>
      </c>
      <c r="BB113" s="31" t="n">
        <v>0</v>
      </c>
      <c r="BC113" s="31" t="n">
        <v>0</v>
      </c>
      <c r="BD113" s="31" t="n">
        <v>0</v>
      </c>
      <c r="BE113" s="31" t="n">
        <v>0</v>
      </c>
      <c r="BF113" s="31" t="n">
        <v>0</v>
      </c>
      <c r="BG113" s="31" t="n">
        <v>0</v>
      </c>
      <c r="BH113" s="31" t="n">
        <v>0</v>
      </c>
      <c r="BI113" s="31" t="n">
        <v>0</v>
      </c>
      <c r="BJ113" s="31" t="n">
        <v>0</v>
      </c>
      <c r="BK113" s="31" t="n">
        <v>0</v>
      </c>
      <c r="BL113" s="31" t="n">
        <v>0</v>
      </c>
      <c r="BM113" s="31" t="n">
        <v>0</v>
      </c>
      <c r="BN113" s="31" t="n">
        <v>0</v>
      </c>
      <c r="BO113" s="31" t="n">
        <v>0</v>
      </c>
      <c r="BP113" s="31" t="n">
        <v>0</v>
      </c>
      <c r="BQ113" s="31" t="n">
        <v>0</v>
      </c>
      <c r="BR113" s="31" t="n">
        <v>0</v>
      </c>
      <c r="BS113" s="31" t="n">
        <v>0</v>
      </c>
      <c r="BT113" s="31" t="n">
        <v>0</v>
      </c>
      <c r="BU113" s="31" t="n">
        <v>0</v>
      </c>
      <c r="BV113" s="31" t="n">
        <v>0</v>
      </c>
      <c r="BW113" s="31" t="n">
        <v>0</v>
      </c>
      <c r="BX113" s="31" t="n">
        <v>0</v>
      </c>
      <c r="BY113" s="31" t="n">
        <v>0</v>
      </c>
      <c r="BZ113" s="31" t="n">
        <v>0</v>
      </c>
      <c r="CA113" s="31" t="n">
        <v>0</v>
      </c>
      <c r="CB113" s="31" t="n">
        <v>0</v>
      </c>
      <c r="CC113" s="31" t="n">
        <v>0</v>
      </c>
      <c r="CD113" s="31" t="n">
        <v>0</v>
      </c>
      <c r="CE113" s="31" t="n">
        <v>0</v>
      </c>
      <c r="CF113" s="31" t="n">
        <v>0</v>
      </c>
      <c r="CG113" s="31" t="n">
        <v>0</v>
      </c>
      <c r="CH113" s="31" t="n">
        <v>0</v>
      </c>
      <c r="CI113" s="31" t="n">
        <v>0</v>
      </c>
      <c r="CJ113" s="31" t="n">
        <v>0</v>
      </c>
      <c r="CK113" s="31" t="n">
        <v>0</v>
      </c>
      <c r="CL113" s="31" t="n">
        <v>0</v>
      </c>
      <c r="CM113" s="31" t="n">
        <v>0</v>
      </c>
      <c r="CN113" s="31" t="n">
        <v>0</v>
      </c>
      <c r="CO113" s="31" t="n">
        <v>0</v>
      </c>
      <c r="CP113" s="31" t="n">
        <v>0</v>
      </c>
      <c r="CQ113" s="31" t="n">
        <v>0</v>
      </c>
      <c r="CR113" s="31" t="n">
        <v>0</v>
      </c>
      <c r="CS113" s="31" t="n">
        <v>0</v>
      </c>
      <c r="CT113" s="31" t="n">
        <v>0</v>
      </c>
      <c r="CU113" s="31" t="n">
        <v>0</v>
      </c>
      <c r="CV113" s="31" t="n">
        <v>0</v>
      </c>
      <c r="CW113" s="31" t="n">
        <v>0</v>
      </c>
      <c r="CX113" s="31" t="n">
        <v>0</v>
      </c>
      <c r="CY113" s="31" t="n">
        <v>0</v>
      </c>
      <c r="CZ113" s="31" t="n">
        <v>0</v>
      </c>
      <c r="DA113" s="31" t="n">
        <v>0</v>
      </c>
      <c r="DB113" s="31" t="n">
        <v>0</v>
      </c>
      <c r="DC113" s="31" t="n">
        <v>0</v>
      </c>
      <c r="DD113" s="31" t="n">
        <v>0</v>
      </c>
      <c r="DE113" s="31" t="n">
        <v>0</v>
      </c>
      <c r="DF113" s="31">
        <f>SUM(C113:DE113)</f>
        <v/>
      </c>
      <c r="DG113" s="31" t="n">
        <v>0</v>
      </c>
      <c r="DH113" s="31" t="n">
        <v>0</v>
      </c>
      <c r="DI113" s="31" t="n">
        <v>616716867.110312</v>
      </c>
      <c r="DJ113" s="31" t="n">
        <v>0</v>
      </c>
      <c r="DK113" s="31">
        <f>SUM(DG113:DJ113)</f>
        <v/>
      </c>
      <c r="DL113" s="31">
        <f>DF113+DK113</f>
        <v/>
      </c>
    </row>
    <row r="114">
      <c r="A114" s="28" t="inlineStr">
        <is>
          <t>85 PR</t>
        </is>
      </c>
      <c r="B114" s="28" t="inlineStr">
        <is>
          <t>SERVICIOS SOCIALES Y DE SALUD - Privados</t>
        </is>
      </c>
      <c r="C114" s="29" t="n">
        <v>0</v>
      </c>
      <c r="D114" s="29" t="n">
        <v>10299.745434996</v>
      </c>
      <c r="E114" s="29" t="n">
        <v>0</v>
      </c>
      <c r="F114" s="29" t="n">
        <v>0</v>
      </c>
      <c r="G114" s="29" t="n">
        <v>0</v>
      </c>
      <c r="H114" s="29" t="n">
        <v>26765.6856485604</v>
      </c>
      <c r="I114" s="29" t="n">
        <v>0</v>
      </c>
      <c r="J114" s="29" t="n">
        <v>1037420.97194574</v>
      </c>
      <c r="K114" s="29" t="n">
        <v>4215.47632786702</v>
      </c>
      <c r="L114" s="29" t="n">
        <v>0</v>
      </c>
      <c r="M114" s="29" t="n">
        <v>2620.956213407723</v>
      </c>
      <c r="N114" s="29" t="n">
        <v>139392.6088498604</v>
      </c>
      <c r="O114" s="29" t="n">
        <v>12146.4849560557</v>
      </c>
      <c r="P114" s="29" t="n">
        <v>5980.69808064446</v>
      </c>
      <c r="Q114" s="29" t="n">
        <v>7105.15426400383</v>
      </c>
      <c r="R114" s="29" t="n">
        <v>10295.9152716313</v>
      </c>
      <c r="S114" s="29" t="n">
        <v>29846.34450317499</v>
      </c>
      <c r="T114" s="29" t="n">
        <v>35848.35405002111</v>
      </c>
      <c r="U114" s="29" t="n">
        <v>35029.58995487668</v>
      </c>
      <c r="V114" s="29" t="n">
        <v>22319.2686322394</v>
      </c>
      <c r="W114" s="29" t="n">
        <v>13033.1515571008</v>
      </c>
      <c r="X114" s="29" t="n">
        <v>6954.969546047188</v>
      </c>
      <c r="Y114" s="29" t="n">
        <v>33071.11021658167</v>
      </c>
      <c r="Z114" s="29" t="n">
        <v>4173.605090983201</v>
      </c>
      <c r="AA114" s="29" t="n">
        <v>15297.34787706785</v>
      </c>
      <c r="AB114" s="29" t="n">
        <v>31145.4090786106</v>
      </c>
      <c r="AC114" s="29" t="n">
        <v>28797.94922262588</v>
      </c>
      <c r="AD114" s="29" t="n">
        <v>44042.33621297783</v>
      </c>
      <c r="AE114" s="29" t="n">
        <v>19097.81434594506</v>
      </c>
      <c r="AF114" s="29" t="n">
        <v>24405.83519572971</v>
      </c>
      <c r="AG114" s="29" t="n">
        <v>10390.46620670246</v>
      </c>
      <c r="AH114" s="29" t="n">
        <v>8759.73074389164</v>
      </c>
      <c r="AI114" s="29" t="n">
        <v>12777.54069461875</v>
      </c>
      <c r="AJ114" s="29" t="n">
        <v>17173.40566475694</v>
      </c>
      <c r="AK114" s="29" t="n">
        <v>93841.65430260426</v>
      </c>
      <c r="AL114" s="29" t="n">
        <v>45061.80364073499</v>
      </c>
      <c r="AM114" s="29" t="n">
        <v>14278.85440064683</v>
      </c>
      <c r="AN114" s="29" t="n">
        <v>38200.8186333395</v>
      </c>
      <c r="AO114" s="29" t="n">
        <v>75799.65931137874</v>
      </c>
      <c r="AP114" s="29" t="n">
        <v>9531.44211906139</v>
      </c>
      <c r="AQ114" s="29" t="n">
        <v>206251.3663808244</v>
      </c>
      <c r="AR114" s="29" t="n">
        <v>16248.94108001361</v>
      </c>
      <c r="AS114" s="29" t="n">
        <v>46420.5862117077</v>
      </c>
      <c r="AT114" s="29" t="n">
        <v>5772.02672274521</v>
      </c>
      <c r="AU114" s="29" t="n">
        <v>95012.74257844187</v>
      </c>
      <c r="AV114" s="29" t="n">
        <v>17770.6522098936</v>
      </c>
      <c r="AW114" s="29" t="n">
        <v>3536.51874047525</v>
      </c>
      <c r="AX114" s="29" t="n">
        <v>27743.32618582037</v>
      </c>
      <c r="AY114" s="29" t="n">
        <v>59177.7508696861</v>
      </c>
      <c r="AZ114" s="29" t="n">
        <v>55234.09390026492</v>
      </c>
      <c r="BA114" s="29" t="n">
        <v>24597.11375591687</v>
      </c>
      <c r="BB114" s="29" t="n">
        <v>31076.72778565894</v>
      </c>
      <c r="BC114" s="29" t="n">
        <v>12124.8564416777</v>
      </c>
      <c r="BD114" s="29" t="n">
        <v>0</v>
      </c>
      <c r="BE114" s="29" t="n">
        <v>10213.64483255455</v>
      </c>
      <c r="BF114" s="29" t="n">
        <v>2628.01848627093</v>
      </c>
      <c r="BG114" s="29" t="n">
        <v>9912.075987596671</v>
      </c>
      <c r="BH114" s="29" t="n">
        <v>96974.25514634341</v>
      </c>
      <c r="BI114" s="29" t="n">
        <v>2122.07113660366</v>
      </c>
      <c r="BJ114" s="29" t="n">
        <v>32693.00033850584</v>
      </c>
      <c r="BK114" s="29" t="n">
        <v>108298.7633879888</v>
      </c>
      <c r="BL114" s="29" t="n">
        <v>40883.2093419262</v>
      </c>
      <c r="BM114" s="29" t="n">
        <v>3199.010973678215</v>
      </c>
      <c r="BN114" s="29" t="n">
        <v>20092.36895551339</v>
      </c>
      <c r="BO114" s="29" t="n">
        <v>20800.03264100943</v>
      </c>
      <c r="BP114" s="29" t="n">
        <v>6067</v>
      </c>
      <c r="BQ114" s="29" t="n">
        <v>6199</v>
      </c>
      <c r="BR114" s="29" t="n">
        <v>0</v>
      </c>
      <c r="BS114" s="29" t="n">
        <v>0</v>
      </c>
      <c r="BT114" s="29" t="n">
        <v>105834.705292491</v>
      </c>
      <c r="BU114" s="29" t="n">
        <v>1687659</v>
      </c>
      <c r="BV114" s="29" t="n">
        <v>4353250</v>
      </c>
      <c r="BW114" s="29" t="n">
        <v>0</v>
      </c>
      <c r="BX114" s="29" t="n">
        <v>32865.4357093143</v>
      </c>
      <c r="BY114" s="29" t="n">
        <v>128902.392807136</v>
      </c>
      <c r="BZ114" s="29" t="n">
        <v>25866</v>
      </c>
      <c r="CA114" s="29" t="n">
        <v>0</v>
      </c>
      <c r="CB114" s="29" t="n">
        <v>211275</v>
      </c>
      <c r="CC114" s="29" t="n">
        <v>13936</v>
      </c>
      <c r="CD114" s="29" t="n">
        <v>828417</v>
      </c>
      <c r="CE114" s="29" t="n">
        <v>4859183.614484927</v>
      </c>
      <c r="CF114" s="29" t="n">
        <v>12511.3384266532</v>
      </c>
      <c r="CG114" s="29" t="n">
        <v>86967.2240013534</v>
      </c>
      <c r="CH114" s="29" t="n">
        <v>560590</v>
      </c>
      <c r="CI114" s="29" t="n">
        <v>18933.7442119411</v>
      </c>
      <c r="CJ114" s="29" t="n">
        <v>699310</v>
      </c>
      <c r="CK114" s="29" t="n">
        <v>0</v>
      </c>
      <c r="CL114" s="29" t="n">
        <v>740201.182987274</v>
      </c>
      <c r="CM114" s="29" t="n">
        <v>6569.094392852009</v>
      </c>
      <c r="CN114" s="29" t="n">
        <v>0</v>
      </c>
      <c r="CO114" s="29" t="n">
        <v>0</v>
      </c>
      <c r="CP114" s="29" t="n">
        <v>550376.758403779</v>
      </c>
      <c r="CQ114" s="29" t="n">
        <v>3509.76690182844</v>
      </c>
      <c r="CR114" s="29" t="n">
        <v>1244299</v>
      </c>
      <c r="CS114" s="29" t="n">
        <v>62254.97313741791</v>
      </c>
      <c r="CT114" s="29" t="n">
        <v>56845.636605915</v>
      </c>
      <c r="CU114" s="29" t="n">
        <v>18772864.03308364</v>
      </c>
      <c r="CV114" s="29" t="n">
        <v>3032745.72637393</v>
      </c>
      <c r="CW114" s="29" t="n">
        <v>2584327.50595843</v>
      </c>
      <c r="CX114" s="29" t="n">
        <v>1324900.29365073</v>
      </c>
      <c r="CY114" s="29" t="n">
        <v>102908711.8689646</v>
      </c>
      <c r="CZ114" s="29" t="n">
        <v>2115995.28308923</v>
      </c>
      <c r="DA114" s="29" t="n">
        <v>80218</v>
      </c>
      <c r="DB114" s="29" t="n">
        <v>30853556.3688888</v>
      </c>
      <c r="DC114" s="29" t="n">
        <v>251878.6821592883</v>
      </c>
      <c r="DD114" s="29" t="n">
        <v>526691</v>
      </c>
      <c r="DE114" s="29" t="n">
        <v>0</v>
      </c>
      <c r="DF114" s="29">
        <f>SUM(C114:DE114)</f>
        <v/>
      </c>
      <c r="DG114" s="29" t="n">
        <v>0</v>
      </c>
      <c r="DH114" s="29" t="n">
        <v>0</v>
      </c>
      <c r="DI114" s="29" t="n">
        <v>700490163.2267439</v>
      </c>
      <c r="DJ114" s="29" t="n">
        <v>0</v>
      </c>
      <c r="DK114" s="29">
        <f>SUM(DG114:DJ114)</f>
        <v/>
      </c>
      <c r="DL114" s="29">
        <f>DF114+DK114</f>
        <v/>
      </c>
    </row>
    <row r="115">
      <c r="A115" s="30" t="inlineStr">
        <is>
          <t>85 PU</t>
        </is>
      </c>
      <c r="B115" s="30" t="inlineStr">
        <is>
          <t>SERVICIOS SOCIALES Y DE SALUD - Públicos</t>
        </is>
      </c>
      <c r="C115" s="31" t="n">
        <v>0</v>
      </c>
      <c r="D115" s="31" t="n">
        <v>0</v>
      </c>
      <c r="E115" s="31" t="n">
        <v>0</v>
      </c>
      <c r="F115" s="31" t="n">
        <v>0</v>
      </c>
      <c r="G115" s="31" t="n">
        <v>0</v>
      </c>
      <c r="H115" s="31" t="n">
        <v>0</v>
      </c>
      <c r="I115" s="31" t="n">
        <v>0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0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0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0</v>
      </c>
      <c r="AG115" s="31" t="n">
        <v>0</v>
      </c>
      <c r="AH115" s="31" t="n">
        <v>0</v>
      </c>
      <c r="AI115" s="31" t="n">
        <v>0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0</v>
      </c>
      <c r="AZ115" s="31" t="n">
        <v>0</v>
      </c>
      <c r="BA115" s="31" t="n">
        <v>0</v>
      </c>
      <c r="BB115" s="31" t="n">
        <v>0</v>
      </c>
      <c r="BC115" s="31" t="n">
        <v>0</v>
      </c>
      <c r="BD115" s="31" t="n">
        <v>0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0</v>
      </c>
      <c r="BL115" s="31" t="n">
        <v>0</v>
      </c>
      <c r="BM115" s="31" t="n">
        <v>0</v>
      </c>
      <c r="BN115" s="31" t="n">
        <v>0</v>
      </c>
      <c r="BO115" s="31" t="n">
        <v>0</v>
      </c>
      <c r="BP115" s="31" t="n">
        <v>0</v>
      </c>
      <c r="BQ115" s="31" t="n">
        <v>0</v>
      </c>
      <c r="BR115" s="31" t="n">
        <v>0</v>
      </c>
      <c r="BS115" s="31" t="n">
        <v>0</v>
      </c>
      <c r="BT115" s="31" t="n">
        <v>0</v>
      </c>
      <c r="BU115" s="31" t="n">
        <v>0</v>
      </c>
      <c r="BV115" s="31" t="n">
        <v>0</v>
      </c>
      <c r="BW115" s="31" t="n">
        <v>0</v>
      </c>
      <c r="BX115" s="31" t="n">
        <v>0</v>
      </c>
      <c r="BY115" s="31" t="n">
        <v>0</v>
      </c>
      <c r="BZ115" s="31" t="n">
        <v>0</v>
      </c>
      <c r="CA115" s="31" t="n">
        <v>0</v>
      </c>
      <c r="CB115" s="31" t="n">
        <v>0</v>
      </c>
      <c r="CC115" s="31" t="n">
        <v>0</v>
      </c>
      <c r="CD115" s="31" t="n">
        <v>0</v>
      </c>
      <c r="CE115" s="31" t="n">
        <v>0</v>
      </c>
      <c r="CF115" s="31" t="n">
        <v>0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>
        <f>SUM(C115:DE115)</f>
        <v/>
      </c>
      <c r="DG115" s="31" t="n">
        <v>0</v>
      </c>
      <c r="DH115" s="31" t="n">
        <v>0</v>
      </c>
      <c r="DI115" s="31" t="n">
        <v>280628174</v>
      </c>
      <c r="DJ115" s="31" t="n">
        <v>0</v>
      </c>
      <c r="DK115" s="31">
        <f>SUM(DG115:DJ115)</f>
        <v/>
      </c>
      <c r="DL115" s="31">
        <f>DF115+DK115</f>
        <v/>
      </c>
    </row>
    <row r="116">
      <c r="A116" s="28" t="inlineStr">
        <is>
          <t>900</t>
        </is>
      </c>
      <c r="B116" s="28" t="inlineStr">
        <is>
          <t>Eliminación de desperdicios y aguas residuales, saneamiento y servicios similares</t>
        </is>
      </c>
      <c r="C116" s="29" t="n">
        <v>742000</v>
      </c>
      <c r="D116" s="29" t="n">
        <v>0</v>
      </c>
      <c r="E116" s="29" t="n">
        <v>0</v>
      </c>
      <c r="F116" s="29" t="n">
        <v>0</v>
      </c>
      <c r="G116" s="29" t="n">
        <v>0</v>
      </c>
      <c r="H116" s="29" t="n">
        <v>0</v>
      </c>
      <c r="I116" s="29" t="n">
        <v>3165.689185633859</v>
      </c>
      <c r="J116" s="29" t="n">
        <v>100000</v>
      </c>
      <c r="K116" s="29" t="n">
        <v>0</v>
      </c>
      <c r="L116" s="29" t="n">
        <v>490635.340216214</v>
      </c>
      <c r="M116" s="29" t="n">
        <v>165549.7122531397</v>
      </c>
      <c r="N116" s="29" t="n">
        <v>0</v>
      </c>
      <c r="O116" s="29" t="n">
        <v>0</v>
      </c>
      <c r="P116" s="29" t="n">
        <v>0</v>
      </c>
      <c r="Q116" s="29" t="n">
        <v>1597170</v>
      </c>
      <c r="R116" s="29" t="n">
        <v>0</v>
      </c>
      <c r="S116" s="29" t="n">
        <v>0</v>
      </c>
      <c r="T116" s="29" t="n">
        <v>0</v>
      </c>
      <c r="U116" s="29" t="n">
        <v>0</v>
      </c>
      <c r="V116" s="29" t="n">
        <v>0</v>
      </c>
      <c r="W116" s="29" t="n">
        <v>100000</v>
      </c>
      <c r="X116" s="29" t="n">
        <v>0</v>
      </c>
      <c r="Y116" s="29" t="n">
        <v>423001.0000000001</v>
      </c>
      <c r="Z116" s="29" t="n">
        <v>110000</v>
      </c>
      <c r="AA116" s="29" t="n">
        <v>0</v>
      </c>
      <c r="AB116" s="29" t="n">
        <v>0</v>
      </c>
      <c r="AC116" s="29" t="n">
        <v>100000</v>
      </c>
      <c r="AD116" s="29" t="n">
        <v>0</v>
      </c>
      <c r="AE116" s="29" t="n">
        <v>0</v>
      </c>
      <c r="AF116" s="29" t="n">
        <v>0</v>
      </c>
      <c r="AG116" s="29" t="n">
        <v>0</v>
      </c>
      <c r="AH116" s="29" t="n">
        <v>100000</v>
      </c>
      <c r="AI116" s="29" t="n">
        <v>0</v>
      </c>
      <c r="AJ116" s="29" t="n">
        <v>0</v>
      </c>
      <c r="AK116" s="29" t="n">
        <v>0</v>
      </c>
      <c r="AL116" s="29" t="n">
        <v>0</v>
      </c>
      <c r="AM116" s="29" t="n">
        <v>0</v>
      </c>
      <c r="AN116" s="29" t="n">
        <v>100000</v>
      </c>
      <c r="AO116" s="29" t="n">
        <v>0</v>
      </c>
      <c r="AP116" s="29" t="n">
        <v>0</v>
      </c>
      <c r="AQ116" s="29" t="n">
        <v>2109147.147916687</v>
      </c>
      <c r="AR116" s="29" t="n">
        <v>0</v>
      </c>
      <c r="AS116" s="29" t="n">
        <v>0</v>
      </c>
      <c r="AT116" s="29" t="n">
        <v>0</v>
      </c>
      <c r="AU116" s="29" t="n">
        <v>0</v>
      </c>
      <c r="AV116" s="29" t="n">
        <v>0</v>
      </c>
      <c r="AW116" s="29" t="n">
        <v>0</v>
      </c>
      <c r="AX116" s="29" t="n">
        <v>0</v>
      </c>
      <c r="AY116" s="29" t="n">
        <v>0</v>
      </c>
      <c r="AZ116" s="29" t="n">
        <v>836210</v>
      </c>
      <c r="BA116" s="29" t="n">
        <v>0</v>
      </c>
      <c r="BB116" s="29" t="n">
        <v>0</v>
      </c>
      <c r="BC116" s="29" t="n">
        <v>0</v>
      </c>
      <c r="BD116" s="29" t="n">
        <v>0</v>
      </c>
      <c r="BE116" s="29" t="n">
        <v>0</v>
      </c>
      <c r="BF116" s="29" t="n">
        <v>0</v>
      </c>
      <c r="BG116" s="29" t="n">
        <v>0</v>
      </c>
      <c r="BH116" s="29" t="n">
        <v>0</v>
      </c>
      <c r="BI116" s="29" t="n">
        <v>0</v>
      </c>
      <c r="BJ116" s="29" t="n">
        <v>0</v>
      </c>
      <c r="BK116" s="29" t="n">
        <v>0</v>
      </c>
      <c r="BL116" s="29" t="n">
        <v>800000</v>
      </c>
      <c r="BM116" s="29" t="n">
        <v>0</v>
      </c>
      <c r="BN116" s="29" t="n">
        <v>399999.9999999999</v>
      </c>
      <c r="BO116" s="29" t="n">
        <v>0</v>
      </c>
      <c r="BP116" s="29" t="n">
        <v>0</v>
      </c>
      <c r="BQ116" s="29" t="n">
        <v>0</v>
      </c>
      <c r="BR116" s="29" t="n">
        <v>0</v>
      </c>
      <c r="BS116" s="29" t="n">
        <v>565137.2372012</v>
      </c>
      <c r="BT116" s="29" t="n">
        <v>100000</v>
      </c>
      <c r="BU116" s="29" t="n">
        <v>1530000</v>
      </c>
      <c r="BV116" s="29" t="n">
        <v>3650000</v>
      </c>
      <c r="BW116" s="29" t="n">
        <v>100001</v>
      </c>
      <c r="BX116" s="29" t="n">
        <v>0</v>
      </c>
      <c r="BY116" s="29" t="n">
        <v>1500000</v>
      </c>
      <c r="BZ116" s="29" t="n">
        <v>2253.33001889353</v>
      </c>
      <c r="CA116" s="29" t="n">
        <v>500000</v>
      </c>
      <c r="CB116" s="29" t="n">
        <v>150674.7600318643</v>
      </c>
      <c r="CC116" s="29" t="n">
        <v>9349.797736290981</v>
      </c>
      <c r="CD116" s="29" t="n">
        <v>2042720.218428928</v>
      </c>
      <c r="CE116" s="29" t="n">
        <v>1512051.148936732</v>
      </c>
      <c r="CF116" s="29" t="n">
        <v>0</v>
      </c>
      <c r="CG116" s="29" t="n">
        <v>0</v>
      </c>
      <c r="CH116" s="29" t="n">
        <v>100000</v>
      </c>
      <c r="CI116" s="29" t="n">
        <v>0</v>
      </c>
      <c r="CJ116" s="29" t="n">
        <v>100001</v>
      </c>
      <c r="CK116" s="29" t="n">
        <v>200000</v>
      </c>
      <c r="CL116" s="29" t="n">
        <v>1415600</v>
      </c>
      <c r="CM116" s="29" t="n">
        <v>118224</v>
      </c>
      <c r="CN116" s="29" t="n">
        <v>0</v>
      </c>
      <c r="CO116" s="29" t="n">
        <v>3288643</v>
      </c>
      <c r="CP116" s="29" t="n">
        <v>0</v>
      </c>
      <c r="CQ116" s="29" t="n">
        <v>0</v>
      </c>
      <c r="CR116" s="29" t="n">
        <v>0</v>
      </c>
      <c r="CS116" s="29" t="n">
        <v>716910.307365899</v>
      </c>
      <c r="CT116" s="29" t="n">
        <v>654617.948699464</v>
      </c>
      <c r="CU116" s="29" t="n">
        <v>3087844</v>
      </c>
      <c r="CV116" s="29" t="n">
        <v>34924224.7050391</v>
      </c>
      <c r="CW116" s="29" t="n">
        <v>4040361</v>
      </c>
      <c r="CX116" s="29" t="n">
        <v>0</v>
      </c>
      <c r="CY116" s="29" t="n">
        <v>2132042.892398475</v>
      </c>
      <c r="CZ116" s="29" t="n">
        <v>22888.75023475959</v>
      </c>
      <c r="DA116" s="29" t="n">
        <v>0</v>
      </c>
      <c r="DB116" s="29" t="n">
        <v>1670662</v>
      </c>
      <c r="DC116" s="29" t="n">
        <v>554478</v>
      </c>
      <c r="DD116" s="29" t="n">
        <v>0</v>
      </c>
      <c r="DE116" s="29" t="n">
        <v>0</v>
      </c>
      <c r="DF116" s="29">
        <f>SUM(C116:DE116)</f>
        <v/>
      </c>
      <c r="DG116" s="29" t="n">
        <v>0</v>
      </c>
      <c r="DH116" s="29" t="n">
        <v>0</v>
      </c>
      <c r="DI116" s="29" t="n">
        <v>32103145.73448535</v>
      </c>
      <c r="DJ116" s="29" t="n">
        <v>0</v>
      </c>
      <c r="DK116" s="29">
        <f>SUM(DG116:DJ116)</f>
        <v/>
      </c>
      <c r="DL116" s="29">
        <f>DF116+DK116</f>
        <v/>
      </c>
    </row>
    <row r="117">
      <c r="A117" s="30" t="inlineStr">
        <is>
          <t>919</t>
        </is>
      </c>
      <c r="B117" s="30" t="inlineStr">
        <is>
          <t>Servicios de asociaciones n.c.p.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0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0</v>
      </c>
      <c r="AZ117" s="31" t="n">
        <v>0</v>
      </c>
      <c r="BA117" s="31" t="n">
        <v>0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0</v>
      </c>
      <c r="BM117" s="31" t="n">
        <v>0</v>
      </c>
      <c r="BN117" s="31" t="n">
        <v>0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1022580.73868795</v>
      </c>
      <c r="BV117" s="31" t="n">
        <v>3027041.164117</v>
      </c>
      <c r="BW117" s="31" t="n">
        <v>0</v>
      </c>
      <c r="BX117" s="31" t="n">
        <v>0</v>
      </c>
      <c r="BY117" s="31" t="n">
        <v>0</v>
      </c>
      <c r="BZ117" s="31" t="n">
        <v>3439.55847736477</v>
      </c>
      <c r="CA117" s="31" t="n">
        <v>830632.0059776522</v>
      </c>
      <c r="CB117" s="31" t="n">
        <v>0</v>
      </c>
      <c r="CC117" s="31" t="n">
        <v>0</v>
      </c>
      <c r="CD117" s="31" t="n">
        <v>344011.478891789</v>
      </c>
      <c r="CE117" s="31" t="n">
        <v>0</v>
      </c>
      <c r="CF117" s="31" t="n">
        <v>0</v>
      </c>
      <c r="CG117" s="31" t="n">
        <v>19669.3658661772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68522.29954700331</v>
      </c>
      <c r="CM117" s="31" t="n">
        <v>238.188656823902</v>
      </c>
      <c r="CN117" s="31" t="n">
        <v>0</v>
      </c>
      <c r="CO117" s="31" t="n">
        <v>0</v>
      </c>
      <c r="CP117" s="31" t="n">
        <v>117485.313958136</v>
      </c>
      <c r="CQ117" s="31" t="n">
        <v>0</v>
      </c>
      <c r="CR117" s="31" t="n">
        <v>0</v>
      </c>
      <c r="CS117" s="31" t="n">
        <v>0</v>
      </c>
      <c r="CT117" s="31" t="n">
        <v>0</v>
      </c>
      <c r="CU117" s="31" t="n">
        <v>892334.2083214938</v>
      </c>
      <c r="CV117" s="31" t="n">
        <v>0</v>
      </c>
      <c r="CW117" s="31" t="n">
        <v>327393.0000000001</v>
      </c>
      <c r="CX117" s="31" t="n">
        <v>0</v>
      </c>
      <c r="CY117" s="31" t="n">
        <v>356.150303546551</v>
      </c>
      <c r="CZ117" s="31" t="n">
        <v>0</v>
      </c>
      <c r="DA117" s="31" t="n">
        <v>0</v>
      </c>
      <c r="DB117" s="31" t="n">
        <v>341540.0000000001</v>
      </c>
      <c r="DC117" s="31" t="n">
        <v>1277704.957580741</v>
      </c>
      <c r="DD117" s="31" t="n">
        <v>0</v>
      </c>
      <c r="DE117" s="31" t="n">
        <v>0</v>
      </c>
      <c r="DF117" s="31">
        <f>SUM(C117:DE117)</f>
        <v/>
      </c>
      <c r="DG117" s="31" t="n">
        <v>0</v>
      </c>
      <c r="DH117" s="31" t="n">
        <v>0</v>
      </c>
      <c r="DI117" s="31" t="n">
        <v>288323580.1817481</v>
      </c>
      <c r="DJ117" s="31" t="n">
        <v>0</v>
      </c>
      <c r="DK117" s="31">
        <f>SUM(DG117:DJ117)</f>
        <v/>
      </c>
      <c r="DL117" s="31">
        <f>DF117+DK117</f>
        <v/>
      </c>
    </row>
    <row r="118">
      <c r="A118" s="28" t="inlineStr">
        <is>
          <t>92</t>
        </is>
      </c>
      <c r="B118" s="28" t="inlineStr">
        <is>
          <t>ACTIVIDADES DE ESPARCIMIENTO Y ACTIVIDADES CULTURALES Y DEPORTIVAS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577.8981353330221</v>
      </c>
      <c r="I118" s="29" t="n">
        <v>0</v>
      </c>
      <c r="J118" s="29" t="n">
        <v>62921.59114690732</v>
      </c>
      <c r="K118" s="29" t="n">
        <v>119544.016629925</v>
      </c>
      <c r="L118" s="29" t="n">
        <v>11716.12364019948</v>
      </c>
      <c r="M118" s="29" t="n">
        <v>0</v>
      </c>
      <c r="N118" s="29" t="n">
        <v>40174.03580198767</v>
      </c>
      <c r="O118" s="29" t="n">
        <v>13753.25274767484</v>
      </c>
      <c r="P118" s="29" t="n">
        <v>24324.04932108515</v>
      </c>
      <c r="Q118" s="29" t="n">
        <v>45716.95792646817</v>
      </c>
      <c r="R118" s="29" t="n">
        <v>175562.7797901669</v>
      </c>
      <c r="S118" s="29" t="n">
        <v>15260.44763954092</v>
      </c>
      <c r="T118" s="29" t="n">
        <v>152188.7986244556</v>
      </c>
      <c r="U118" s="29" t="n">
        <v>378911.9134844054</v>
      </c>
      <c r="V118" s="29" t="n">
        <v>3571.766770041603</v>
      </c>
      <c r="W118" s="29" t="n">
        <v>112205.9293186259</v>
      </c>
      <c r="X118" s="29" t="n">
        <v>24537.1958480819</v>
      </c>
      <c r="Y118" s="29" t="n">
        <v>92450.39113488523</v>
      </c>
      <c r="Z118" s="29" t="n">
        <v>79494.6864516303</v>
      </c>
      <c r="AA118" s="29" t="n">
        <v>110929.421353853</v>
      </c>
      <c r="AB118" s="29" t="n">
        <v>237638.2971211598</v>
      </c>
      <c r="AC118" s="29" t="n">
        <v>329769.5987610249</v>
      </c>
      <c r="AD118" s="29" t="n">
        <v>438656.2101014009</v>
      </c>
      <c r="AE118" s="29" t="n">
        <v>9972.015221674663</v>
      </c>
      <c r="AF118" s="29" t="n">
        <v>44273.66918733963</v>
      </c>
      <c r="AG118" s="29" t="n">
        <v>4272.147896242242</v>
      </c>
      <c r="AH118" s="29" t="n">
        <v>29886.08917413855</v>
      </c>
      <c r="AI118" s="29" t="n">
        <v>6358.081746817313</v>
      </c>
      <c r="AJ118" s="29" t="n">
        <v>88216.64839968059</v>
      </c>
      <c r="AK118" s="29" t="n">
        <v>1500489.395313537</v>
      </c>
      <c r="AL118" s="29" t="n">
        <v>24500.63981420296</v>
      </c>
      <c r="AM118" s="29" t="n">
        <v>43219.16645791179</v>
      </c>
      <c r="AN118" s="29" t="n">
        <v>49068.10127402048</v>
      </c>
      <c r="AO118" s="29" t="n">
        <v>24774.52590734953</v>
      </c>
      <c r="AP118" s="29" t="n">
        <v>94337.66523412743</v>
      </c>
      <c r="AQ118" s="29" t="n">
        <v>1123933.331002067</v>
      </c>
      <c r="AR118" s="29" t="n">
        <v>94954.19355694369</v>
      </c>
      <c r="AS118" s="29" t="n">
        <v>77336.38517776295</v>
      </c>
      <c r="AT118" s="29" t="n">
        <v>13884.54595387123</v>
      </c>
      <c r="AU118" s="29" t="n">
        <v>38821.28464578647</v>
      </c>
      <c r="AV118" s="29" t="n">
        <v>46193.54313649263</v>
      </c>
      <c r="AW118" s="29" t="n">
        <v>2872.619061967117</v>
      </c>
      <c r="AX118" s="29" t="n">
        <v>4355.06057889658</v>
      </c>
      <c r="AY118" s="29" t="n">
        <v>18877.27913016889</v>
      </c>
      <c r="AZ118" s="29" t="n">
        <v>44320.41261241402</v>
      </c>
      <c r="BA118" s="29" t="n">
        <v>26525.0620849909</v>
      </c>
      <c r="BB118" s="29" t="n">
        <v>53263.73746624841</v>
      </c>
      <c r="BC118" s="29" t="n">
        <v>37854.63204622875</v>
      </c>
      <c r="BD118" s="29" t="n">
        <v>2029.444459175196</v>
      </c>
      <c r="BE118" s="29" t="n">
        <v>19311.20980945821</v>
      </c>
      <c r="BF118" s="29" t="n">
        <v>16765.92738073479</v>
      </c>
      <c r="BG118" s="29" t="n">
        <v>11206.98024582545</v>
      </c>
      <c r="BH118" s="29" t="n">
        <v>44401.68058934686</v>
      </c>
      <c r="BI118" s="29" t="n">
        <v>10120.40958903131</v>
      </c>
      <c r="BJ118" s="29" t="n">
        <v>17989.57444409674</v>
      </c>
      <c r="BK118" s="29" t="n">
        <v>443391.8950621997</v>
      </c>
      <c r="BL118" s="29" t="n">
        <v>36975.22012583667</v>
      </c>
      <c r="BM118" s="29" t="n">
        <v>20427.69332727198</v>
      </c>
      <c r="BN118" s="29" t="n">
        <v>29020.38879566656</v>
      </c>
      <c r="BO118" s="29" t="n">
        <v>4958.209530367861</v>
      </c>
      <c r="BP118" s="29" t="n">
        <v>20161.07362152824</v>
      </c>
      <c r="BQ118" s="29" t="n">
        <v>18805.04288273575</v>
      </c>
      <c r="BR118" s="29" t="n">
        <v>8749.873433613311</v>
      </c>
      <c r="BS118" s="29" t="n">
        <v>0</v>
      </c>
      <c r="BT118" s="29" t="n">
        <v>420876.7353962087</v>
      </c>
      <c r="BU118" s="29" t="n">
        <v>1581849.231887065</v>
      </c>
      <c r="BV118" s="29" t="n">
        <v>2978322.991378104</v>
      </c>
      <c r="BW118" s="29" t="n">
        <v>0</v>
      </c>
      <c r="BX118" s="29" t="n">
        <v>156699.6191199703</v>
      </c>
      <c r="BY118" s="29" t="n">
        <v>566206.8675481702</v>
      </c>
      <c r="BZ118" s="29" t="n">
        <v>3354.40335419358</v>
      </c>
      <c r="CA118" s="29" t="n">
        <v>84342.20398635897</v>
      </c>
      <c r="CB118" s="29" t="n">
        <v>12514.17428216181</v>
      </c>
      <c r="CC118" s="29" t="n">
        <v>247.9277934474895</v>
      </c>
      <c r="CD118" s="29" t="n">
        <v>88954.7909712968</v>
      </c>
      <c r="CE118" s="29" t="n">
        <v>102048.6356347031</v>
      </c>
      <c r="CF118" s="29" t="n">
        <v>31488.32733086287</v>
      </c>
      <c r="CG118" s="29" t="n">
        <v>9546868.932178123</v>
      </c>
      <c r="CH118" s="29" t="n">
        <v>1933168.323946286</v>
      </c>
      <c r="CI118" s="29" t="n">
        <v>542746.832812035</v>
      </c>
      <c r="CJ118" s="29" t="n">
        <v>622605.1459673585</v>
      </c>
      <c r="CK118" s="29" t="n">
        <v>204325.2456217815</v>
      </c>
      <c r="CL118" s="29" t="n">
        <v>1395597.10560278</v>
      </c>
      <c r="CM118" s="29" t="n">
        <v>64797.41035492166</v>
      </c>
      <c r="CN118" s="29" t="n">
        <v>0</v>
      </c>
      <c r="CO118" s="29" t="n">
        <v>0</v>
      </c>
      <c r="CP118" s="29" t="n">
        <v>3954.310886086815</v>
      </c>
      <c r="CQ118" s="29" t="n">
        <v>179145.8052042859</v>
      </c>
      <c r="CR118" s="29" t="n">
        <v>3379249.785610895</v>
      </c>
      <c r="CS118" s="29" t="n">
        <v>38135.62260086374</v>
      </c>
      <c r="CT118" s="29" t="n">
        <v>34822.01717963729</v>
      </c>
      <c r="CU118" s="29" t="n">
        <v>9255023.851616092</v>
      </c>
      <c r="CV118" s="29" t="n">
        <v>3945927.172380853</v>
      </c>
      <c r="CW118" s="29" t="n">
        <v>7715258.815817193</v>
      </c>
      <c r="CX118" s="29" t="n">
        <v>258077.73758966</v>
      </c>
      <c r="CY118" s="29" t="n">
        <v>735485.3373393076</v>
      </c>
      <c r="CZ118" s="29" t="n">
        <v>112028.0122940555</v>
      </c>
      <c r="DA118" s="29" t="n">
        <v>73196.63874132701</v>
      </c>
      <c r="DB118" s="29" t="n">
        <v>14500900.16354297</v>
      </c>
      <c r="DC118" s="29" t="n">
        <v>37975987.22121456</v>
      </c>
      <c r="DD118" s="29" t="n">
        <v>100025.7260262696</v>
      </c>
      <c r="DE118" s="29" t="n">
        <v>0</v>
      </c>
      <c r="DF118" s="29">
        <f>SUM(C118:DE118)</f>
        <v/>
      </c>
      <c r="DG118" s="29" t="n">
        <v>0</v>
      </c>
      <c r="DH118" s="29" t="n">
        <v>0</v>
      </c>
      <c r="DI118" s="29" t="n">
        <v>156528133.5197935</v>
      </c>
      <c r="DJ118" s="29" t="n">
        <v>0</v>
      </c>
      <c r="DK118" s="29">
        <f>SUM(DG118:DJ118)</f>
        <v/>
      </c>
      <c r="DL118" s="29">
        <f>DF118+DK118</f>
        <v/>
      </c>
    </row>
    <row r="119">
      <c r="A119" s="30" t="inlineStr">
        <is>
          <t>930</t>
        </is>
      </c>
      <c r="B119" s="30" t="inlineStr">
        <is>
          <t>Otras actividades de servicios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0</v>
      </c>
      <c r="J119" s="31" t="n">
        <v>434.600743194782</v>
      </c>
      <c r="K119" s="31" t="n">
        <v>58639.58290961029</v>
      </c>
      <c r="L119" s="31" t="n">
        <v>0</v>
      </c>
      <c r="M119" s="31" t="n">
        <v>0</v>
      </c>
      <c r="N119" s="31" t="n">
        <v>10796.15575017641</v>
      </c>
      <c r="O119" s="31" t="n">
        <v>0</v>
      </c>
      <c r="P119" s="31" t="n">
        <v>7.606684912168</v>
      </c>
      <c r="Q119" s="31" t="n">
        <v>6954.61704409965</v>
      </c>
      <c r="R119" s="31" t="n">
        <v>1406.635408660851</v>
      </c>
      <c r="S119" s="31" t="n">
        <v>8.225834378388999</v>
      </c>
      <c r="T119" s="31" t="n">
        <v>7.797447699277</v>
      </c>
      <c r="U119" s="31" t="n">
        <v>11674.69399108384</v>
      </c>
      <c r="V119" s="31" t="n">
        <v>74.807956457771</v>
      </c>
      <c r="W119" s="31" t="n">
        <v>53.019822683588</v>
      </c>
      <c r="X119" s="31" t="n">
        <v>15.194173269987</v>
      </c>
      <c r="Y119" s="31" t="n">
        <v>18.105960199826</v>
      </c>
      <c r="Z119" s="31" t="n">
        <v>0.220010811333</v>
      </c>
      <c r="AA119" s="31" t="n">
        <v>608.813364868269</v>
      </c>
      <c r="AB119" s="31" t="n">
        <v>0</v>
      </c>
      <c r="AC119" s="31" t="n">
        <v>93.53322141634401</v>
      </c>
      <c r="AD119" s="31" t="n">
        <v>107.554000264669</v>
      </c>
      <c r="AE119" s="31" t="n">
        <v>13.456571127693</v>
      </c>
      <c r="AF119" s="31" t="n">
        <v>3627.021135344764</v>
      </c>
      <c r="AG119" s="31" t="n">
        <v>127.227051871614</v>
      </c>
      <c r="AH119" s="31" t="n">
        <v>4.068751560001999</v>
      </c>
      <c r="AI119" s="31" t="n">
        <v>16.646726571152</v>
      </c>
      <c r="AJ119" s="31" t="n">
        <v>2397.081800982683</v>
      </c>
      <c r="AK119" s="31" t="n">
        <v>12.41821824236</v>
      </c>
      <c r="AL119" s="31" t="n">
        <v>38.39614260715501</v>
      </c>
      <c r="AM119" s="31" t="n">
        <v>0.194803174931</v>
      </c>
      <c r="AN119" s="31" t="n">
        <v>4931.250326973447</v>
      </c>
      <c r="AO119" s="31" t="n">
        <v>1190.875579017323</v>
      </c>
      <c r="AP119" s="31" t="n">
        <v>2.058761743487</v>
      </c>
      <c r="AQ119" s="31" t="n">
        <v>41315.59301307607</v>
      </c>
      <c r="AR119" s="31" t="n">
        <v>0.119005705281</v>
      </c>
      <c r="AS119" s="31" t="n">
        <v>51.839255151316</v>
      </c>
      <c r="AT119" s="31" t="n">
        <v>1.826531557514</v>
      </c>
      <c r="AU119" s="31" t="n">
        <v>27.416665937737</v>
      </c>
      <c r="AV119" s="31" t="n">
        <v>1854.41137530861</v>
      </c>
      <c r="AW119" s="31" t="n">
        <v>2.654531097695</v>
      </c>
      <c r="AX119" s="31" t="n">
        <v>0</v>
      </c>
      <c r="AY119" s="31" t="n">
        <v>26.52185439126</v>
      </c>
      <c r="AZ119" s="31" t="n">
        <v>153.8956805737</v>
      </c>
      <c r="BA119" s="31" t="n">
        <v>1267.417948823658</v>
      </c>
      <c r="BB119" s="31" t="n">
        <v>3.049459657053</v>
      </c>
      <c r="BC119" s="31" t="n">
        <v>2.737853677782</v>
      </c>
      <c r="BD119" s="31" t="n">
        <v>0</v>
      </c>
      <c r="BE119" s="31" t="n">
        <v>6.373893897566001</v>
      </c>
      <c r="BF119" s="31" t="n">
        <v>1.707471857376</v>
      </c>
      <c r="BG119" s="31" t="n">
        <v>4.392676406116</v>
      </c>
      <c r="BH119" s="31" t="n">
        <v>18.06994751617801</v>
      </c>
      <c r="BI119" s="31" t="n">
        <v>0.25334273555</v>
      </c>
      <c r="BJ119" s="31" t="n">
        <v>2.737864154004</v>
      </c>
      <c r="BK119" s="31" t="n">
        <v>15826.9171023732</v>
      </c>
      <c r="BL119" s="31" t="n">
        <v>1285.23603728301</v>
      </c>
      <c r="BM119" s="31" t="n">
        <v>0.350278960382</v>
      </c>
      <c r="BN119" s="31" t="n">
        <v>40.560995646677</v>
      </c>
      <c r="BO119" s="31" t="n">
        <v>5.507852607075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1269494</v>
      </c>
      <c r="BW119" s="31" t="n">
        <v>0</v>
      </c>
      <c r="BX119" s="31" t="n">
        <v>314711.689971374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4579.97711914823</v>
      </c>
      <c r="CG119" s="31" t="n">
        <v>5809.04357586373</v>
      </c>
      <c r="CH119" s="31" t="n">
        <v>0</v>
      </c>
      <c r="CI119" s="31" t="n">
        <v>6977.084742100281</v>
      </c>
      <c r="CJ119" s="31" t="n">
        <v>0</v>
      </c>
      <c r="CK119" s="31" t="n">
        <v>0</v>
      </c>
      <c r="CL119" s="31" t="n">
        <v>120765.3053547725</v>
      </c>
      <c r="CM119" s="31" t="n">
        <v>0</v>
      </c>
      <c r="CN119" s="31" t="n">
        <v>0</v>
      </c>
      <c r="CO119" s="31" t="n">
        <v>0</v>
      </c>
      <c r="CP119" s="31" t="n">
        <v>130780.604580688</v>
      </c>
      <c r="CQ119" s="31" t="n">
        <v>15143.60450434154</v>
      </c>
      <c r="CR119" s="31" t="n">
        <v>241409.645295376</v>
      </c>
      <c r="CS119" s="31" t="n">
        <v>21.40576823330001</v>
      </c>
      <c r="CT119" s="31" t="n">
        <v>19.54582037285</v>
      </c>
      <c r="CU119" s="31" t="n">
        <v>905321.8242821114</v>
      </c>
      <c r="CV119" s="31" t="n">
        <v>1042.78018056476</v>
      </c>
      <c r="CW119" s="31" t="n">
        <v>1002.330679296113</v>
      </c>
      <c r="CX119" s="31" t="n">
        <v>0</v>
      </c>
      <c r="CY119" s="31" t="n">
        <v>1356392.579870984</v>
      </c>
      <c r="CZ119" s="31" t="n">
        <v>320.2297277974499</v>
      </c>
      <c r="DA119" s="31" t="n">
        <v>0</v>
      </c>
      <c r="DB119" s="31" t="n">
        <v>1363765.167178024</v>
      </c>
      <c r="DC119" s="31" t="n">
        <v>244441.0529992815</v>
      </c>
      <c r="DD119" s="31" t="n">
        <v>105040.794081571</v>
      </c>
      <c r="DE119" s="31" t="n">
        <v>0</v>
      </c>
      <c r="DF119" s="31">
        <f>SUM(C119:DE119)</f>
        <v/>
      </c>
      <c r="DG119" s="31" t="n">
        <v>0</v>
      </c>
      <c r="DH119" s="31" t="n">
        <v>0</v>
      </c>
      <c r="DI119" s="31" t="n">
        <v>66551204.69264002</v>
      </c>
      <c r="DJ119" s="31" t="n">
        <v>0</v>
      </c>
      <c r="DK119" s="31">
        <f>SUM(DG119:DJ119)</f>
        <v/>
      </c>
      <c r="DL119" s="31">
        <f>DF119+DK119</f>
        <v/>
      </c>
    </row>
    <row r="120">
      <c r="A120" s="28" t="inlineStr">
        <is>
          <t>950</t>
        </is>
      </c>
      <c r="B120" s="28" t="inlineStr">
        <is>
          <t>Servicios de hogares privados que contratan servicio doméstico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>
        <f>SUM(C120:DE120)</f>
        <v/>
      </c>
      <c r="DG120" s="29" t="n">
        <v>0</v>
      </c>
      <c r="DH120" s="29" t="n">
        <v>0</v>
      </c>
      <c r="DI120" s="29" t="n">
        <v>96676208.9653701</v>
      </c>
      <c r="DJ120" s="29" t="n">
        <v>0</v>
      </c>
      <c r="DK120" s="29">
        <f>SUM(DG120:DJ120)</f>
        <v/>
      </c>
      <c r="DL120" s="29">
        <f>DF120+DK120</f>
        <v/>
      </c>
    </row>
    <row r="121">
      <c r="B121" s="32" t="inlineStr">
        <is>
          <t>Total consumo intermedio</t>
        </is>
      </c>
      <c r="C121" s="33">
        <f>SUM(C14:C120)</f>
        <v/>
      </c>
      <c r="D121" s="33">
        <f>SUM(D14:D120)</f>
        <v/>
      </c>
      <c r="E121" s="33">
        <f>SUM(E14:E120)</f>
        <v/>
      </c>
      <c r="F121" s="33">
        <f>SUM(F14:F120)</f>
        <v/>
      </c>
      <c r="G121" s="33">
        <f>SUM(G14:G120)</f>
        <v/>
      </c>
      <c r="H121" s="33">
        <f>SUM(H14:H120)</f>
        <v/>
      </c>
      <c r="I121" s="33">
        <f>SUM(I14:I120)</f>
        <v/>
      </c>
      <c r="J121" s="33">
        <f>SUM(J14:J120)</f>
        <v/>
      </c>
      <c r="K121" s="33">
        <f>SUM(K14:K120)</f>
        <v/>
      </c>
      <c r="L121" s="33">
        <f>SUM(L14:L120)</f>
        <v/>
      </c>
      <c r="M121" s="33">
        <f>SUM(M14:M120)</f>
        <v/>
      </c>
      <c r="N121" s="33">
        <f>SUM(N14:N120)</f>
        <v/>
      </c>
      <c r="O121" s="33">
        <f>SUM(O14:O120)</f>
        <v/>
      </c>
      <c r="P121" s="33">
        <f>SUM(P14:P120)</f>
        <v/>
      </c>
      <c r="Q121" s="33">
        <f>SUM(Q14:Q120)</f>
        <v/>
      </c>
      <c r="R121" s="33">
        <f>SUM(R14:R120)</f>
        <v/>
      </c>
      <c r="S121" s="33">
        <f>SUM(S14:S120)</f>
        <v/>
      </c>
      <c r="T121" s="33">
        <f>SUM(T14:T120)</f>
        <v/>
      </c>
      <c r="U121" s="33">
        <f>SUM(U14:U120)</f>
        <v/>
      </c>
      <c r="V121" s="33">
        <f>SUM(V14:V120)</f>
        <v/>
      </c>
      <c r="W121" s="33">
        <f>SUM(W14:W120)</f>
        <v/>
      </c>
      <c r="X121" s="33">
        <f>SUM(X14:X120)</f>
        <v/>
      </c>
      <c r="Y121" s="33">
        <f>SUM(Y14:Y120)</f>
        <v/>
      </c>
      <c r="Z121" s="33">
        <f>SUM(Z14:Z120)</f>
        <v/>
      </c>
      <c r="AA121" s="33">
        <f>SUM(AA14:AA120)</f>
        <v/>
      </c>
      <c r="AB121" s="33">
        <f>SUM(AB14:AB120)</f>
        <v/>
      </c>
      <c r="AC121" s="33">
        <f>SUM(AC14:AC120)</f>
        <v/>
      </c>
      <c r="AD121" s="33">
        <f>SUM(AD14:AD120)</f>
        <v/>
      </c>
      <c r="AE121" s="33">
        <f>SUM(AE14:AE120)</f>
        <v/>
      </c>
      <c r="AF121" s="33">
        <f>SUM(AF14:AF120)</f>
        <v/>
      </c>
      <c r="AG121" s="33">
        <f>SUM(AG14:AG120)</f>
        <v/>
      </c>
      <c r="AH121" s="33">
        <f>SUM(AH14:AH120)</f>
        <v/>
      </c>
      <c r="AI121" s="33">
        <f>SUM(AI14:AI120)</f>
        <v/>
      </c>
      <c r="AJ121" s="33">
        <f>SUM(AJ14:AJ120)</f>
        <v/>
      </c>
      <c r="AK121" s="33">
        <f>SUM(AK14:AK120)</f>
        <v/>
      </c>
      <c r="AL121" s="33">
        <f>SUM(AL14:AL120)</f>
        <v/>
      </c>
      <c r="AM121" s="33">
        <f>SUM(AM14:AM120)</f>
        <v/>
      </c>
      <c r="AN121" s="33">
        <f>SUM(AN14:AN120)</f>
        <v/>
      </c>
      <c r="AO121" s="33">
        <f>SUM(AO14:AO120)</f>
        <v/>
      </c>
      <c r="AP121" s="33">
        <f>SUM(AP14:AP120)</f>
        <v/>
      </c>
      <c r="AQ121" s="33">
        <f>SUM(AQ14:AQ120)</f>
        <v/>
      </c>
      <c r="AR121" s="33">
        <f>SUM(AR14:AR120)</f>
        <v/>
      </c>
      <c r="AS121" s="33">
        <f>SUM(AS14:AS120)</f>
        <v/>
      </c>
      <c r="AT121" s="33">
        <f>SUM(AT14:AT120)</f>
        <v/>
      </c>
      <c r="AU121" s="33">
        <f>SUM(AU14:AU120)</f>
        <v/>
      </c>
      <c r="AV121" s="33">
        <f>SUM(AV14:AV120)</f>
        <v/>
      </c>
      <c r="AW121" s="33">
        <f>SUM(AW14:AW120)</f>
        <v/>
      </c>
      <c r="AX121" s="33">
        <f>SUM(AX14:AX120)</f>
        <v/>
      </c>
      <c r="AY121" s="33">
        <f>SUM(AY14:AY120)</f>
        <v/>
      </c>
      <c r="AZ121" s="33">
        <f>SUM(AZ14:AZ120)</f>
        <v/>
      </c>
      <c r="BA121" s="33">
        <f>SUM(BA14:BA120)</f>
        <v/>
      </c>
      <c r="BB121" s="33">
        <f>SUM(BB14:BB120)</f>
        <v/>
      </c>
      <c r="BC121" s="33">
        <f>SUM(BC14:BC120)</f>
        <v/>
      </c>
      <c r="BD121" s="33">
        <f>SUM(BD14:BD120)</f>
        <v/>
      </c>
      <c r="BE121" s="33">
        <f>SUM(BE14:BE120)</f>
        <v/>
      </c>
      <c r="BF121" s="33">
        <f>SUM(BF14:BF120)</f>
        <v/>
      </c>
      <c r="BG121" s="33">
        <f>SUM(BG14:BG120)</f>
        <v/>
      </c>
      <c r="BH121" s="33">
        <f>SUM(BH14:BH120)</f>
        <v/>
      </c>
      <c r="BI121" s="33">
        <f>SUM(BI14:BI120)</f>
        <v/>
      </c>
      <c r="BJ121" s="33">
        <f>SUM(BJ14:BJ120)</f>
        <v/>
      </c>
      <c r="BK121" s="33">
        <f>SUM(BK14:BK120)</f>
        <v/>
      </c>
      <c r="BL121" s="33">
        <f>SUM(BL14:BL120)</f>
        <v/>
      </c>
      <c r="BM121" s="33">
        <f>SUM(BM14:BM120)</f>
        <v/>
      </c>
      <c r="BN121" s="33">
        <f>SUM(BN14:BN120)</f>
        <v/>
      </c>
      <c r="BO121" s="33">
        <f>SUM(BO14:BO120)</f>
        <v/>
      </c>
      <c r="BP121" s="33">
        <f>SUM(BP14:BP120)</f>
        <v/>
      </c>
      <c r="BQ121" s="33">
        <f>SUM(BQ14:BQ120)</f>
        <v/>
      </c>
      <c r="BR121" s="33">
        <f>SUM(BR14:BR120)</f>
        <v/>
      </c>
      <c r="BS121" s="33">
        <f>SUM(BS14:BS120)</f>
        <v/>
      </c>
      <c r="BT121" s="33">
        <f>SUM(BT14:BT120)</f>
        <v/>
      </c>
      <c r="BU121" s="33">
        <f>SUM(BU14:BU120)</f>
        <v/>
      </c>
      <c r="BV121" s="33">
        <f>SUM(BV14:BV120)</f>
        <v/>
      </c>
      <c r="BW121" s="33">
        <f>SUM(BW14:BW120)</f>
        <v/>
      </c>
      <c r="BX121" s="33">
        <f>SUM(BX14:BX120)</f>
        <v/>
      </c>
      <c r="BY121" s="33">
        <f>SUM(BY14:BY120)</f>
        <v/>
      </c>
      <c r="BZ121" s="33">
        <f>SUM(BZ14:BZ120)</f>
        <v/>
      </c>
      <c r="CA121" s="33">
        <f>SUM(CA14:CA120)</f>
        <v/>
      </c>
      <c r="CB121" s="33">
        <f>SUM(CB14:CB120)</f>
        <v/>
      </c>
      <c r="CC121" s="33">
        <f>SUM(CC14:CC120)</f>
        <v/>
      </c>
      <c r="CD121" s="33">
        <f>SUM(CD14:CD120)</f>
        <v/>
      </c>
      <c r="CE121" s="33">
        <f>SUM(CE14:CE120)</f>
        <v/>
      </c>
      <c r="CF121" s="33">
        <f>SUM(CF14:CF120)</f>
        <v/>
      </c>
      <c r="CG121" s="33">
        <f>SUM(CG14:CG120)</f>
        <v/>
      </c>
      <c r="CH121" s="33">
        <f>SUM(CH14:CH120)</f>
        <v/>
      </c>
      <c r="CI121" s="33">
        <f>SUM(CI14:CI120)</f>
        <v/>
      </c>
      <c r="CJ121" s="33">
        <f>SUM(CJ14:CJ120)</f>
        <v/>
      </c>
      <c r="CK121" s="33">
        <f>SUM(CK14:CK120)</f>
        <v/>
      </c>
      <c r="CL121" s="33">
        <f>SUM(CL14:CL120)</f>
        <v/>
      </c>
      <c r="CM121" s="33">
        <f>SUM(CM14:CM120)</f>
        <v/>
      </c>
      <c r="CN121" s="33">
        <f>SUM(CN14:CN120)</f>
        <v/>
      </c>
      <c r="CO121" s="33">
        <f>SUM(CO14:CO120)</f>
        <v/>
      </c>
      <c r="CP121" s="33">
        <f>SUM(CP14:CP120)</f>
        <v/>
      </c>
      <c r="CQ121" s="33">
        <f>SUM(CQ14:CQ120)</f>
        <v/>
      </c>
      <c r="CR121" s="33">
        <f>SUM(CR14:CR120)</f>
        <v/>
      </c>
      <c r="CS121" s="33">
        <f>SUM(CS14:CS120)</f>
        <v/>
      </c>
      <c r="CT121" s="33">
        <f>SUM(CT14:CT120)</f>
        <v/>
      </c>
      <c r="CU121" s="33">
        <f>SUM(CU14:CU120)</f>
        <v/>
      </c>
      <c r="CV121" s="33">
        <f>SUM(CV14:CV120)</f>
        <v/>
      </c>
      <c r="CW121" s="33">
        <f>SUM(CW14:CW120)</f>
        <v/>
      </c>
      <c r="CX121" s="33">
        <f>SUM(CX14:CX120)</f>
        <v/>
      </c>
      <c r="CY121" s="33">
        <f>SUM(CY14:CY120)</f>
        <v/>
      </c>
      <c r="CZ121" s="33">
        <f>SUM(CZ14:CZ120)</f>
        <v/>
      </c>
      <c r="DA121" s="33">
        <f>SUM(DA14:DA120)</f>
        <v/>
      </c>
      <c r="DB121" s="33">
        <f>SUM(DB14:DB120)</f>
        <v/>
      </c>
      <c r="DC121" s="33">
        <f>SUM(DC14:DC120)</f>
        <v/>
      </c>
      <c r="DD121" s="33">
        <f>SUM(DD14:DD120)</f>
        <v/>
      </c>
      <c r="DE121" s="33">
        <f>SUM(DE14:DE120)</f>
        <v/>
      </c>
      <c r="DF121" s="33">
        <f>SUM(DF14:DF120)</f>
        <v/>
      </c>
      <c r="DG121" s="33">
        <f>SUM(DG14:DG120)</f>
        <v/>
      </c>
      <c r="DH121" s="33">
        <f>SUM(DH14:DH120)</f>
        <v/>
      </c>
      <c r="DI121" s="33">
        <f>SUM(DI14:DI120)</f>
        <v/>
      </c>
      <c r="DJ121" s="33">
        <f>SUM(DJ14:DJ120)</f>
        <v/>
      </c>
      <c r="DK121" s="33">
        <f>SUM(DK14:DK120)</f>
        <v/>
      </c>
      <c r="DL121" s="33">
        <f>SUM(DL14:DL120)</f>
        <v/>
      </c>
    </row>
    <row r="122"/>
    <row r="123">
      <c r="B123" s="32" t="inlineStr">
        <is>
          <t>Ajuste intermedio no asignado a matriz</t>
        </is>
      </c>
      <c r="C123" s="33" t="n">
        <v>5.960464477539062e-08</v>
      </c>
      <c r="D123" s="33" t="n">
        <v>6.51925802230835e-09</v>
      </c>
      <c r="E123" s="33" t="n">
        <v>-7.275957614183426e-12</v>
      </c>
      <c r="F123" s="33" t="n">
        <v>1.862645149230957e-09</v>
      </c>
      <c r="G123" s="33" t="n">
        <v>-5.820766091346741e-11</v>
      </c>
      <c r="H123" s="33" t="n">
        <v>9.313225746154785e-10</v>
      </c>
      <c r="I123" s="33" t="n">
        <v>3.456079866737127e-11</v>
      </c>
      <c r="J123" s="33" t="n">
        <v>0</v>
      </c>
      <c r="K123" s="33" t="n">
        <v>-3.725290298461914e-09</v>
      </c>
      <c r="L123" s="33" t="n">
        <v>9.313225746154785e-10</v>
      </c>
      <c r="M123" s="33" t="n">
        <v>-9.313225746154785e-10</v>
      </c>
      <c r="N123" s="33" t="n">
        <v>-2.328306436538696e-09</v>
      </c>
      <c r="O123" s="33" t="n">
        <v>2.328306436538696e-10</v>
      </c>
      <c r="P123" s="33" t="n">
        <v>5.587935447692871e-09</v>
      </c>
      <c r="Q123" s="33" t="n">
        <v>7.450580596923828e-08</v>
      </c>
      <c r="R123" s="33" t="n">
        <v>7.450580596923828e-09</v>
      </c>
      <c r="S123" s="33" t="n">
        <v>-3.492459654808044e-09</v>
      </c>
      <c r="T123" s="33" t="n">
        <v>0</v>
      </c>
      <c r="U123" s="33" t="n">
        <v>0</v>
      </c>
      <c r="V123" s="33" t="n">
        <v>-2.328306436538696e-10</v>
      </c>
      <c r="W123" s="33" t="n">
        <v>1.862645149230957e-09</v>
      </c>
      <c r="X123" s="33" t="n">
        <v>-4.656612873077393e-09</v>
      </c>
      <c r="Y123" s="33" t="n">
        <v>1.024454832077026e-08</v>
      </c>
      <c r="Z123" s="33" t="n">
        <v>6.984919309616089e-10</v>
      </c>
      <c r="AA123" s="33" t="n">
        <v>-5.587935447692871e-09</v>
      </c>
      <c r="AB123" s="33" t="n">
        <v>1.862645149230957e-09</v>
      </c>
      <c r="AC123" s="34" t="n">
        <v>-1.117587089538574e-08</v>
      </c>
      <c r="AD123" s="33" t="n">
        <v>9.313225746154785e-10</v>
      </c>
      <c r="AE123" s="33" t="n">
        <v>56935.67421055026</v>
      </c>
      <c r="AF123" s="33" t="n">
        <v>5123.999999992549</v>
      </c>
      <c r="AG123" s="33" t="n">
        <v>-3.725290298461914e-09</v>
      </c>
      <c r="AH123" s="33" t="n">
        <v>-9.313225746154785e-10</v>
      </c>
      <c r="AI123" s="33" t="n">
        <v>2.793967723846436e-09</v>
      </c>
      <c r="AJ123" s="34" t="n">
        <v>-1.490116119384766e-08</v>
      </c>
      <c r="AK123" s="33" t="n">
        <v>2.793967723846436e-09</v>
      </c>
      <c r="AL123" s="33" t="n">
        <v>-5.587935447692871e-09</v>
      </c>
      <c r="AM123" s="33" t="n">
        <v>-7.450580596923828e-09</v>
      </c>
      <c r="AN123" s="33" t="n">
        <v>3.725290298461914e-09</v>
      </c>
      <c r="AO123" s="33" t="n">
        <v>3.725290298461914e-09</v>
      </c>
      <c r="AP123" s="33" t="n">
        <v>2.980232238769531e-08</v>
      </c>
      <c r="AQ123" s="34" t="n">
        <v>-4.470348358154297e-08</v>
      </c>
      <c r="AR123" s="33" t="n">
        <v>2994.201233416796</v>
      </c>
      <c r="AS123" s="33" t="n">
        <v>1.490116119384766e-08</v>
      </c>
      <c r="AT123" s="33" t="n">
        <v>0</v>
      </c>
      <c r="AU123" s="33" t="n">
        <v>24490.72369325534</v>
      </c>
      <c r="AV123" s="33" t="n">
        <v>17162537</v>
      </c>
      <c r="AW123" s="33" t="n">
        <v>1.862645149230957e-09</v>
      </c>
      <c r="AX123" s="33" t="n">
        <v>0</v>
      </c>
      <c r="AY123" s="33" t="n">
        <v>3.725290298461914e-09</v>
      </c>
      <c r="AZ123" s="33" t="n">
        <v>68606.19029922038</v>
      </c>
      <c r="BA123" s="33" t="n">
        <v>-1.862645149230957e-09</v>
      </c>
      <c r="BB123" s="33" t="n">
        <v>7.450580596923828e-09</v>
      </c>
      <c r="BC123" s="33" t="n">
        <v>1.862645149230957e-09</v>
      </c>
      <c r="BD123" s="33" t="n">
        <v>9.313225746154785e-10</v>
      </c>
      <c r="BE123" s="33" t="n">
        <v>9.313225746154785e-10</v>
      </c>
      <c r="BF123" s="33" t="n">
        <v>2.793967723846436e-09</v>
      </c>
      <c r="BG123" s="33" t="n">
        <v>0</v>
      </c>
      <c r="BH123" s="33" t="n">
        <v>7.450580596923828e-09</v>
      </c>
      <c r="BI123" s="33" t="n">
        <v>0</v>
      </c>
      <c r="BJ123" s="33" t="n">
        <v>74.99935343535617</v>
      </c>
      <c r="BK123" s="34" t="n">
        <v>-8.940696716308594e-08</v>
      </c>
      <c r="BL123" s="33" t="n">
        <v>7.450580596923828e-09</v>
      </c>
      <c r="BM123" s="33" t="n">
        <v>0</v>
      </c>
      <c r="BN123" s="33" t="n">
        <v>-9.313225746154785e-09</v>
      </c>
      <c r="BO123" s="33" t="n">
        <v>1.396983861923218e-09</v>
      </c>
      <c r="BP123" s="34" t="n">
        <v>-4.470348358154297e-08</v>
      </c>
      <c r="BQ123" s="33" t="n">
        <v>0</v>
      </c>
      <c r="BR123" s="33" t="n">
        <v>-9.313225746154785e-10</v>
      </c>
      <c r="BS123" s="33" t="n">
        <v>0</v>
      </c>
      <c r="BT123" s="33" t="n">
        <v>-3.725290298461914e-09</v>
      </c>
      <c r="BU123" s="33" t="n">
        <v>0</v>
      </c>
      <c r="BV123" s="33" t="n">
        <v>0</v>
      </c>
      <c r="BW123" s="33" t="n">
        <v>0</v>
      </c>
      <c r="BX123" s="33" t="n">
        <v>1.164153218269348e-09</v>
      </c>
      <c r="BY123" s="33" t="n">
        <v>1.490116119384766e-07</v>
      </c>
      <c r="BZ123" s="33" t="n">
        <v>9.313225746154785e-10</v>
      </c>
      <c r="CA123" s="34" t="n">
        <v>-5.960464477539062e-08</v>
      </c>
      <c r="CB123" s="33" t="n">
        <v>0</v>
      </c>
      <c r="CC123" s="33" t="n">
        <v>-5.820766091346741e-11</v>
      </c>
      <c r="CD123" s="33" t="n">
        <v>7.450580596923828e-09</v>
      </c>
      <c r="CE123" s="33" t="n">
        <v>7.450580596923828e-09</v>
      </c>
      <c r="CF123" s="33" t="n">
        <v>-3.492459654808044e-10</v>
      </c>
      <c r="CG123" s="33" t="n">
        <v>0</v>
      </c>
      <c r="CH123" s="33" t="n">
        <v>8.940696716308594e-08</v>
      </c>
      <c r="CI123" s="33" t="n">
        <v>-9.313225746154785e-10</v>
      </c>
      <c r="CJ123" s="33" t="n">
        <v>3.725290298461914e-09</v>
      </c>
      <c r="CK123" s="33" t="n">
        <v>9.313225746154785e-10</v>
      </c>
      <c r="CL123" s="33" t="n">
        <v>-7.450580596923828e-09</v>
      </c>
      <c r="CM123" s="33" t="n">
        <v>1.862645149230957e-09</v>
      </c>
      <c r="CN123" s="34" t="n">
        <v>-1.117587089538574e-08</v>
      </c>
      <c r="CO123" s="33" t="n">
        <v>1.862645149230957e-09</v>
      </c>
      <c r="CP123" s="33" t="n">
        <v>0</v>
      </c>
      <c r="CQ123" s="33" t="n">
        <v>-4.656612873077393e-10</v>
      </c>
      <c r="CR123" s="33" t="n">
        <v>8.381903171539307e-09</v>
      </c>
      <c r="CS123" s="33" t="n">
        <v>-4.656612873077393e-10</v>
      </c>
      <c r="CT123" s="33" t="n">
        <v>-9.313225746154785e-10</v>
      </c>
      <c r="CU123" s="33" t="n">
        <v>2.980232238769531e-08</v>
      </c>
      <c r="CV123" s="34" t="n">
        <v>-2.980232238769531e-08</v>
      </c>
      <c r="CW123" s="33" t="n">
        <v>-7.450580596923828e-09</v>
      </c>
      <c r="CX123" s="33" t="n">
        <v>0</v>
      </c>
      <c r="CY123" s="33" t="n">
        <v>2.980232238769531e-08</v>
      </c>
      <c r="CZ123" s="33" t="n">
        <v>-3.725290298461914e-09</v>
      </c>
      <c r="DA123" s="33" t="n">
        <v>-1.862645149230957e-09</v>
      </c>
      <c r="DB123" s="33" t="n">
        <v>-7.450580596923828e-09</v>
      </c>
      <c r="DC123" s="33" t="n">
        <v>7.450580596923828e-09</v>
      </c>
      <c r="DD123" s="33" t="n">
        <v>1.862645149230957e-09</v>
      </c>
      <c r="DE123" s="33" t="n">
        <v>0</v>
      </c>
      <c r="DL123" s="33">
        <f>SUM(C123:DE123)</f>
        <v/>
      </c>
    </row>
    <row r="124"/>
    <row r="125">
      <c r="B125" s="32" t="inlineStr">
        <is>
          <t>Valor agregado</t>
        </is>
      </c>
      <c r="C125" s="33" t="n">
        <v>388306812.8804004</v>
      </c>
      <c r="D125" s="33" t="n">
        <v>200216153.8834288</v>
      </c>
      <c r="E125" s="33" t="n">
        <v>1912838.099621394</v>
      </c>
      <c r="F125" s="33" t="n">
        <v>8362613.201730756</v>
      </c>
      <c r="G125" s="33" t="n">
        <v>15385767.99775762</v>
      </c>
      <c r="H125" s="33" t="n">
        <v>54917466.06019339</v>
      </c>
      <c r="I125" s="33" t="n">
        <v>1138797.60114376</v>
      </c>
      <c r="J125" s="33" t="n">
        <v>378143737.6862993</v>
      </c>
      <c r="K125" s="33" t="n">
        <v>93442738.49570605</v>
      </c>
      <c r="L125" s="33" t="n">
        <v>62703489.22940204</v>
      </c>
      <c r="M125" s="33" t="n">
        <v>30220366.46623645</v>
      </c>
      <c r="N125" s="33" t="n">
        <v>67563950.24725068</v>
      </c>
      <c r="O125" s="33" t="n">
        <v>13379805.97174415</v>
      </c>
      <c r="P125" s="33" t="n">
        <v>16369130.14887146</v>
      </c>
      <c r="Q125" s="33" t="n">
        <v>185980649.2719766</v>
      </c>
      <c r="R125" s="33" t="n">
        <v>53887415.74984685</v>
      </c>
      <c r="S125" s="33" t="n">
        <v>31068263.78846112</v>
      </c>
      <c r="T125" s="33" t="n">
        <v>27920757.56171922</v>
      </c>
      <c r="U125" s="33" t="n">
        <v>72180054.52673902</v>
      </c>
      <c r="V125" s="33" t="n">
        <v>11248639.44772267</v>
      </c>
      <c r="W125" s="33" t="n">
        <v>13846250.32943941</v>
      </c>
      <c r="X125" s="33" t="n">
        <v>13245503.72816068</v>
      </c>
      <c r="Y125" s="33" t="n">
        <v>46443523.27705714</v>
      </c>
      <c r="Z125" s="33" t="n">
        <v>6037429.391094029</v>
      </c>
      <c r="AA125" s="33" t="n">
        <v>50594493.2962407</v>
      </c>
      <c r="AB125" s="33" t="n">
        <v>24782285.65456772</v>
      </c>
      <c r="AC125" s="33" t="n">
        <v>53132305.24028148</v>
      </c>
      <c r="AD125" s="33" t="n">
        <v>12939059.95754426</v>
      </c>
      <c r="AE125" s="33" t="n">
        <v>34648988.23883347</v>
      </c>
      <c r="AF125" s="33" t="n">
        <v>52506389.50516517</v>
      </c>
      <c r="AG125" s="33" t="n">
        <v>6369379.432495106</v>
      </c>
      <c r="AH125" s="33" t="n">
        <v>14431718.93746715</v>
      </c>
      <c r="AI125" s="33" t="n">
        <v>37101421.74221103</v>
      </c>
      <c r="AJ125" s="33" t="n">
        <v>55354611.79839002</v>
      </c>
      <c r="AK125" s="33" t="n">
        <v>35643945.84765363</v>
      </c>
      <c r="AL125" s="33" t="n">
        <v>34513217.09399492</v>
      </c>
      <c r="AM125" s="33" t="n">
        <v>73549423.24209756</v>
      </c>
      <c r="AN125" s="33" t="n">
        <v>37105958.120351</v>
      </c>
      <c r="AO125" s="33" t="n">
        <v>21315173.8457284</v>
      </c>
      <c r="AP125" s="33" t="n">
        <v>32419160.4853733</v>
      </c>
      <c r="AQ125" s="33" t="n">
        <v>152436576.5891145</v>
      </c>
      <c r="AR125" s="33" t="n">
        <v>20850160.77253912</v>
      </c>
      <c r="AS125" s="33" t="n">
        <v>68101998.23768207</v>
      </c>
      <c r="AT125" s="33" t="n">
        <v>10192876.91494916</v>
      </c>
      <c r="AU125" s="33" t="n">
        <v>82330442.0939081</v>
      </c>
      <c r="AV125" s="33" t="n">
        <v>89114457.95613174</v>
      </c>
      <c r="AW125" s="33" t="n">
        <v>29155984.56196426</v>
      </c>
      <c r="AX125" s="33" t="n">
        <v>26596139.2160892</v>
      </c>
      <c r="AY125" s="33" t="n">
        <v>28297288.53185107</v>
      </c>
      <c r="AZ125" s="33" t="n">
        <v>67715053.7466014</v>
      </c>
      <c r="BA125" s="33" t="n">
        <v>27680649.11252867</v>
      </c>
      <c r="BB125" s="33" t="n">
        <v>46572897.63357727</v>
      </c>
      <c r="BC125" s="33" t="n">
        <v>16575956.12249269</v>
      </c>
      <c r="BD125" s="33" t="n">
        <v>2854644.743367735</v>
      </c>
      <c r="BE125" s="33" t="n">
        <v>15038091.3135604</v>
      </c>
      <c r="BF125" s="33" t="n">
        <v>8887400.751755591</v>
      </c>
      <c r="BG125" s="33" t="n">
        <v>10854886.30883246</v>
      </c>
      <c r="BH125" s="33" t="n">
        <v>12711702.09443882</v>
      </c>
      <c r="BI125" s="33" t="n">
        <v>4500938.396059187</v>
      </c>
      <c r="BJ125" s="33" t="n">
        <v>10965824.65592222</v>
      </c>
      <c r="BK125" s="33" t="n">
        <v>82346081.24022335</v>
      </c>
      <c r="BL125" s="33" t="n">
        <v>36833442.67549071</v>
      </c>
      <c r="BM125" s="33" t="n">
        <v>13782083.31246143</v>
      </c>
      <c r="BN125" s="33" t="n">
        <v>52300039.59900121</v>
      </c>
      <c r="BO125" s="33" t="n">
        <v>20867003.40052062</v>
      </c>
      <c r="BP125" s="33" t="n">
        <v>204902175.1176515</v>
      </c>
      <c r="BQ125" s="33" t="n">
        <v>30878641.63397525</v>
      </c>
      <c r="BR125" s="33" t="n">
        <v>33626080.69809622</v>
      </c>
      <c r="BS125" s="33" t="n">
        <v>589211429.9786241</v>
      </c>
      <c r="BT125" s="33" t="n">
        <v>164494094.4290995</v>
      </c>
      <c r="BU125" s="33" t="n">
        <v>760002882.5630245</v>
      </c>
      <c r="BV125" s="33" t="n">
        <v>1217154928.83056</v>
      </c>
      <c r="BW125" s="33" t="n">
        <v>38351148.11781619</v>
      </c>
      <c r="BX125" s="33" t="n">
        <v>43584404.0935493</v>
      </c>
      <c r="BY125" s="33" t="n">
        <v>253411422.5040034</v>
      </c>
      <c r="BZ125" s="33" t="n">
        <v>7903033.028572449</v>
      </c>
      <c r="CA125" s="33" t="n">
        <v>232745971.628315</v>
      </c>
      <c r="CB125" s="33" t="n">
        <v>8423281.999975504</v>
      </c>
      <c r="CC125" s="33" t="n">
        <v>1980060.076009619</v>
      </c>
      <c r="CD125" s="33" t="n">
        <v>36931169.97085537</v>
      </c>
      <c r="CE125" s="33" t="n">
        <v>151528614.3511652</v>
      </c>
      <c r="CF125" s="33" t="n">
        <v>23115738.65372083</v>
      </c>
      <c r="CG125" s="33" t="n">
        <v>39554590.03489107</v>
      </c>
      <c r="CH125" s="33" t="n">
        <v>245967972.0493021</v>
      </c>
      <c r="CI125" s="33" t="n">
        <v>29642447.74910013</v>
      </c>
      <c r="CJ125" s="33" t="n">
        <v>307377228.8073755</v>
      </c>
      <c r="CK125" s="33" t="n">
        <v>47224738.05326183</v>
      </c>
      <c r="CL125" s="33" t="n">
        <v>107361420.4997446</v>
      </c>
      <c r="CM125" s="33" t="n">
        <v>54982012.99231762</v>
      </c>
      <c r="CN125" s="33" t="n">
        <v>529303000.7032678</v>
      </c>
      <c r="CO125" s="33" t="n">
        <v>119899268.6214345</v>
      </c>
      <c r="CP125" s="33" t="n">
        <v>20407741.10225508</v>
      </c>
      <c r="CQ125" s="33" t="n">
        <v>46870442.04780297</v>
      </c>
      <c r="CR125" s="33" t="n">
        <v>138894945.3879527</v>
      </c>
      <c r="CS125" s="33" t="n">
        <v>8913622.149555121</v>
      </c>
      <c r="CT125" s="33" t="n">
        <v>21543111.7757132</v>
      </c>
      <c r="CU125" s="33" t="n">
        <v>621389920.6067474</v>
      </c>
      <c r="CV125" s="33" t="n">
        <v>1039301432.110558</v>
      </c>
      <c r="CW125" s="33" t="n">
        <v>189683810.2843123</v>
      </c>
      <c r="CX125" s="33" t="n">
        <v>584060019.0227115</v>
      </c>
      <c r="CY125" s="33" t="n">
        <v>534098822.6220203</v>
      </c>
      <c r="CZ125" s="33" t="n">
        <v>198861273.4907563</v>
      </c>
      <c r="DA125" s="33" t="n">
        <v>70403243.33991525</v>
      </c>
      <c r="DB125" s="33" t="n">
        <v>152194247.554107</v>
      </c>
      <c r="DC125" s="33" t="n">
        <v>111732615.7386819</v>
      </c>
      <c r="DD125" s="33" t="n">
        <v>55642070.92995033</v>
      </c>
      <c r="DE125" s="33" t="n">
        <v>96676208.9653701</v>
      </c>
      <c r="DL125" s="33">
        <f>SUM(C125:DE125)</f>
        <v/>
      </c>
    </row>
    <row r="126"/>
    <row r="127">
      <c r="B127" s="32" t="inlineStr">
        <is>
          <t>Produccion total</t>
        </is>
      </c>
      <c r="C127" s="33">
        <f>C121+C123+C125</f>
        <v/>
      </c>
      <c r="D127" s="33">
        <f>D121+D123+D125</f>
        <v/>
      </c>
      <c r="E127" s="33">
        <f>E121+E123+E125</f>
        <v/>
      </c>
      <c r="F127" s="33">
        <f>F121+F123+F125</f>
        <v/>
      </c>
      <c r="G127" s="33">
        <f>G121+G123+G125</f>
        <v/>
      </c>
      <c r="H127" s="33">
        <f>H121+H123+H125</f>
        <v/>
      </c>
      <c r="I127" s="33">
        <f>I121+I123+I125</f>
        <v/>
      </c>
      <c r="J127" s="33">
        <f>J121+J123+J125</f>
        <v/>
      </c>
      <c r="K127" s="33">
        <f>K121+K123+K125</f>
        <v/>
      </c>
      <c r="L127" s="33">
        <f>L121+L123+L125</f>
        <v/>
      </c>
      <c r="M127" s="33">
        <f>M121+M123+M125</f>
        <v/>
      </c>
      <c r="N127" s="33">
        <f>N121+N123+N125</f>
        <v/>
      </c>
      <c r="O127" s="33">
        <f>O121+O123+O125</f>
        <v/>
      </c>
      <c r="P127" s="33">
        <f>P121+P123+P125</f>
        <v/>
      </c>
      <c r="Q127" s="33">
        <f>Q121+Q123+Q125</f>
        <v/>
      </c>
      <c r="R127" s="33">
        <f>R121+R123+R125</f>
        <v/>
      </c>
      <c r="S127" s="33">
        <f>S121+S123+S125</f>
        <v/>
      </c>
      <c r="T127" s="33">
        <f>T121+T123+T125</f>
        <v/>
      </c>
      <c r="U127" s="33">
        <f>U121+U123+U125</f>
        <v/>
      </c>
      <c r="V127" s="33">
        <f>V121+V123+V125</f>
        <v/>
      </c>
      <c r="W127" s="33">
        <f>W121+W123+W125</f>
        <v/>
      </c>
      <c r="X127" s="33">
        <f>X121+X123+X125</f>
        <v/>
      </c>
      <c r="Y127" s="33">
        <f>Y121+Y123+Y125</f>
        <v/>
      </c>
      <c r="Z127" s="33">
        <f>Z121+Z123+Z125</f>
        <v/>
      </c>
      <c r="AA127" s="33">
        <f>AA121+AA123+AA125</f>
        <v/>
      </c>
      <c r="AB127" s="33">
        <f>AB121+AB123+AB125</f>
        <v/>
      </c>
      <c r="AC127" s="33">
        <f>AC121+AC123+AC125</f>
        <v/>
      </c>
      <c r="AD127" s="33">
        <f>AD121+AD123+AD125</f>
        <v/>
      </c>
      <c r="AE127" s="33">
        <f>AE121+AE123+AE125</f>
        <v/>
      </c>
      <c r="AF127" s="33">
        <f>AF121+AF123+AF125</f>
        <v/>
      </c>
      <c r="AG127" s="33">
        <f>AG121+AG123+AG125</f>
        <v/>
      </c>
      <c r="AH127" s="33">
        <f>AH121+AH123+AH125</f>
        <v/>
      </c>
      <c r="AI127" s="33">
        <f>AI121+AI123+AI125</f>
        <v/>
      </c>
      <c r="AJ127" s="33">
        <f>AJ121+AJ123+AJ125</f>
        <v/>
      </c>
      <c r="AK127" s="33">
        <f>AK121+AK123+AK125</f>
        <v/>
      </c>
      <c r="AL127" s="33">
        <f>AL121+AL123+AL125</f>
        <v/>
      </c>
      <c r="AM127" s="33">
        <f>AM121+AM123+AM125</f>
        <v/>
      </c>
      <c r="AN127" s="33">
        <f>AN121+AN123+AN125</f>
        <v/>
      </c>
      <c r="AO127" s="33">
        <f>AO121+AO123+AO125</f>
        <v/>
      </c>
      <c r="AP127" s="33">
        <f>AP121+AP123+AP125</f>
        <v/>
      </c>
      <c r="AQ127" s="33">
        <f>AQ121+AQ123+AQ125</f>
        <v/>
      </c>
      <c r="AR127" s="33">
        <f>AR121+AR123+AR125</f>
        <v/>
      </c>
      <c r="AS127" s="33">
        <f>AS121+AS123+AS125</f>
        <v/>
      </c>
      <c r="AT127" s="33">
        <f>AT121+AT123+AT125</f>
        <v/>
      </c>
      <c r="AU127" s="33">
        <f>AU121+AU123+AU125</f>
        <v/>
      </c>
      <c r="AV127" s="33">
        <f>AV121+AV123+AV125</f>
        <v/>
      </c>
      <c r="AW127" s="33">
        <f>AW121+AW123+AW125</f>
        <v/>
      </c>
      <c r="AX127" s="33">
        <f>AX121+AX123+AX125</f>
        <v/>
      </c>
      <c r="AY127" s="33">
        <f>AY121+AY123+AY125</f>
        <v/>
      </c>
      <c r="AZ127" s="33">
        <f>AZ121+AZ123+AZ125</f>
        <v/>
      </c>
      <c r="BA127" s="33">
        <f>BA121+BA123+BA125</f>
        <v/>
      </c>
      <c r="BB127" s="33">
        <f>BB121+BB123+BB125</f>
        <v/>
      </c>
      <c r="BC127" s="33">
        <f>BC121+BC123+BC125</f>
        <v/>
      </c>
      <c r="BD127" s="33">
        <f>BD121+BD123+BD125</f>
        <v/>
      </c>
      <c r="BE127" s="33">
        <f>BE121+BE123+BE125</f>
        <v/>
      </c>
      <c r="BF127" s="33">
        <f>BF121+BF123+BF125</f>
        <v/>
      </c>
      <c r="BG127" s="33">
        <f>BG121+BG123+BG125</f>
        <v/>
      </c>
      <c r="BH127" s="33">
        <f>BH121+BH123+BH125</f>
        <v/>
      </c>
      <c r="BI127" s="33">
        <f>BI121+BI123+BI125</f>
        <v/>
      </c>
      <c r="BJ127" s="33">
        <f>BJ121+BJ123+BJ125</f>
        <v/>
      </c>
      <c r="BK127" s="33">
        <f>BK121+BK123+BK125</f>
        <v/>
      </c>
      <c r="BL127" s="33">
        <f>BL121+BL123+BL125</f>
        <v/>
      </c>
      <c r="BM127" s="33">
        <f>BM121+BM123+BM125</f>
        <v/>
      </c>
      <c r="BN127" s="33">
        <f>BN121+BN123+BN125</f>
        <v/>
      </c>
      <c r="BO127" s="33">
        <f>BO121+BO123+BO125</f>
        <v/>
      </c>
      <c r="BP127" s="33">
        <f>BP121+BP123+BP125</f>
        <v/>
      </c>
      <c r="BQ127" s="33">
        <f>BQ121+BQ123+BQ125</f>
        <v/>
      </c>
      <c r="BR127" s="33">
        <f>BR121+BR123+BR125</f>
        <v/>
      </c>
      <c r="BS127" s="33">
        <f>BS121+BS123+BS125</f>
        <v/>
      </c>
      <c r="BT127" s="33">
        <f>BT121+BT123+BT125</f>
        <v/>
      </c>
      <c r="BU127" s="33">
        <f>BU121+BU123+BU125</f>
        <v/>
      </c>
      <c r="BV127" s="33">
        <f>BV121+BV123+BV125</f>
        <v/>
      </c>
      <c r="BW127" s="33">
        <f>BW121+BW123+BW125</f>
        <v/>
      </c>
      <c r="BX127" s="33">
        <f>BX121+BX123+BX125</f>
        <v/>
      </c>
      <c r="BY127" s="33">
        <f>BY121+BY123+BY125</f>
        <v/>
      </c>
      <c r="BZ127" s="33">
        <f>BZ121+BZ123+BZ125</f>
        <v/>
      </c>
      <c r="CA127" s="33">
        <f>CA121+CA123+CA125</f>
        <v/>
      </c>
      <c r="CB127" s="33">
        <f>CB121+CB123+CB125</f>
        <v/>
      </c>
      <c r="CC127" s="33">
        <f>CC121+CC123+CC125</f>
        <v/>
      </c>
      <c r="CD127" s="33">
        <f>CD121+CD123+CD125</f>
        <v/>
      </c>
      <c r="CE127" s="33">
        <f>CE121+CE123+CE125</f>
        <v/>
      </c>
      <c r="CF127" s="33">
        <f>CF121+CF123+CF125</f>
        <v/>
      </c>
      <c r="CG127" s="33">
        <f>CG121+CG123+CG125</f>
        <v/>
      </c>
      <c r="CH127" s="33">
        <f>CH121+CH123+CH125</f>
        <v/>
      </c>
      <c r="CI127" s="33">
        <f>CI121+CI123+CI125</f>
        <v/>
      </c>
      <c r="CJ127" s="33">
        <f>CJ121+CJ123+CJ125</f>
        <v/>
      </c>
      <c r="CK127" s="33">
        <f>CK121+CK123+CK125</f>
        <v/>
      </c>
      <c r="CL127" s="33">
        <f>CL121+CL123+CL125</f>
        <v/>
      </c>
      <c r="CM127" s="33">
        <f>CM121+CM123+CM125</f>
        <v/>
      </c>
      <c r="CN127" s="33">
        <f>CN121+CN123+CN125</f>
        <v/>
      </c>
      <c r="CO127" s="33">
        <f>CO121+CO123+CO125</f>
        <v/>
      </c>
      <c r="CP127" s="33">
        <f>CP121+CP123+CP125</f>
        <v/>
      </c>
      <c r="CQ127" s="33">
        <f>CQ121+CQ123+CQ125</f>
        <v/>
      </c>
      <c r="CR127" s="33">
        <f>CR121+CR123+CR125</f>
        <v/>
      </c>
      <c r="CS127" s="33">
        <f>CS121+CS123+CS125</f>
        <v/>
      </c>
      <c r="CT127" s="33">
        <f>CT121+CT123+CT125</f>
        <v/>
      </c>
      <c r="CU127" s="33">
        <f>CU121+CU123+CU125</f>
        <v/>
      </c>
      <c r="CV127" s="33">
        <f>CV121+CV123+CV125</f>
        <v/>
      </c>
      <c r="CW127" s="33">
        <f>CW121+CW123+CW125</f>
        <v/>
      </c>
      <c r="CX127" s="33">
        <f>CX121+CX123+CX125</f>
        <v/>
      </c>
      <c r="CY127" s="33">
        <f>CY121+CY123+CY125</f>
        <v/>
      </c>
      <c r="CZ127" s="33">
        <f>CZ121+CZ123+CZ125</f>
        <v/>
      </c>
      <c r="DA127" s="33">
        <f>DA121+DA123+DA125</f>
        <v/>
      </c>
      <c r="DB127" s="33">
        <f>DB121+DB123+DB125</f>
        <v/>
      </c>
      <c r="DC127" s="33">
        <f>DC121+DC123+DC125</f>
        <v/>
      </c>
      <c r="DD127" s="33">
        <f>DD121+DD123+DD125</f>
        <v/>
      </c>
      <c r="DE127" s="33">
        <f>DE121+DE123+DE125</f>
        <v/>
      </c>
      <c r="DL127" s="33">
        <f>SUM(C127:DE127)</f>
        <v/>
      </c>
    </row>
    <row r="128">
      <c r="B128" s="32" t="inlineStr">
        <is>
          <t>Produccion fuente</t>
        </is>
      </c>
      <c r="C128" s="33" t="n">
        <v>977028633.510499</v>
      </c>
      <c r="D128" s="33" t="n">
        <v>393225062.9602714</v>
      </c>
      <c r="E128" s="33" t="n">
        <v>2203486.28962876</v>
      </c>
      <c r="F128" s="33" t="n">
        <v>23146937.3505403</v>
      </c>
      <c r="G128" s="33" t="n">
        <v>24120552</v>
      </c>
      <c r="H128" s="33" t="n">
        <v>81888147.31136051</v>
      </c>
      <c r="I128" s="33" t="n">
        <v>2287142.79871941</v>
      </c>
      <c r="J128" s="33" t="n">
        <v>672083588</v>
      </c>
      <c r="K128" s="33" t="n">
        <v>153195746.726607</v>
      </c>
      <c r="L128" s="33" t="n">
        <v>92683801.98270281</v>
      </c>
      <c r="M128" s="33" t="n">
        <v>48954899.62479897</v>
      </c>
      <c r="N128" s="33" t="n">
        <v>373243369.0990838</v>
      </c>
      <c r="O128" s="33" t="n">
        <v>41614651.74481544</v>
      </c>
      <c r="P128" s="33" t="n">
        <v>49182305.37232193</v>
      </c>
      <c r="Q128" s="33" t="n">
        <v>607645167.2488149</v>
      </c>
      <c r="R128" s="33" t="n">
        <v>205395178.3616663</v>
      </c>
      <c r="S128" s="33" t="n">
        <v>117445294.0286051</v>
      </c>
      <c r="T128" s="33" t="n">
        <v>113167372.831288</v>
      </c>
      <c r="U128" s="33" t="n">
        <v>171653713.3334297</v>
      </c>
      <c r="V128" s="33" t="n">
        <v>36658012.12244022</v>
      </c>
      <c r="W128" s="33" t="n">
        <v>52059083.13068762</v>
      </c>
      <c r="X128" s="33" t="n">
        <v>29182310.56779289</v>
      </c>
      <c r="Y128" s="33" t="n">
        <v>129795498.2531348</v>
      </c>
      <c r="Z128" s="33" t="n">
        <v>20057118.78297518</v>
      </c>
      <c r="AA128" s="33" t="n">
        <v>111764412.2416803</v>
      </c>
      <c r="AB128" s="33" t="n">
        <v>65404742.07547592</v>
      </c>
      <c r="AC128" s="33" t="n">
        <v>146438413.0504451</v>
      </c>
      <c r="AD128" s="33" t="n">
        <v>41621554.70793961</v>
      </c>
      <c r="AE128" s="33" t="n">
        <v>102499196.2156513</v>
      </c>
      <c r="AF128" s="33" t="n">
        <v>102455323.8465755</v>
      </c>
      <c r="AG128" s="33" t="n">
        <v>32135922.18615979</v>
      </c>
      <c r="AH128" s="33" t="n">
        <v>32769468.0622815</v>
      </c>
      <c r="AI128" s="33" t="n">
        <v>74267209.07924269</v>
      </c>
      <c r="AJ128" s="33" t="n">
        <v>147084887.665652</v>
      </c>
      <c r="AK128" s="33" t="n">
        <v>78000887.03202379</v>
      </c>
      <c r="AL128" s="33" t="n">
        <v>76381141.48491429</v>
      </c>
      <c r="AM128" s="33" t="n">
        <v>522726603.8814782</v>
      </c>
      <c r="AN128" s="33" t="n">
        <v>121216486.0306669</v>
      </c>
      <c r="AO128" s="33" t="n">
        <v>51265216.87496863</v>
      </c>
      <c r="AP128" s="33" t="n">
        <v>136035969.011486</v>
      </c>
      <c r="AQ128" s="33" t="n">
        <v>427188650.1933768</v>
      </c>
      <c r="AR128" s="33" t="n">
        <v>54611996.34764705</v>
      </c>
      <c r="AS128" s="33" t="n">
        <v>193997488.0129749</v>
      </c>
      <c r="AT128" s="33" t="n">
        <v>22237454.35066734</v>
      </c>
      <c r="AU128" s="33" t="n">
        <v>178791122.1623967</v>
      </c>
      <c r="AV128" s="33" t="n">
        <v>222397383.2276296</v>
      </c>
      <c r="AW128" s="33" t="n">
        <v>78095082.59775892</v>
      </c>
      <c r="AX128" s="33" t="n">
        <v>63076519.51505171</v>
      </c>
      <c r="AY128" s="33" t="n">
        <v>62665668.25311845</v>
      </c>
      <c r="AZ128" s="33" t="n">
        <v>156000208.6852226</v>
      </c>
      <c r="BA128" s="33" t="n">
        <v>69006468.18446615</v>
      </c>
      <c r="BB128" s="33" t="n">
        <v>126891407.8735184</v>
      </c>
      <c r="BC128" s="33" t="n">
        <v>48104875.23651402</v>
      </c>
      <c r="BD128" s="33" t="n">
        <v>7343573.451774333</v>
      </c>
      <c r="BE128" s="33" t="n">
        <v>34334558.33852966</v>
      </c>
      <c r="BF128" s="33" t="n">
        <v>29796621.98206779</v>
      </c>
      <c r="BG128" s="33" t="n">
        <v>27935039.87891698</v>
      </c>
      <c r="BH128" s="33" t="n">
        <v>94171405.99281637</v>
      </c>
      <c r="BI128" s="33" t="n">
        <v>15659152.19340982</v>
      </c>
      <c r="BJ128" s="33" t="n">
        <v>22272759.51110991</v>
      </c>
      <c r="BK128" s="33" t="n">
        <v>374409867.0465596</v>
      </c>
      <c r="BL128" s="33" t="n">
        <v>111422601.2486256</v>
      </c>
      <c r="BM128" s="33" t="n">
        <v>30487801.80048536</v>
      </c>
      <c r="BN128" s="33" t="n">
        <v>98925407.04351011</v>
      </c>
      <c r="BO128" s="33" t="n">
        <v>38495450.88990696</v>
      </c>
      <c r="BP128" s="33" t="n">
        <v>537196652.9414719</v>
      </c>
      <c r="BQ128" s="33" t="n">
        <v>127579682.5620748</v>
      </c>
      <c r="BR128" s="33" t="n">
        <v>57992315.2032895</v>
      </c>
      <c r="BS128" s="33" t="n">
        <v>1115093813.98497</v>
      </c>
      <c r="BT128" s="33" t="n">
        <v>251736922.9821351</v>
      </c>
      <c r="BU128" s="33" t="n">
        <v>1062849420.016714</v>
      </c>
      <c r="BV128" s="33" t="n">
        <v>1723143317.321024</v>
      </c>
      <c r="BW128" s="33" t="n">
        <v>51454307.0765125</v>
      </c>
      <c r="BX128" s="33" t="n">
        <v>71289687.14835121</v>
      </c>
      <c r="BY128" s="33" t="n">
        <v>737486340.8117553</v>
      </c>
      <c r="BZ128" s="33" t="n">
        <v>14894254.67611602</v>
      </c>
      <c r="CA128" s="33" t="n">
        <v>714829718.5888138</v>
      </c>
      <c r="CB128" s="33" t="n">
        <v>19415447.39515746</v>
      </c>
      <c r="CC128" s="33" t="n">
        <v>3411561.843118597</v>
      </c>
      <c r="CD128" s="33" t="n">
        <v>155669891.3081187</v>
      </c>
      <c r="CE128" s="33" t="n">
        <v>277082243.0952941</v>
      </c>
      <c r="CF128" s="33" t="n">
        <v>39226370.1615294</v>
      </c>
      <c r="CG128" s="33" t="n">
        <v>149200964</v>
      </c>
      <c r="CH128" s="33" t="n">
        <v>575989787.7159444</v>
      </c>
      <c r="CI128" s="33" t="n">
        <v>67684193.9216584</v>
      </c>
      <c r="CJ128" s="33" t="n">
        <v>455263480.479704</v>
      </c>
      <c r="CK128" s="33" t="n">
        <v>81114505.75183</v>
      </c>
      <c r="CL128" s="33" t="n">
        <v>258717618.5414099</v>
      </c>
      <c r="CM128" s="33" t="n">
        <v>81330356.97881091</v>
      </c>
      <c r="CN128" s="33" t="n">
        <v>607600635.89763</v>
      </c>
      <c r="CO128" s="33" t="n">
        <v>167849999</v>
      </c>
      <c r="CP128" s="33" t="n">
        <v>31701853.272081</v>
      </c>
      <c r="CQ128" s="33" t="n">
        <v>60887320.89509852</v>
      </c>
      <c r="CR128" s="33" t="n">
        <v>272788823.6649047</v>
      </c>
      <c r="CS128" s="33" t="n">
        <v>15832801.4376226</v>
      </c>
      <c r="CT128" s="33" t="n">
        <v>27751112.4590389</v>
      </c>
      <c r="CU128" s="33" t="n">
        <v>951474582.6624175</v>
      </c>
      <c r="CV128" s="33" t="n">
        <v>1447169018.23894</v>
      </c>
      <c r="CW128" s="33" t="n">
        <v>302748934.596025</v>
      </c>
      <c r="CX128" s="33" t="n">
        <v>616716867.110312</v>
      </c>
      <c r="CY128" s="33" t="n">
        <v>867694715.2260288</v>
      </c>
      <c r="CZ128" s="33" t="n">
        <v>280628174</v>
      </c>
      <c r="DA128" s="33" t="n">
        <v>103838386.659027</v>
      </c>
      <c r="DB128" s="33" t="n">
        <v>295656762.0899636</v>
      </c>
      <c r="DC128" s="33" t="n">
        <v>232392457.8844405</v>
      </c>
      <c r="DD128" s="33" t="n">
        <v>71939460.22886358</v>
      </c>
      <c r="DE128" s="33" t="n">
        <v>96676208.9653701</v>
      </c>
      <c r="DL128" s="33">
        <f>SUM(C128:DE128)</f>
        <v/>
      </c>
    </row>
    <row r="129">
      <c r="B129" s="35" t="inlineStr">
        <is>
          <t>Check produccion total - fuente</t>
        </is>
      </c>
      <c r="C129" s="36">
        <f>C127-C128</f>
        <v/>
      </c>
      <c r="D129" s="36">
        <f>D127-D128</f>
        <v/>
      </c>
      <c r="E129" s="36">
        <f>E127-E128</f>
        <v/>
      </c>
      <c r="F129" s="36">
        <f>F127-F128</f>
        <v/>
      </c>
      <c r="G129" s="36">
        <f>G127-G128</f>
        <v/>
      </c>
      <c r="H129" s="36">
        <f>H127-H128</f>
        <v/>
      </c>
      <c r="I129" s="36">
        <f>I127-I128</f>
        <v/>
      </c>
      <c r="J129" s="36">
        <f>J127-J128</f>
        <v/>
      </c>
      <c r="K129" s="36">
        <f>K127-K128</f>
        <v/>
      </c>
      <c r="L129" s="36">
        <f>L127-L128</f>
        <v/>
      </c>
      <c r="M129" s="36">
        <f>M127-M128</f>
        <v/>
      </c>
      <c r="N129" s="36">
        <f>N127-N128</f>
        <v/>
      </c>
      <c r="O129" s="36">
        <f>O127-O128</f>
        <v/>
      </c>
      <c r="P129" s="36">
        <f>P127-P128</f>
        <v/>
      </c>
      <c r="Q129" s="36">
        <f>Q127-Q128</f>
        <v/>
      </c>
      <c r="R129" s="36">
        <f>R127-R128</f>
        <v/>
      </c>
      <c r="S129" s="36">
        <f>S127-S128</f>
        <v/>
      </c>
      <c r="T129" s="36">
        <f>T127-T128</f>
        <v/>
      </c>
      <c r="U129" s="36">
        <f>U127-U128</f>
        <v/>
      </c>
      <c r="V129" s="36">
        <f>V127-V128</f>
        <v/>
      </c>
      <c r="W129" s="36">
        <f>W127-W128</f>
        <v/>
      </c>
      <c r="X129" s="36">
        <f>X127-X128</f>
        <v/>
      </c>
      <c r="Y129" s="36">
        <f>Y127-Y128</f>
        <v/>
      </c>
      <c r="Z129" s="36">
        <f>Z127-Z128</f>
        <v/>
      </c>
      <c r="AA129" s="36">
        <f>AA127-AA128</f>
        <v/>
      </c>
      <c r="AB129" s="36">
        <f>AB127-AB128</f>
        <v/>
      </c>
      <c r="AC129" s="36">
        <f>AC127-AC128</f>
        <v/>
      </c>
      <c r="AD129" s="36">
        <f>AD127-AD128</f>
        <v/>
      </c>
      <c r="AE129" s="36">
        <f>AE127-AE128</f>
        <v/>
      </c>
      <c r="AF129" s="36">
        <f>AF127-AF128</f>
        <v/>
      </c>
      <c r="AG129" s="36">
        <f>AG127-AG128</f>
        <v/>
      </c>
      <c r="AH129" s="36">
        <f>AH127-AH128</f>
        <v/>
      </c>
      <c r="AI129" s="36">
        <f>AI127-AI128</f>
        <v/>
      </c>
      <c r="AJ129" s="36">
        <f>AJ127-AJ128</f>
        <v/>
      </c>
      <c r="AK129" s="36">
        <f>AK127-AK128</f>
        <v/>
      </c>
      <c r="AL129" s="36">
        <f>AL127-AL128</f>
        <v/>
      </c>
      <c r="AM129" s="36">
        <f>AM127-AM128</f>
        <v/>
      </c>
      <c r="AN129" s="36">
        <f>AN127-AN128</f>
        <v/>
      </c>
      <c r="AO129" s="36">
        <f>AO127-AO128</f>
        <v/>
      </c>
      <c r="AP129" s="36">
        <f>AP127-AP128</f>
        <v/>
      </c>
      <c r="AQ129" s="36">
        <f>AQ127-AQ128</f>
        <v/>
      </c>
      <c r="AR129" s="36">
        <f>AR127-AR128</f>
        <v/>
      </c>
      <c r="AS129" s="36">
        <f>AS127-AS128</f>
        <v/>
      </c>
      <c r="AT129" s="36">
        <f>AT127-AT128</f>
        <v/>
      </c>
      <c r="AU129" s="36">
        <f>AU127-AU128</f>
        <v/>
      </c>
      <c r="AV129" s="36">
        <f>AV127-AV128</f>
        <v/>
      </c>
      <c r="AW129" s="36">
        <f>AW127-AW128</f>
        <v/>
      </c>
      <c r="AX129" s="36">
        <f>AX127-AX128</f>
        <v/>
      </c>
      <c r="AY129" s="36">
        <f>AY127-AY128</f>
        <v/>
      </c>
      <c r="AZ129" s="36">
        <f>AZ127-AZ128</f>
        <v/>
      </c>
      <c r="BA129" s="36">
        <f>BA127-BA128</f>
        <v/>
      </c>
      <c r="BB129" s="36">
        <f>BB127-BB128</f>
        <v/>
      </c>
      <c r="BC129" s="36">
        <f>BC127-BC128</f>
        <v/>
      </c>
      <c r="BD129" s="36">
        <f>BD127-BD128</f>
        <v/>
      </c>
      <c r="BE129" s="36">
        <f>BE127-BE128</f>
        <v/>
      </c>
      <c r="BF129" s="36">
        <f>BF127-BF128</f>
        <v/>
      </c>
      <c r="BG129" s="36">
        <f>BG127-BG128</f>
        <v/>
      </c>
      <c r="BH129" s="36">
        <f>BH127-BH128</f>
        <v/>
      </c>
      <c r="BI129" s="36">
        <f>BI127-BI128</f>
        <v/>
      </c>
      <c r="BJ129" s="36">
        <f>BJ127-BJ128</f>
        <v/>
      </c>
      <c r="BK129" s="36">
        <f>BK127-BK128</f>
        <v/>
      </c>
      <c r="BL129" s="36">
        <f>BL127-BL128</f>
        <v/>
      </c>
      <c r="BM129" s="36">
        <f>BM127-BM128</f>
        <v/>
      </c>
      <c r="BN129" s="36">
        <f>BN127-BN128</f>
        <v/>
      </c>
      <c r="BO129" s="36">
        <f>BO127-BO128</f>
        <v/>
      </c>
      <c r="BP129" s="36">
        <f>BP127-BP128</f>
        <v/>
      </c>
      <c r="BQ129" s="36">
        <f>BQ127-BQ128</f>
        <v/>
      </c>
      <c r="BR129" s="36">
        <f>BR127-BR128</f>
        <v/>
      </c>
      <c r="BS129" s="36">
        <f>BS127-BS128</f>
        <v/>
      </c>
      <c r="BT129" s="36">
        <f>BT127-BT128</f>
        <v/>
      </c>
      <c r="BU129" s="36">
        <f>BU127-BU128</f>
        <v/>
      </c>
      <c r="BV129" s="36">
        <f>BV127-BV128</f>
        <v/>
      </c>
      <c r="BW129" s="36">
        <f>BW127-BW128</f>
        <v/>
      </c>
      <c r="BX129" s="36">
        <f>BX127-BX128</f>
        <v/>
      </c>
      <c r="BY129" s="36">
        <f>BY127-BY128</f>
        <v/>
      </c>
      <c r="BZ129" s="36">
        <f>BZ127-BZ128</f>
        <v/>
      </c>
      <c r="CA129" s="36">
        <f>CA127-CA128</f>
        <v/>
      </c>
      <c r="CB129" s="36">
        <f>CB127-CB128</f>
        <v/>
      </c>
      <c r="CC129" s="36">
        <f>CC127-CC128</f>
        <v/>
      </c>
      <c r="CD129" s="36">
        <f>CD127-CD128</f>
        <v/>
      </c>
      <c r="CE129" s="36">
        <f>CE127-CE128</f>
        <v/>
      </c>
      <c r="CF129" s="36">
        <f>CF127-CF128</f>
        <v/>
      </c>
      <c r="CG129" s="36">
        <f>CG127-CG128</f>
        <v/>
      </c>
      <c r="CH129" s="36">
        <f>CH127-CH128</f>
        <v/>
      </c>
      <c r="CI129" s="36">
        <f>CI127-CI128</f>
        <v/>
      </c>
      <c r="CJ129" s="36">
        <f>CJ127-CJ128</f>
        <v/>
      </c>
      <c r="CK129" s="36">
        <f>CK127-CK128</f>
        <v/>
      </c>
      <c r="CL129" s="36">
        <f>CL127-CL128</f>
        <v/>
      </c>
      <c r="CM129" s="36">
        <f>CM127-CM128</f>
        <v/>
      </c>
      <c r="CN129" s="36">
        <f>CN127-CN128</f>
        <v/>
      </c>
      <c r="CO129" s="36">
        <f>CO127-CO128</f>
        <v/>
      </c>
      <c r="CP129" s="36">
        <f>CP127-CP128</f>
        <v/>
      </c>
      <c r="CQ129" s="36">
        <f>CQ127-CQ128</f>
        <v/>
      </c>
      <c r="CR129" s="36">
        <f>CR127-CR128</f>
        <v/>
      </c>
      <c r="CS129" s="36">
        <f>CS127-CS128</f>
        <v/>
      </c>
      <c r="CT129" s="36">
        <f>CT127-CT128</f>
        <v/>
      </c>
      <c r="CU129" s="36">
        <f>CU127-CU128</f>
        <v/>
      </c>
      <c r="CV129" s="36">
        <f>CV127-CV128</f>
        <v/>
      </c>
      <c r="CW129" s="36">
        <f>CW127-CW128</f>
        <v/>
      </c>
      <c r="CX129" s="36">
        <f>CX127-CX128</f>
        <v/>
      </c>
      <c r="CY129" s="36">
        <f>CY127-CY128</f>
        <v/>
      </c>
      <c r="CZ129" s="36">
        <f>CZ127-CZ128</f>
        <v/>
      </c>
      <c r="DA129" s="36">
        <f>DA127-DA128</f>
        <v/>
      </c>
      <c r="DB129" s="36">
        <f>DB127-DB128</f>
        <v/>
      </c>
      <c r="DC129" s="36">
        <f>DC127-DC128</f>
        <v/>
      </c>
      <c r="DD129" s="36">
        <f>DD127-DD128</f>
        <v/>
      </c>
      <c r="DE129" s="36">
        <f>DE127-DE128</f>
        <v/>
      </c>
      <c r="DL129" s="36">
        <f>SUM(C129:DE129)</f>
        <v/>
      </c>
    </row>
    <row r="130"/>
    <row r="131">
      <c r="B131" s="30" t="inlineStr">
        <is>
          <t>Nota</t>
        </is>
      </c>
      <c r="C131" s="30" t="inlineStr">
        <is>
          <t>Z total = Z nacional + matriz importada/ajuste asignada. El residuo de ajuste no asignado queda como fila firmada.</t>
        </is>
      </c>
    </row>
  </sheetData>
  <mergeCells count="9">
    <mergeCell ref="A3:H4"/>
    <mergeCell ref="DG10:DJ10"/>
    <mergeCell ref="B10:B12"/>
    <mergeCell ref="DL10:DL12"/>
    <mergeCell ref="DF10:DF12"/>
    <mergeCell ref="A10:A12"/>
    <mergeCell ref="DK10:DK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7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011/014</t>
        </is>
      </c>
      <c r="B4" s="10" t="inlineStr">
        <is>
          <t>Cultivos agrícolas. Servicios agrícolas y pecuarios, excepto los veterinarios</t>
        </is>
      </c>
      <c r="C4" s="11" t="n">
        <v>977028633.510499</v>
      </c>
      <c r="D4" s="11" t="n">
        <v>388306812.8804004</v>
      </c>
      <c r="E4" s="11" t="n">
        <v>2.323416093197027</v>
      </c>
      <c r="F4" s="11" t="n">
        <v>1.334590769491712</v>
      </c>
      <c r="G4" s="11" t="n">
        <v>1.910846882422615</v>
      </c>
      <c r="H4" s="11" t="n">
        <v>1.033876429079122</v>
      </c>
    </row>
    <row r="5">
      <c r="A5" s="10" t="inlineStr">
        <is>
          <t>012</t>
        </is>
      </c>
      <c r="B5" s="10" t="inlineStr">
        <is>
          <t>Cría de animales</t>
        </is>
      </c>
      <c r="C5" s="11" t="n">
        <v>393225062.9602714</v>
      </c>
      <c r="D5" s="11" t="n">
        <v>200216153.8834288</v>
      </c>
      <c r="E5" s="11" t="n">
        <v>1.982555417299694</v>
      </c>
      <c r="F5" s="11" t="n">
        <v>1.138797380151221</v>
      </c>
      <c r="G5" s="11" t="n">
        <v>2.359587720944705</v>
      </c>
      <c r="H5" s="11" t="n">
        <v>1.276670647695421</v>
      </c>
    </row>
    <row r="6">
      <c r="A6" s="10" t="inlineStr">
        <is>
          <t>015</t>
        </is>
      </c>
      <c r="B6" s="10" t="inlineStr">
        <is>
          <t>Caza, repoblación de animales de caza y servicios conexos</t>
        </is>
      </c>
      <c r="C6" s="11" t="n">
        <v>2203486.28962876</v>
      </c>
      <c r="D6" s="11" t="n">
        <v>1912838.099621394</v>
      </c>
      <c r="E6" s="11" t="n">
        <v>1.181106654088352</v>
      </c>
      <c r="F6" s="11" t="n">
        <v>0.6784381165934721</v>
      </c>
      <c r="G6" s="11" t="n">
        <v>2.092023168351871</v>
      </c>
      <c r="H6" s="11" t="n">
        <v>1.131903064940639</v>
      </c>
    </row>
    <row r="7">
      <c r="A7" s="10" t="inlineStr">
        <is>
          <t>016</t>
        </is>
      </c>
      <c r="B7" s="10" t="inlineStr">
        <is>
          <t>Construcciones agropecuarias</t>
        </is>
      </c>
      <c r="C7" s="11" t="n">
        <v>23146937.3505403</v>
      </c>
      <c r="D7" s="11" t="n">
        <v>8362613.201730756</v>
      </c>
      <c r="E7" s="11" t="n">
        <v>1.870223300676829</v>
      </c>
      <c r="F7" s="11" t="n">
        <v>1.074272818062966</v>
      </c>
      <c r="G7" s="11" t="n">
        <v>1.000663374267041</v>
      </c>
      <c r="H7" s="11" t="n">
        <v>0.5414155815487592</v>
      </c>
    </row>
    <row r="8">
      <c r="A8" s="10" t="inlineStr">
        <is>
          <t>020</t>
        </is>
      </c>
      <c r="B8" s="10" t="inlineStr">
        <is>
          <t>Silvicultura, extracción de madera y servicios conexos</t>
        </is>
      </c>
      <c r="C8" s="11" t="n">
        <v>24120552</v>
      </c>
      <c r="D8" s="11" t="n">
        <v>15385767.99775762</v>
      </c>
      <c r="E8" s="11" t="n">
        <v>1.749283487057435</v>
      </c>
      <c r="F8" s="11" t="n">
        <v>1.004803918629461</v>
      </c>
      <c r="G8" s="11" t="n">
        <v>2.714992374325239</v>
      </c>
      <c r="H8" s="11" t="n">
        <v>1.468964701863338</v>
      </c>
    </row>
    <row r="9">
      <c r="A9" s="10" t="inlineStr">
        <is>
          <t>050</t>
        </is>
      </c>
      <c r="B9" s="10" t="inlineStr">
        <is>
          <t>Pesca</t>
        </is>
      </c>
      <c r="C9" s="11" t="n">
        <v>81888147.31136051</v>
      </c>
      <c r="D9" s="11" t="n">
        <v>54917466.06019339</v>
      </c>
      <c r="E9" s="11" t="n">
        <v>1.431446840950536</v>
      </c>
      <c r="F9" s="11" t="n">
        <v>0.8222357357962279</v>
      </c>
      <c r="G9" s="11" t="n">
        <v>1.6170598169925</v>
      </c>
      <c r="H9" s="11" t="n">
        <v>0.8749209811515344</v>
      </c>
    </row>
    <row r="10">
      <c r="A10" s="10" t="inlineStr">
        <is>
          <t>101</t>
        </is>
      </c>
      <c r="B10" s="10" t="inlineStr">
        <is>
          <t>Extracción y aglomeración de carbón de piedra</t>
        </is>
      </c>
      <c r="C10" s="11" t="n">
        <v>2287142.79871941</v>
      </c>
      <c r="D10" s="11" t="n">
        <v>1138797.60114376</v>
      </c>
      <c r="E10" s="11" t="n">
        <v>1.882650680408478</v>
      </c>
      <c r="F10" s="11" t="n">
        <v>1.081411214980931</v>
      </c>
      <c r="G10" s="11" t="n">
        <v>3.661856611529114</v>
      </c>
      <c r="H10" s="11" t="n">
        <v>1.98127190208335</v>
      </c>
    </row>
    <row r="11">
      <c r="A11" s="10" t="inlineStr">
        <is>
          <t>111</t>
        </is>
      </c>
      <c r="B11" s="10" t="inlineStr">
        <is>
          <t>Extracción de petróleo crudo y gas natural.</t>
        </is>
      </c>
      <c r="C11" s="11" t="n">
        <v>672083588</v>
      </c>
      <c r="D11" s="11" t="n">
        <v>378143737.6862993</v>
      </c>
      <c r="E11" s="11" t="n">
        <v>1.568183574966835</v>
      </c>
      <c r="F11" s="11" t="n">
        <v>0.9007785261310807</v>
      </c>
      <c r="G11" s="11" t="n">
        <v>2.295355244238808</v>
      </c>
      <c r="H11" s="11" t="n">
        <v>1.241917238482744</v>
      </c>
    </row>
    <row r="12">
      <c r="A12" s="10" t="inlineStr">
        <is>
          <t>112</t>
        </is>
      </c>
      <c r="B12" s="10" t="inlineStr">
        <is>
          <t>Actividades de servicios relacionadas con la extracción de petróleo y gas excepto las act. de prospección</t>
        </is>
      </c>
      <c r="C12" s="11" t="n">
        <v>153195746.726607</v>
      </c>
      <c r="D12" s="11" t="n">
        <v>93442738.49570605</v>
      </c>
      <c r="E12" s="11" t="n">
        <v>1.490453687945777</v>
      </c>
      <c r="F12" s="11" t="n">
        <v>0.8561297910053829</v>
      </c>
      <c r="G12" s="11" t="n">
        <v>3.262108412646778</v>
      </c>
      <c r="H12" s="11" t="n">
        <v>1.764985477360873</v>
      </c>
    </row>
    <row r="13">
      <c r="A13" s="10" t="inlineStr">
        <is>
          <t>132</t>
        </is>
      </c>
      <c r="B13" s="10" t="inlineStr">
        <is>
          <t>Extracción de minerales metalíferos no ferrosos, excepto los minerales de uranio y torio</t>
        </is>
      </c>
      <c r="C13" s="11" t="n">
        <v>92683801.98270281</v>
      </c>
      <c r="D13" s="11" t="n">
        <v>62703489.22940204</v>
      </c>
      <c r="E13" s="11" t="n">
        <v>1.467990679416395</v>
      </c>
      <c r="F13" s="11" t="n">
        <v>0.8432268400763152</v>
      </c>
      <c r="G13" s="11" t="n">
        <v>1.358931016445944</v>
      </c>
      <c r="H13" s="11" t="n">
        <v>0.7352586748692005</v>
      </c>
    </row>
    <row r="14">
      <c r="A14" s="10" t="inlineStr">
        <is>
          <t>141/142</t>
        </is>
      </c>
      <c r="B14" s="10" t="inlineStr">
        <is>
          <t>Extracción de piedra arena y arcilla. Explotación de minas y canteras n.c.p</t>
        </is>
      </c>
      <c r="C14" s="11" t="n">
        <v>48954899.62479897</v>
      </c>
      <c r="D14" s="11" t="n">
        <v>30220366.46623645</v>
      </c>
      <c r="E14" s="11" t="n">
        <v>1.5840580132315</v>
      </c>
      <c r="F14" s="11" t="n">
        <v>0.9098969439818132</v>
      </c>
      <c r="G14" s="11" t="n">
        <v>2.641524063106491</v>
      </c>
      <c r="H14" s="11" t="n">
        <v>1.429214182890822</v>
      </c>
    </row>
    <row r="15">
      <c r="A15" s="10" t="inlineStr">
        <is>
          <t>1511</t>
        </is>
      </c>
      <c r="B15" s="10" t="inlineStr">
        <is>
          <t>Producción, procesamiento y conservación de carne y productos cárnicos</t>
        </is>
      </c>
      <c r="C15" s="11" t="n">
        <v>373243369.0990838</v>
      </c>
      <c r="D15" s="11" t="n">
        <v>67563950.24725068</v>
      </c>
      <c r="E15" s="11" t="n">
        <v>2.595683883596047</v>
      </c>
      <c r="F15" s="11" t="n">
        <v>1.490983798256715</v>
      </c>
      <c r="G15" s="11" t="n">
        <v>1.413672505267001</v>
      </c>
      <c r="H15" s="11" t="n">
        <v>0.7648769218911887</v>
      </c>
    </row>
    <row r="16">
      <c r="A16" s="10" t="inlineStr">
        <is>
          <t>1512</t>
        </is>
      </c>
      <c r="B16" s="10" t="inlineStr">
        <is>
          <t>Elaboración de pescado y productos de pescado</t>
        </is>
      </c>
      <c r="C16" s="11" t="n">
        <v>41614651.74481544</v>
      </c>
      <c r="D16" s="11" t="n">
        <v>13379805.97174415</v>
      </c>
      <c r="E16" s="11" t="n">
        <v>2.134445741370566</v>
      </c>
      <c r="F16" s="11" t="n">
        <v>1.226044526744391</v>
      </c>
      <c r="G16" s="11" t="n">
        <v>1.267805648411265</v>
      </c>
      <c r="H16" s="11" t="n">
        <v>0.6859546877371856</v>
      </c>
    </row>
    <row r="17">
      <c r="A17" s="10" t="inlineStr">
        <is>
          <t>1513</t>
        </is>
      </c>
      <c r="B17" s="10" t="inlineStr">
        <is>
          <t>Preparación de frutas, hortalizas y legumbres</t>
        </is>
      </c>
      <c r="C17" s="11" t="n">
        <v>49182305.37232193</v>
      </c>
      <c r="D17" s="11" t="n">
        <v>16369130.14887146</v>
      </c>
      <c r="E17" s="11" t="n">
        <v>1.75362757388674</v>
      </c>
      <c r="F17" s="11" t="n">
        <v>1.007299200555603</v>
      </c>
      <c r="G17" s="11" t="n">
        <v>1.289192376561725</v>
      </c>
      <c r="H17" s="11" t="n">
        <v>0.6975261194061902</v>
      </c>
    </row>
    <row r="18">
      <c r="A18" s="10" t="inlineStr">
        <is>
          <t>1514</t>
        </is>
      </c>
      <c r="B18" s="10" t="inlineStr">
        <is>
          <t>Elaboración de aceites y grasas de origen vegetal</t>
        </is>
      </c>
      <c r="C18" s="11" t="n">
        <v>607645167.2488149</v>
      </c>
      <c r="D18" s="11" t="n">
        <v>185980649.2719766</v>
      </c>
      <c r="E18" s="11" t="n">
        <v>2.284754328741719</v>
      </c>
      <c r="F18" s="11" t="n">
        <v>1.312383109776607</v>
      </c>
      <c r="G18" s="11" t="n">
        <v>1.199022146678824</v>
      </c>
      <c r="H18" s="11" t="n">
        <v>0.648738916130968</v>
      </c>
    </row>
    <row r="19">
      <c r="A19" s="10" t="inlineStr">
        <is>
          <t>1520</t>
        </is>
      </c>
      <c r="B19" s="10" t="inlineStr">
        <is>
          <t>Elaboración de productos lácteos</t>
        </is>
      </c>
      <c r="C19" s="11" t="n">
        <v>205395178.3616663</v>
      </c>
      <c r="D19" s="11" t="n">
        <v>53887415.74984685</v>
      </c>
      <c r="E19" s="11" t="n">
        <v>2.163783313273909</v>
      </c>
      <c r="F19" s="11" t="n">
        <v>1.242896287725191</v>
      </c>
      <c r="G19" s="11" t="n">
        <v>1.247601231262172</v>
      </c>
      <c r="H19" s="11" t="n">
        <v>0.6750229533078705</v>
      </c>
    </row>
    <row r="20">
      <c r="A20" s="10" t="inlineStr">
        <is>
          <t>1531/2</t>
        </is>
      </c>
      <c r="B20" s="10" t="inlineStr">
        <is>
          <t>Elaboración de productos de molinería. Elaboración de almidones y productos derivados del almidón</t>
        </is>
      </c>
      <c r="C20" s="11" t="n">
        <v>117445294.0286051</v>
      </c>
      <c r="D20" s="11" t="n">
        <v>31068263.78846112</v>
      </c>
      <c r="E20" s="11" t="n">
        <v>2.606557780698631</v>
      </c>
      <c r="F20" s="11" t="n">
        <v>1.497229861001999</v>
      </c>
      <c r="G20" s="11" t="n">
        <v>1.587062187099014</v>
      </c>
      <c r="H20" s="11" t="n">
        <v>0.8586905637589095</v>
      </c>
    </row>
    <row r="21">
      <c r="A21" s="10" t="inlineStr">
        <is>
          <t>15330</t>
        </is>
      </c>
      <c r="B21" s="10" t="inlineStr">
        <is>
          <t>15330 - Elaboración de alimentos preparados para animales</t>
        </is>
      </c>
      <c r="C21" s="11" t="n">
        <v>113167372.831288</v>
      </c>
      <c r="D21" s="11" t="n">
        <v>27920757.56171922</v>
      </c>
      <c r="E21" s="11" t="n">
        <v>2.431233583427859</v>
      </c>
      <c r="F21" s="11" t="n">
        <v>1.396522090219474</v>
      </c>
      <c r="G21" s="11" t="n">
        <v>2.397410485795206</v>
      </c>
      <c r="H21" s="11" t="n">
        <v>1.297134906460078</v>
      </c>
    </row>
    <row r="22">
      <c r="A22" s="10" t="inlineStr">
        <is>
          <t>1541</t>
        </is>
      </c>
      <c r="B22" s="10" t="inlineStr">
        <is>
          <t>Elaboración de productos de panadería</t>
        </is>
      </c>
      <c r="C22" s="11" t="n">
        <v>171653713.3334297</v>
      </c>
      <c r="D22" s="11" t="n">
        <v>72180054.52673902</v>
      </c>
      <c r="E22" s="11" t="n">
        <v>1.885166929014926</v>
      </c>
      <c r="F22" s="11" t="n">
        <v>1.082856570452878</v>
      </c>
      <c r="G22" s="11" t="n">
        <v>1.176395446483951</v>
      </c>
      <c r="H22" s="11" t="n">
        <v>0.6364965893309988</v>
      </c>
    </row>
    <row r="23">
      <c r="A23" s="10" t="inlineStr">
        <is>
          <t>15420</t>
        </is>
      </c>
      <c r="B23" s="10" t="inlineStr">
        <is>
          <t>15420 - Elaboración de azúcar</t>
        </is>
      </c>
      <c r="C23" s="11" t="n">
        <v>36658012.12244022</v>
      </c>
      <c r="D23" s="11" t="n">
        <v>11248639.44772267</v>
      </c>
      <c r="E23" s="11" t="n">
        <v>2.39111444701021</v>
      </c>
      <c r="F23" s="11" t="n">
        <v>1.373477303149373</v>
      </c>
      <c r="G23" s="11" t="n">
        <v>1.598476753075333</v>
      </c>
      <c r="H23" s="11" t="n">
        <v>0.864866490684108</v>
      </c>
    </row>
    <row r="24">
      <c r="A24" s="10" t="inlineStr">
        <is>
          <t>15430</t>
        </is>
      </c>
      <c r="B24" s="10" t="inlineStr">
        <is>
          <t>15430 - Elaboración de cacao y chocolate y de productos de confitería</t>
        </is>
      </c>
      <c r="C24" s="11" t="n">
        <v>52059083.13068762</v>
      </c>
      <c r="D24" s="11" t="n">
        <v>13846250.32943941</v>
      </c>
      <c r="E24" s="11" t="n">
        <v>1.998606527982041</v>
      </c>
      <c r="F24" s="11" t="n">
        <v>1.148017280202474</v>
      </c>
      <c r="G24" s="11" t="n">
        <v>1.392724784277024</v>
      </c>
      <c r="H24" s="11" t="n">
        <v>0.7535430179694855</v>
      </c>
    </row>
    <row r="25">
      <c r="A25" s="10" t="inlineStr">
        <is>
          <t>1544</t>
        </is>
      </c>
      <c r="B25" s="10" t="inlineStr">
        <is>
          <t>15441 - Elaboración de pastas alimenticias frescas. 15442 - Elaboración de pastas alimenticias secas</t>
        </is>
      </c>
      <c r="C25" s="11" t="n">
        <v>29182310.56779289</v>
      </c>
      <c r="D25" s="11" t="n">
        <v>13245503.72816068</v>
      </c>
      <c r="E25" s="11" t="n">
        <v>1.871529973986585</v>
      </c>
      <c r="F25" s="11" t="n">
        <v>1.07502338277802</v>
      </c>
      <c r="G25" s="11" t="n">
        <v>1.294971276115628</v>
      </c>
      <c r="H25" s="11" t="n">
        <v>0.7006528314885424</v>
      </c>
    </row>
    <row r="26">
      <c r="A26" s="10" t="inlineStr">
        <is>
          <t>1549</t>
        </is>
      </c>
      <c r="B26" s="10" t="inlineStr">
        <is>
          <t>15491 - Tostado, torrado y molienda de café. Elaboración y molienda de hierbas aromáticas y especias. 15492 - Preparación de hojas de té. 15493 - Elaboración de yerba mate.15499 - Elaboración de productos alimenticios n.c.p.</t>
        </is>
      </c>
      <c r="C26" s="11" t="n">
        <v>129795498.2531348</v>
      </c>
      <c r="D26" s="11" t="n">
        <v>46443523.27705714</v>
      </c>
      <c r="E26" s="11" t="n">
        <v>2.10424396680319</v>
      </c>
      <c r="F26" s="11" t="n">
        <v>1.208696360103939</v>
      </c>
      <c r="G26" s="11" t="n">
        <v>1.246583957125483</v>
      </c>
      <c r="H26" s="11" t="n">
        <v>0.6744725503627107</v>
      </c>
    </row>
    <row r="27">
      <c r="A27" s="10" t="inlineStr">
        <is>
          <t>15510</t>
        </is>
      </c>
      <c r="B27" s="10" t="inlineStr">
        <is>
          <t>15510 - Destilación, rectificación y mezcla de bebidas alcohólicas; producción de alcohol etílico</t>
        </is>
      </c>
      <c r="C27" s="11" t="n">
        <v>20057118.78297518</v>
      </c>
      <c r="D27" s="11" t="n">
        <v>6037429.391094029</v>
      </c>
      <c r="E27" s="11" t="n">
        <v>2.036032441235751</v>
      </c>
      <c r="F27" s="11" t="n">
        <v>1.169515056048328</v>
      </c>
      <c r="G27" s="11" t="n">
        <v>1.228670040418495</v>
      </c>
      <c r="H27" s="11" t="n">
        <v>0.6647801064488582</v>
      </c>
    </row>
    <row r="28">
      <c r="A28" s="10" t="inlineStr">
        <is>
          <t>1552</t>
        </is>
      </c>
      <c r="B28" s="10" t="inlineStr">
        <is>
          <t>15521 - Elaboración de vinos. 15529 - Elaboración de sidra y otras bebidas alcohólicas fermentadas a partir de frutas</t>
        </is>
      </c>
      <c r="C28" s="11" t="n">
        <v>111764412.2416803</v>
      </c>
      <c r="D28" s="11" t="n">
        <v>50594493.2962407</v>
      </c>
      <c r="E28" s="11" t="n">
        <v>1.719691500826486</v>
      </c>
      <c r="F28" s="11" t="n">
        <v>0.9878060198069529</v>
      </c>
      <c r="G28" s="11" t="n">
        <v>1.413506705307183</v>
      </c>
      <c r="H28" s="11" t="n">
        <v>0.7647872147189525</v>
      </c>
    </row>
    <row r="29">
      <c r="A29" s="10" t="inlineStr">
        <is>
          <t>15530</t>
        </is>
      </c>
      <c r="B29" s="10" t="inlineStr">
        <is>
          <t>15530 - Elaboración de cerveza, bebidas malteadas y de malta</t>
        </is>
      </c>
      <c r="C29" s="11" t="n">
        <v>65404742.07547592</v>
      </c>
      <c r="D29" s="11" t="n">
        <v>24782285.65456772</v>
      </c>
      <c r="E29" s="11" t="n">
        <v>1.912141776024439</v>
      </c>
      <c r="F29" s="11" t="n">
        <v>1.098351161341163</v>
      </c>
      <c r="G29" s="11" t="n">
        <v>1.233836126737307</v>
      </c>
      <c r="H29" s="11" t="n">
        <v>0.667575251849957</v>
      </c>
    </row>
    <row r="30">
      <c r="A30" s="10" t="inlineStr">
        <is>
          <t>1554</t>
        </is>
      </c>
      <c r="B30" s="10" t="inlineStr">
        <is>
          <t>15541 - Elaboración de soda y aguas. 15542 - Elaboración de bebidas gaseosas, excepto soda. 15549 - Elaboración de hielo, jugos envasados para diluir y otras bebidas no alcohólicas</t>
        </is>
      </c>
      <c r="C30" s="11" t="n">
        <v>146438413.0504451</v>
      </c>
      <c r="D30" s="11" t="n">
        <v>53132305.24028148</v>
      </c>
      <c r="E30" s="11" t="n">
        <v>1.877603495673674</v>
      </c>
      <c r="F30" s="11" t="n">
        <v>1.078512067394448</v>
      </c>
      <c r="G30" s="11" t="n">
        <v>1.125617500596612</v>
      </c>
      <c r="H30" s="11" t="n">
        <v>0.6090228436044884</v>
      </c>
    </row>
    <row r="31">
      <c r="A31" s="10" t="inlineStr">
        <is>
          <t>160</t>
        </is>
      </c>
      <c r="B31" s="10" t="inlineStr">
        <is>
          <t>16001 - Preparación de hojas de tabaco. 16009 - Elaboración de cigarrillos y productos de tabaco n.c.p.</t>
        </is>
      </c>
      <c r="C31" s="11" t="n">
        <v>41621554.70793961</v>
      </c>
      <c r="D31" s="11" t="n">
        <v>12939059.95754426</v>
      </c>
      <c r="E31" s="11" t="n">
        <v>1.950007785587146</v>
      </c>
      <c r="F31" s="11" t="n">
        <v>1.120101732402388</v>
      </c>
      <c r="G31" s="11" t="n">
        <v>1.096802206477782</v>
      </c>
      <c r="H31" s="11" t="n">
        <v>0.5934321368553059</v>
      </c>
    </row>
    <row r="32">
      <c r="A32" s="10" t="inlineStr">
        <is>
          <t>171/2</t>
        </is>
      </c>
      <c r="B32" s="10" t="inlineStr">
        <is>
          <t>Hilatura, tejedura y acabado de productos textiles. Fabricación de otros productos textiles</t>
        </is>
      </c>
      <c r="C32" s="11" t="n">
        <v>102499196.2156513</v>
      </c>
      <c r="D32" s="11" t="n">
        <v>34648988.23883347</v>
      </c>
      <c r="E32" s="11" t="n">
        <v>2.008392963281461</v>
      </c>
      <c r="F32" s="11" t="n">
        <v>1.153638695262427</v>
      </c>
      <c r="G32" s="11" t="n">
        <v>2.242789335796496</v>
      </c>
      <c r="H32" s="11" t="n">
        <v>1.213476103710744</v>
      </c>
    </row>
    <row r="33">
      <c r="A33" s="10" t="inlineStr">
        <is>
          <t>18</t>
        </is>
      </c>
      <c r="B33" s="10" t="inlineStr">
        <is>
          <t>Fabricación de prendas de vestir, excepto prendas de piel. 18401 - Fabricación de medias. 18402 - Fabricación de suéteres y artículos similares de punto. 18900-Servicios industriales para la industria confeccionista.</t>
        </is>
      </c>
      <c r="C33" s="11" t="n">
        <v>102455323.8465755</v>
      </c>
      <c r="D33" s="11" t="n">
        <v>52506389.50516517</v>
      </c>
      <c r="E33" s="11" t="n">
        <v>1.608142976660479</v>
      </c>
      <c r="F33" s="11" t="n">
        <v>0.9237315601618327</v>
      </c>
      <c r="G33" s="11" t="n">
        <v>1.451581954721988</v>
      </c>
      <c r="H33" s="11" t="n">
        <v>0.7853880819382911</v>
      </c>
    </row>
    <row r="34">
      <c r="A34" s="10" t="inlineStr">
        <is>
          <t>191</t>
        </is>
      </c>
      <c r="B34" s="10" t="inlineStr">
        <is>
          <t>19110 - Curtido y terminación de cueros. 19120 - Fabricación de maletas, bolsos de mano y similares, artículos de talabartería y artículos de cuero n.c.p.</t>
        </is>
      </c>
      <c r="C34" s="11" t="n">
        <v>32135922.18615979</v>
      </c>
      <c r="D34" s="11" t="n">
        <v>6369379.432495106</v>
      </c>
      <c r="E34" s="11" t="n">
        <v>2.250963613545701</v>
      </c>
      <c r="F34" s="11" t="n">
        <v>1.2929734238718</v>
      </c>
      <c r="G34" s="11" t="n">
        <v>1.418507229086728</v>
      </c>
      <c r="H34" s="11" t="n">
        <v>0.7674927814057853</v>
      </c>
    </row>
    <row r="35">
      <c r="A35" s="10" t="inlineStr">
        <is>
          <t>192</t>
        </is>
      </c>
      <c r="B35" s="10" t="inlineStr">
        <is>
          <t>19201 - Fabricación de calzado de cuero, excepto el ortopédico. 19202 - Fabricación de calzado de tela, plástico, goma, caucho y otros materiales, excepto calzado ortopédico y de asbesto. 19203-Fabricación de partes de calzado</t>
        </is>
      </c>
      <c r="C35" s="11" t="n">
        <v>32769468.0622815</v>
      </c>
      <c r="D35" s="11" t="n">
        <v>14431718.93746715</v>
      </c>
      <c r="E35" s="11" t="n">
        <v>1.639368463875803</v>
      </c>
      <c r="F35" s="11" t="n">
        <v>0.9416677564085886</v>
      </c>
      <c r="G35" s="11" t="n">
        <v>1.334320673987158</v>
      </c>
      <c r="H35" s="11" t="n">
        <v>0.7219430852142901</v>
      </c>
    </row>
    <row r="36">
      <c r="A36" s="10" t="inlineStr">
        <is>
          <t>201/2</t>
        </is>
      </c>
      <c r="B36" s="10" t="inlineStr">
        <is>
          <t>Aserrado y acepilladura de madera. Fabricación de productos de madera, corcho, paja y materiales trenzables</t>
        </is>
      </c>
      <c r="C36" s="11" t="n">
        <v>74267209.07924269</v>
      </c>
      <c r="D36" s="11" t="n">
        <v>37101421.74221103</v>
      </c>
      <c r="E36" s="11" t="n">
        <v>1.675662645556887</v>
      </c>
      <c r="F36" s="11" t="n">
        <v>0.9625154556216811</v>
      </c>
      <c r="G36" s="11" t="n">
        <v>2.780262584204052</v>
      </c>
      <c r="H36" s="11" t="n">
        <v>1.504279583518951</v>
      </c>
    </row>
    <row r="37">
      <c r="A37" s="10" t="inlineStr">
        <is>
          <t>210</t>
        </is>
      </c>
      <c r="B37" s="10" t="inlineStr">
        <is>
          <t>Fabricación de papel y de productos de papel</t>
        </is>
      </c>
      <c r="C37" s="11" t="n">
        <v>147084887.665652</v>
      </c>
      <c r="D37" s="11" t="n">
        <v>55354611.79839002</v>
      </c>
      <c r="E37" s="11" t="n">
        <v>1.826500399839448</v>
      </c>
      <c r="F37" s="11" t="n">
        <v>1.049157996811695</v>
      </c>
      <c r="G37" s="11" t="n">
        <v>2.608504674379505</v>
      </c>
      <c r="H37" s="11" t="n">
        <v>1.411348822760998</v>
      </c>
    </row>
    <row r="38">
      <c r="A38" s="10" t="inlineStr">
        <is>
          <t>221</t>
        </is>
      </c>
      <c r="B38" s="10" t="inlineStr">
        <is>
          <t>Actividades de edición</t>
        </is>
      </c>
      <c r="C38" s="11" t="n">
        <v>78000887.03202379</v>
      </c>
      <c r="D38" s="11" t="n">
        <v>35643945.84765363</v>
      </c>
      <c r="E38" s="11" t="n">
        <v>1.767023916915869</v>
      </c>
      <c r="F38" s="11" t="n">
        <v>1.014994178568352</v>
      </c>
      <c r="G38" s="11" t="n">
        <v>1.994287386163232</v>
      </c>
      <c r="H38" s="11" t="n">
        <v>1.079022469215285</v>
      </c>
    </row>
    <row r="39">
      <c r="A39" s="10" t="inlineStr">
        <is>
          <t>222</t>
        </is>
      </c>
      <c r="B39" s="10" t="inlineStr">
        <is>
          <t>22210 - Impresión. 22220-Servicios relacionados con la impresión</t>
        </is>
      </c>
      <c r="C39" s="11" t="n">
        <v>76381141.48491429</v>
      </c>
      <c r="D39" s="11" t="n">
        <v>34513217.09399492</v>
      </c>
      <c r="E39" s="11" t="n">
        <v>1.67902574826177</v>
      </c>
      <c r="F39" s="11" t="n">
        <v>0.9644472515836402</v>
      </c>
      <c r="G39" s="11" t="n">
        <v>2.572844408337497</v>
      </c>
      <c r="H39" s="11" t="n">
        <v>1.392054598375641</v>
      </c>
    </row>
    <row r="40">
      <c r="A40" s="10" t="inlineStr">
        <is>
          <t>23</t>
        </is>
      </c>
      <c r="B40" s="10" t="inlineStr">
        <is>
          <t>23200 - Fabricación de productos de la refinación del petróleo. 23300-Fabricación de combustible nuclear</t>
        </is>
      </c>
      <c r="C40" s="11" t="n">
        <v>522726603.8814782</v>
      </c>
      <c r="D40" s="11" t="n">
        <v>73549423.24209756</v>
      </c>
      <c r="E40" s="11" t="n">
        <v>2.485295875073842</v>
      </c>
      <c r="F40" s="11" t="n">
        <v>1.42757594906962</v>
      </c>
      <c r="G40" s="11" t="n">
        <v>2.025707937656677</v>
      </c>
      <c r="H40" s="11" t="n">
        <v>1.096022767814068</v>
      </c>
    </row>
    <row r="41">
      <c r="A41" s="10" t="inlineStr">
        <is>
          <t>2411</t>
        </is>
      </c>
      <c r="B41" s="10" t="inlineStr">
        <is>
          <t>24111 - Fabricación de gases comprimidos y licuados. 24119-Fabricación de materias químicas orgánicas básicas, n.c.p.</t>
        </is>
      </c>
      <c r="C41" s="11" t="n">
        <v>121216486.0306669</v>
      </c>
      <c r="D41" s="11" t="n">
        <v>37105958.120351</v>
      </c>
      <c r="E41" s="11" t="n">
        <v>2.003752410132598</v>
      </c>
      <c r="F41" s="11" t="n">
        <v>1.15097312045818</v>
      </c>
      <c r="G41" s="11" t="n">
        <v>2.831892356820879</v>
      </c>
      <c r="H41" s="11" t="n">
        <v>1.532214215769327</v>
      </c>
    </row>
    <row r="42">
      <c r="A42" s="10" t="inlineStr">
        <is>
          <t>2412/2421</t>
        </is>
      </c>
      <c r="B42" s="10" t="inlineStr">
        <is>
          <t>24120 - Fabricación de abonos y compuestos de nitrógeno. 24210 - Fabricación de plaguicidas y productos químicos de uso agropecuario</t>
        </is>
      </c>
      <c r="C42" s="11" t="n">
        <v>51265216.87496863</v>
      </c>
      <c r="D42" s="11" t="n">
        <v>21315173.8457284</v>
      </c>
      <c r="E42" s="11" t="n">
        <v>1.685256691935303</v>
      </c>
      <c r="F42" s="11" t="n">
        <v>0.9680263607824913</v>
      </c>
      <c r="G42" s="11" t="n">
        <v>2.768418002085812</v>
      </c>
      <c r="H42" s="11" t="n">
        <v>1.497870993496911</v>
      </c>
    </row>
    <row r="43">
      <c r="A43" s="10" t="inlineStr">
        <is>
          <t>24130</t>
        </is>
      </c>
      <c r="B43" s="10" t="inlineStr">
        <is>
          <t>24130 - Fabricación de plásticos en formas primarias y de caucho sintético</t>
        </is>
      </c>
      <c r="C43" s="11" t="n">
        <v>136035969.011486</v>
      </c>
      <c r="D43" s="11" t="n">
        <v>32419160.4853733</v>
      </c>
      <c r="E43" s="11" t="n">
        <v>1.971464449972096</v>
      </c>
      <c r="F43" s="11" t="n">
        <v>1.132426630347307</v>
      </c>
      <c r="G43" s="11" t="n">
        <v>2.991915482803377</v>
      </c>
      <c r="H43" s="11" t="n">
        <v>1.618795793593663</v>
      </c>
    </row>
    <row r="44">
      <c r="A44" s="10" t="inlineStr">
        <is>
          <t>242</t>
        </is>
      </c>
      <c r="B44" s="10" t="inlineStr">
        <is>
          <t>Fabricación de otros productos químicos (excl 24210 - Fabricación de plaguicidas y productos químicos de uso agropecuario)</t>
        </is>
      </c>
      <c r="C44" s="11" t="n">
        <v>427188650.1933768</v>
      </c>
      <c r="D44" s="11" t="n">
        <v>152436576.5891145</v>
      </c>
      <c r="E44" s="11" t="n">
        <v>1.860847981838084</v>
      </c>
      <c r="F44" s="11" t="n">
        <v>1.068887551936995</v>
      </c>
      <c r="G44" s="11" t="n">
        <v>1.71959516595792</v>
      </c>
      <c r="H44" s="11" t="n">
        <v>0.9303984144393074</v>
      </c>
    </row>
    <row r="45">
      <c r="A45" s="10" t="inlineStr">
        <is>
          <t>251</t>
        </is>
      </c>
      <c r="B45" s="10" t="inlineStr">
        <is>
          <t>Fabricación de productos de caucho</t>
        </is>
      </c>
      <c r="C45" s="11" t="n">
        <v>54611996.34764705</v>
      </c>
      <c r="D45" s="11" t="n">
        <v>20850160.77253912</v>
      </c>
      <c r="E45" s="11" t="n">
        <v>1.800287033214068</v>
      </c>
      <c r="F45" s="11" t="n">
        <v>1.034100806996247</v>
      </c>
      <c r="G45" s="11" t="n">
        <v>2.568908700757179</v>
      </c>
      <c r="H45" s="11" t="n">
        <v>1.389925157583462</v>
      </c>
    </row>
    <row r="46">
      <c r="A46" s="10" t="inlineStr">
        <is>
          <t>252</t>
        </is>
      </c>
      <c r="B46" s="10" t="inlineStr">
        <is>
          <t>25201 - Fabricación de envases plásticos. 25209 - Fabricación de productos plásticos en formas básicas y artículos de plástico n.c.p., excepto muebles</t>
        </is>
      </c>
      <c r="C46" s="11" t="n">
        <v>193997488.0129749</v>
      </c>
      <c r="D46" s="11" t="n">
        <v>68101998.23768207</v>
      </c>
      <c r="E46" s="11" t="n">
        <v>1.839572716662536</v>
      </c>
      <c r="F46" s="11" t="n">
        <v>1.056666851303599</v>
      </c>
      <c r="G46" s="11" t="n">
        <v>2.254980465372302</v>
      </c>
      <c r="H46" s="11" t="n">
        <v>1.220072195542182</v>
      </c>
    </row>
    <row r="47">
      <c r="A47" s="10" t="inlineStr">
        <is>
          <t>261</t>
        </is>
      </c>
      <c r="B47" s="10" t="inlineStr">
        <is>
          <t>26101 - Fabricación de envases de vidrio. 26102 - Fabricación y elaboración de vidrio plano. 26109 - Fabricación de productos de vidrio n.c.p.</t>
        </is>
      </c>
      <c r="C47" s="11" t="n">
        <v>22237454.35066734</v>
      </c>
      <c r="D47" s="11" t="n">
        <v>10192876.91494916</v>
      </c>
      <c r="E47" s="11" t="n">
        <v>1.666301241514274</v>
      </c>
      <c r="F47" s="11" t="n">
        <v>0.9571381822777735</v>
      </c>
      <c r="G47" s="11" t="n">
        <v>2.441174191655875</v>
      </c>
      <c r="H47" s="11" t="n">
        <v>1.320813550915951</v>
      </c>
    </row>
    <row r="48">
      <c r="A48" s="10" t="inlineStr">
        <is>
          <t>269</t>
        </is>
      </c>
      <c r="B48" s="10" t="inlineStr">
        <is>
          <t>Fabricación de productos minerales no metálicos n.c.p.</t>
        </is>
      </c>
      <c r="C48" s="11" t="n">
        <v>178791122.1623967</v>
      </c>
      <c r="D48" s="11" t="n">
        <v>82330442.0939081</v>
      </c>
      <c r="E48" s="11" t="n">
        <v>1.709926557101979</v>
      </c>
      <c r="F48" s="11" t="n">
        <v>0.9821969496978618</v>
      </c>
      <c r="G48" s="11" t="n">
        <v>2.279913581180368</v>
      </c>
      <c r="H48" s="11" t="n">
        <v>1.233562423866901</v>
      </c>
    </row>
    <row r="49">
      <c r="A49" s="10" t="inlineStr">
        <is>
          <t>27100</t>
        </is>
      </c>
      <c r="B49" s="10" t="inlineStr">
        <is>
          <t>27100 - Industrias básicas de hierro y acero</t>
        </is>
      </c>
      <c r="C49" s="11" t="n">
        <v>222397383.2276296</v>
      </c>
      <c r="D49" s="11" t="n">
        <v>89114457.95613174</v>
      </c>
      <c r="E49" s="11" t="n">
        <v>1.716715878178777</v>
      </c>
      <c r="F49" s="11" t="n">
        <v>0.986096795819588</v>
      </c>
      <c r="G49" s="11" t="n">
        <v>2.694727854697433</v>
      </c>
      <c r="H49" s="11" t="n">
        <v>1.458000448587724</v>
      </c>
    </row>
    <row r="50">
      <c r="A50" s="10" t="inlineStr">
        <is>
          <t>272</t>
        </is>
      </c>
      <c r="B50" s="10" t="inlineStr">
        <is>
          <t>27201 - Elaboración de aluminio primario y semielaborados de aluminio. 27209 - Producción de metales no ferrosos n.c.p. y sus semielaborados</t>
        </is>
      </c>
      <c r="C50" s="11" t="n">
        <v>78095082.59775892</v>
      </c>
      <c r="D50" s="11" t="n">
        <v>29155984.56196426</v>
      </c>
      <c r="E50" s="11" t="n">
        <v>1.912354344363258</v>
      </c>
      <c r="F50" s="11" t="n">
        <v>1.098473262476515</v>
      </c>
      <c r="G50" s="11" t="n">
        <v>2.786765664888745</v>
      </c>
      <c r="H50" s="11" t="n">
        <v>1.507798118624066</v>
      </c>
    </row>
    <row r="51">
      <c r="A51" s="10" t="inlineStr">
        <is>
          <t>273</t>
        </is>
      </c>
      <c r="B51" s="10" t="inlineStr">
        <is>
          <t>27310 - Fundición de hierro y acero. 27320 - Fundición de metales no ferrosos</t>
        </is>
      </c>
      <c r="C51" s="11" t="n">
        <v>63076519.51505171</v>
      </c>
      <c r="D51" s="11" t="n">
        <v>26596139.2160892</v>
      </c>
      <c r="E51" s="11" t="n">
        <v>1.859792105340483</v>
      </c>
      <c r="F51" s="11" t="n">
        <v>1.068281047130754</v>
      </c>
      <c r="G51" s="11" t="n">
        <v>2.521694202325258</v>
      </c>
      <c r="H51" s="11" t="n">
        <v>1.364379438829864</v>
      </c>
    </row>
    <row r="52">
      <c r="A52" s="10" t="inlineStr">
        <is>
          <t>281</t>
        </is>
      </c>
      <c r="B52" s="10" t="inlineStr">
        <is>
          <t>28110 - Fabricación de productos metálicos para uso estructural y montaje estructural. 28120 - Fabricación de tanques, depósitos y recipientes de metal. 28130 - Fabricación de generadores de vapor</t>
        </is>
      </c>
      <c r="C52" s="11" t="n">
        <v>62665668.25311845</v>
      </c>
      <c r="D52" s="11" t="n">
        <v>28297288.53185107</v>
      </c>
      <c r="E52" s="11" t="n">
        <v>1.704271111617735</v>
      </c>
      <c r="F52" s="11" t="n">
        <v>0.9789484117529212</v>
      </c>
      <c r="G52" s="11" t="n">
        <v>2.112744477097056</v>
      </c>
      <c r="H52" s="11" t="n">
        <v>1.143114467009735</v>
      </c>
    </row>
    <row r="53">
      <c r="A53" s="10" t="inlineStr">
        <is>
          <t>289</t>
        </is>
      </c>
      <c r="B53" s="10" t="inlineStr">
        <is>
          <t>Fabricación de otros productos elaborados de metal; actividades de servicios de trabajo de metales</t>
        </is>
      </c>
      <c r="C53" s="11" t="n">
        <v>156000208.6852226</v>
      </c>
      <c r="D53" s="11" t="n">
        <v>67715053.7466014</v>
      </c>
      <c r="E53" s="11" t="n">
        <v>1.720925153065656</v>
      </c>
      <c r="F53" s="11" t="n">
        <v>0.9885146405727209</v>
      </c>
      <c r="G53" s="11" t="n">
        <v>2.275917769822056</v>
      </c>
      <c r="H53" s="11" t="n">
        <v>1.231400463525438</v>
      </c>
    </row>
    <row r="54">
      <c r="A54" s="10" t="inlineStr">
        <is>
          <t>291</t>
        </is>
      </c>
      <c r="B54" s="10" t="inlineStr">
        <is>
          <t>29110 - Fabricación de motores y turbinas, excepto motores para aeronaves, vehículos automotores y motocicletas. 29120 - Fabricación de bombas. compresores. grifos y válvulas. 29130 - Fabricación de cojinetes. engranajes. trenes de engranaje y piezas de transmisión. 29140 - Fabricación de hornos. hogares y quemadores. 29150 - Fabricación de equipo de elevación y manipulación 29190 - Fabricación de maquinaria y equipo de uso general n.c.p.</t>
        </is>
      </c>
      <c r="C54" s="11" t="n">
        <v>69006468.18446615</v>
      </c>
      <c r="D54" s="11" t="n">
        <v>27680649.11252867</v>
      </c>
      <c r="E54" s="11" t="n">
        <v>1.647874892875339</v>
      </c>
      <c r="F54" s="11" t="n">
        <v>0.9465539245199991</v>
      </c>
      <c r="G54" s="11" t="n">
        <v>1.941894279679529</v>
      </c>
      <c r="H54" s="11" t="n">
        <v>1.050674830093589</v>
      </c>
    </row>
    <row r="55">
      <c r="A55" s="10" t="inlineStr">
        <is>
          <t>292</t>
        </is>
      </c>
      <c r="B55" s="10" t="inlineStr">
        <is>
          <t>Fabricación de maquinaria de uso especial</t>
        </is>
      </c>
      <c r="C55" s="11" t="n">
        <v>126891407.8735184</v>
      </c>
      <c r="D55" s="11" t="n">
        <v>46572897.63357727</v>
      </c>
      <c r="E55" s="11" t="n">
        <v>1.736087942287194</v>
      </c>
      <c r="F55" s="11" t="n">
        <v>0.9972242809139691</v>
      </c>
      <c r="G55" s="11" t="n">
        <v>1.166919906454555</v>
      </c>
      <c r="H55" s="11" t="n">
        <v>0.631369785305358</v>
      </c>
    </row>
    <row r="56">
      <c r="A56" s="10" t="inlineStr">
        <is>
          <t>29300</t>
        </is>
      </c>
      <c r="B56" s="10" t="inlineStr">
        <is>
          <t>29300 - Fabricación de aparatos de uso doméstico n.c.p.</t>
        </is>
      </c>
      <c r="C56" s="11" t="n">
        <v>48104875.23651402</v>
      </c>
      <c r="D56" s="11" t="n">
        <v>16575956.12249269</v>
      </c>
      <c r="E56" s="11" t="n">
        <v>1.694819691475829</v>
      </c>
      <c r="F56" s="11" t="n">
        <v>0.9735194323648088</v>
      </c>
      <c r="G56" s="11" t="n">
        <v>1.249152386150295</v>
      </c>
      <c r="H56" s="11" t="n">
        <v>0.6758622159884301</v>
      </c>
    </row>
    <row r="57">
      <c r="A57" s="10" t="inlineStr">
        <is>
          <t>30000</t>
        </is>
      </c>
      <c r="B57" s="10" t="inlineStr">
        <is>
          <t>30000 - Fabricación de maquinaria de oficina, contabilidad e informática</t>
        </is>
      </c>
      <c r="C57" s="11" t="n">
        <v>7343573.451774333</v>
      </c>
      <c r="D57" s="11" t="n">
        <v>2854644.743367735</v>
      </c>
      <c r="E57" s="11" t="n">
        <v>1.58059270271772</v>
      </c>
      <c r="F57" s="11" t="n">
        <v>0.9079064389497381</v>
      </c>
      <c r="G57" s="11" t="n">
        <v>1.511883993934474</v>
      </c>
      <c r="H57" s="11" t="n">
        <v>0.8180149017744007</v>
      </c>
    </row>
    <row r="58">
      <c r="A58" s="10" t="inlineStr">
        <is>
          <t>311/12</t>
        </is>
      </c>
      <c r="B58" s="10" t="inlineStr">
        <is>
          <t>31100 - Fabricación de motores, generadores y transformadores eléctricos. 31200 - Fabricación de aparatos de distribución y control de la energía eléctrica</t>
        </is>
      </c>
      <c r="C58" s="11" t="n">
        <v>34334558.33852966</v>
      </c>
      <c r="D58" s="11" t="n">
        <v>15038091.3135604</v>
      </c>
      <c r="E58" s="11" t="n">
        <v>1.567603439483757</v>
      </c>
      <c r="F58" s="11" t="n">
        <v>0.9004452911745705</v>
      </c>
      <c r="G58" s="11" t="n">
        <v>2.062521894990343</v>
      </c>
      <c r="H58" s="11" t="n">
        <v>1.115941204554613</v>
      </c>
    </row>
    <row r="59">
      <c r="A59" s="10" t="inlineStr">
        <is>
          <t>31300</t>
        </is>
      </c>
      <c r="B59" s="10" t="inlineStr">
        <is>
          <t>31300 - Fabricación de hilos y cables aislados</t>
        </is>
      </c>
      <c r="C59" s="11" t="n">
        <v>29796621.98206779</v>
      </c>
      <c r="D59" s="11" t="n">
        <v>8887400.751755591</v>
      </c>
      <c r="E59" s="11" t="n">
        <v>1.884478393341525</v>
      </c>
      <c r="F59" s="11" t="n">
        <v>1.082461069467549</v>
      </c>
      <c r="G59" s="11" t="n">
        <v>2.740610584353423</v>
      </c>
      <c r="H59" s="11" t="n">
        <v>1.482825604977541</v>
      </c>
    </row>
    <row r="60">
      <c r="A60" s="10" t="inlineStr">
        <is>
          <t>314/15/19</t>
        </is>
      </c>
      <c r="B60" s="10" t="inlineStr">
        <is>
          <t>31400 - Fabricación de acumuladores, pilas y baterías primarias. 31500 - Fabricación de lámparas eléctricas y equipo de iluminación. 31900 - Fabricación de equipo eléctrico n.c.p.</t>
        </is>
      </c>
      <c r="C60" s="11" t="n">
        <v>27935039.87891698</v>
      </c>
      <c r="D60" s="11" t="n">
        <v>10854886.30883246</v>
      </c>
      <c r="E60" s="11" t="n">
        <v>1.674275631756397</v>
      </c>
      <c r="F60" s="11" t="n">
        <v>0.9617187426176214</v>
      </c>
      <c r="G60" s="11" t="n">
        <v>2.134044672457742</v>
      </c>
      <c r="H60" s="11" t="n">
        <v>1.154639079536655</v>
      </c>
    </row>
    <row r="61">
      <c r="A61" s="10" t="inlineStr">
        <is>
          <t>32100/32200</t>
        </is>
      </c>
      <c r="B61" s="10" t="inlineStr">
        <is>
          <t>32100 - Fabricación de tubos, válvulas y otros componentes electrónicos. 32200 - Fabricación de transmisores de radio y televisión y de aparatos para telefonía y telegrafía con hilos (equipos de comunicación)</t>
        </is>
      </c>
      <c r="C61" s="11" t="n">
        <v>94171405.99281637</v>
      </c>
      <c r="D61" s="11" t="n">
        <v>12711702.09443882</v>
      </c>
      <c r="E61" s="11" t="n">
        <v>1.763026933215193</v>
      </c>
      <c r="F61" s="11" t="n">
        <v>1.012698275751655</v>
      </c>
      <c r="G61" s="11" t="n">
        <v>2.050963522914874</v>
      </c>
      <c r="H61" s="11" t="n">
        <v>1.109687470381939</v>
      </c>
    </row>
    <row r="62">
      <c r="A62" s="10" t="inlineStr">
        <is>
          <t>32300</t>
        </is>
      </c>
      <c r="B62" s="10" t="inlineStr">
        <is>
          <t>32300 - Fabricación de receptores de radio y televisión, aparatos de grabación y reproducción de sonido y video, y productos conexos</t>
        </is>
      </c>
      <c r="C62" s="11" t="n">
        <v>15659152.19340982</v>
      </c>
      <c r="D62" s="11" t="n">
        <v>4500938.396059187</v>
      </c>
      <c r="E62" s="11" t="n">
        <v>1.58458182842047</v>
      </c>
      <c r="F62" s="11" t="n">
        <v>0.9101978280628725</v>
      </c>
      <c r="G62" s="11" t="n">
        <v>1.216238892163735</v>
      </c>
      <c r="H62" s="11" t="n">
        <v>0.6580541509130119</v>
      </c>
    </row>
    <row r="63">
      <c r="A63" s="10" t="inlineStr">
        <is>
          <t>331/332</t>
        </is>
      </c>
      <c r="B63" s="10" t="inlineStr">
        <is>
          <t>33110 - Fabricación de equipo médico y quirúrgico y de aparatos ortopédicos. 33120 - Fabricación de instrumentos y aparatos para medir, verificar, ensayar, navegar, control de procesos industriales y otros fines. 33200 - Fabricación de instrumentos de óptica y equipo fotográfico</t>
        </is>
      </c>
      <c r="C63" s="11" t="n">
        <v>22272759.51110991</v>
      </c>
      <c r="D63" s="11" t="n">
        <v>10965824.65592222</v>
      </c>
      <c r="E63" s="11" t="n">
        <v>1.561605399492514</v>
      </c>
      <c r="F63" s="11" t="n">
        <v>0.896999963912358</v>
      </c>
      <c r="G63" s="11" t="n">
        <v>1.516053015840117</v>
      </c>
      <c r="H63" s="11" t="n">
        <v>0.8202705788358167</v>
      </c>
    </row>
    <row r="64">
      <c r="A64" s="10" t="inlineStr">
        <is>
          <t>341/2</t>
        </is>
      </c>
      <c r="B64" s="10" t="inlineStr">
        <is>
          <t>Fabricación de vehículos automotores. Fabricación de carrocerías para vehículos automotores; fabricación de remolques y semirremolques</t>
        </is>
      </c>
      <c r="C64" s="11" t="n">
        <v>374409867.0465596</v>
      </c>
      <c r="D64" s="11" t="n">
        <v>82346081.24022335</v>
      </c>
      <c r="E64" s="11" t="n">
        <v>1.77803729619393</v>
      </c>
      <c r="F64" s="11" t="n">
        <v>1.021320361109847</v>
      </c>
      <c r="G64" s="11" t="n">
        <v>1.631201057549138</v>
      </c>
      <c r="H64" s="11" t="n">
        <v>0.8825721935139342</v>
      </c>
    </row>
    <row r="65">
      <c r="A65" s="10" t="inlineStr">
        <is>
          <t>34300</t>
        </is>
      </c>
      <c r="B65" s="10" t="inlineStr">
        <is>
          <t>34300 - Fabricación de partes; piezas y accesorios para vehículos automotores y sus motores</t>
        </is>
      </c>
      <c r="C65" s="11" t="n">
        <v>111422601.2486256</v>
      </c>
      <c r="D65" s="11" t="n">
        <v>36833442.67549071</v>
      </c>
      <c r="E65" s="11" t="n">
        <v>1.747515391975629</v>
      </c>
      <c r="F65" s="11" t="n">
        <v>1.003788309164298</v>
      </c>
      <c r="G65" s="11" t="n">
        <v>1.632379406740004</v>
      </c>
      <c r="H65" s="11" t="n">
        <v>0.8832097471896724</v>
      </c>
    </row>
    <row r="66">
      <c r="A66" s="10" t="inlineStr">
        <is>
          <t>351/2/3/9</t>
        </is>
      </c>
      <c r="B66" s="10" t="inlineStr">
        <is>
          <t>Construcción y reparación de buques y otras embarcaciones. Fabricación de locomotoras y de material rodante para ferrocarriles y tranvías. 353 Fabricación de aeronaves y naves espaciales. 359 Fabricación de otros tipos de equipo de transporte n.c.p.</t>
        </is>
      </c>
      <c r="C66" s="11" t="n">
        <v>30487801.80048536</v>
      </c>
      <c r="D66" s="11" t="n">
        <v>13782083.31246143</v>
      </c>
      <c r="E66" s="11" t="n">
        <v>1.580293651393827</v>
      </c>
      <c r="F66" s="11" t="n">
        <v>0.9077346612222617</v>
      </c>
      <c r="G66" s="11" t="n">
        <v>1.492462328943568</v>
      </c>
      <c r="H66" s="11" t="n">
        <v>0.8075066806122155</v>
      </c>
    </row>
    <row r="67">
      <c r="A67" s="10" t="inlineStr">
        <is>
          <t>361/9</t>
        </is>
      </c>
      <c r="B67" s="10" t="inlineStr">
        <is>
          <t>Fabricación de muebles. Industrias manufactureras, n.c.p.</t>
        </is>
      </c>
      <c r="C67" s="11" t="n">
        <v>98925407.04351011</v>
      </c>
      <c r="D67" s="11" t="n">
        <v>52300039.59900121</v>
      </c>
      <c r="E67" s="11" t="n">
        <v>1.588769712067599</v>
      </c>
      <c r="F67" s="11" t="n">
        <v>0.9126033854985499</v>
      </c>
      <c r="G67" s="11" t="n">
        <v>1.598895145047034</v>
      </c>
      <c r="H67" s="11" t="n">
        <v>0.8650928644462533</v>
      </c>
    </row>
    <row r="68">
      <c r="A68" s="10" t="inlineStr">
        <is>
          <t>37/38</t>
        </is>
      </c>
      <c r="B68" s="10" t="inlineStr">
        <is>
          <t>Reciclado. Reparación y mantenimiento</t>
        </is>
      </c>
      <c r="C68" s="11" t="n">
        <v>38495450.88990696</v>
      </c>
      <c r="D68" s="11" t="n">
        <v>20867003.40052062</v>
      </c>
      <c r="E68" s="11" t="n">
        <v>1.704152856381931</v>
      </c>
      <c r="F68" s="11" t="n">
        <v>0.9788804848987475</v>
      </c>
      <c r="G68" s="11" t="n">
        <v>2.291985566069498</v>
      </c>
      <c r="H68" s="11" t="n">
        <v>1.240094051672289</v>
      </c>
    </row>
    <row r="69">
      <c r="A69" s="10" t="inlineStr">
        <is>
          <t>401</t>
        </is>
      </c>
      <c r="B69" s="10" t="inlineStr">
        <is>
          <t>Generación captación y distribución de energía eléctrica</t>
        </is>
      </c>
      <c r="C69" s="11" t="n">
        <v>537196652.9414719</v>
      </c>
      <c r="D69" s="11" t="n">
        <v>204902175.1176515</v>
      </c>
      <c r="E69" s="11" t="n">
        <v>1.88288759082832</v>
      </c>
      <c r="F69" s="11" t="n">
        <v>1.081547298423084</v>
      </c>
      <c r="G69" s="11" t="n">
        <v>2.663797376544366</v>
      </c>
      <c r="H69" s="11" t="n">
        <v>1.441265307432897</v>
      </c>
    </row>
    <row r="70">
      <c r="A70" s="10" t="inlineStr">
        <is>
          <t>402</t>
        </is>
      </c>
      <c r="B70" s="10" t="inlineStr">
        <is>
          <t>Fabricación de gas ; distribución de combustibles gaseosos por tuberías</t>
        </is>
      </c>
      <c r="C70" s="11" t="n">
        <v>127579682.5620748</v>
      </c>
      <c r="D70" s="11" t="n">
        <v>30878641.63397525</v>
      </c>
      <c r="E70" s="11" t="n">
        <v>1.821400231680021</v>
      </c>
      <c r="F70" s="11" t="n">
        <v>1.046228415077129</v>
      </c>
      <c r="G70" s="11" t="n">
        <v>1.814854908948146</v>
      </c>
      <c r="H70" s="11" t="n">
        <v>0.9819393326696925</v>
      </c>
    </row>
    <row r="71">
      <c r="A71" s="10" t="inlineStr">
        <is>
          <t>41</t>
        </is>
      </c>
      <c r="B71" s="10" t="inlineStr">
        <is>
          <t>Captación , depuración y distribución de agua</t>
        </is>
      </c>
      <c r="C71" s="11" t="n">
        <v>57992315.2032895</v>
      </c>
      <c r="D71" s="11" t="n">
        <v>33626080.69809622</v>
      </c>
      <c r="E71" s="11" t="n">
        <v>1.578054010907608</v>
      </c>
      <c r="F71" s="11" t="n">
        <v>0.9064481919029519</v>
      </c>
      <c r="G71" s="11" t="n">
        <v>1.356450544018646</v>
      </c>
      <c r="H71" s="11" t="n">
        <v>0.7339165987462234</v>
      </c>
    </row>
    <row r="72">
      <c r="A72" s="10" t="inlineStr">
        <is>
          <t>45</t>
        </is>
      </c>
      <c r="B72" s="10" t="inlineStr">
        <is>
          <t>Construcción</t>
        </is>
      </c>
      <c r="C72" s="11" t="n">
        <v>1115093813.98497</v>
      </c>
      <c r="D72" s="11" t="n">
        <v>589211429.9786241</v>
      </c>
      <c r="E72" s="11" t="n">
        <v>1.529719236755293</v>
      </c>
      <c r="F72" s="11" t="n">
        <v>0.8786842697979005</v>
      </c>
      <c r="G72" s="11" t="n">
        <v>1.181531629636702</v>
      </c>
      <c r="H72" s="11" t="n">
        <v>0.6392755554249908</v>
      </c>
    </row>
    <row r="73">
      <c r="A73" s="10" t="inlineStr">
        <is>
          <t>502</t>
        </is>
      </c>
      <c r="B73" s="10" t="inlineStr">
        <is>
          <t>Comercios por mayor y menor, mantenimiento y reparación de automotores</t>
        </is>
      </c>
      <c r="C73" s="11" t="n">
        <v>251736922.9821351</v>
      </c>
      <c r="D73" s="11" t="n">
        <v>164494094.4290995</v>
      </c>
      <c r="E73" s="11" t="n">
        <v>1.441729498531439</v>
      </c>
      <c r="F73" s="11" t="n">
        <v>0.8281421853269422</v>
      </c>
      <c r="G73" s="11" t="n">
        <v>2.3064810882127</v>
      </c>
      <c r="H73" s="11" t="n">
        <v>1.247936950446079</v>
      </c>
    </row>
    <row r="74">
      <c r="A74" s="10" t="inlineStr">
        <is>
          <t>51</t>
        </is>
      </c>
      <c r="B74" s="10" t="inlineStr">
        <is>
          <t>Comercio mayorista</t>
        </is>
      </c>
      <c r="C74" s="11" t="n">
        <v>1062849420.016714</v>
      </c>
      <c r="D74" s="11" t="n">
        <v>760002882.5630245</v>
      </c>
      <c r="E74" s="11" t="n">
        <v>1.377641457671267</v>
      </c>
      <c r="F74" s="11" t="n">
        <v>0.7913294473859299</v>
      </c>
      <c r="G74" s="11" t="n">
        <v>2.794457855164627</v>
      </c>
      <c r="H74" s="11" t="n">
        <v>1.511960029391162</v>
      </c>
    </row>
    <row r="75">
      <c r="A75" s="10" t="inlineStr">
        <is>
          <t>521/5</t>
        </is>
      </c>
      <c r="B75" s="10" t="inlineStr">
        <is>
          <t>521/5 - Comercio minorista excepto reparaciones</t>
        </is>
      </c>
      <c r="C75" s="11" t="n">
        <v>1723143317.321024</v>
      </c>
      <c r="D75" s="11" t="n">
        <v>1217154928.83056</v>
      </c>
      <c r="E75" s="11" t="n">
        <v>1.402580907745063</v>
      </c>
      <c r="F75" s="11" t="n">
        <v>0.8056548882581624</v>
      </c>
      <c r="G75" s="11" t="n">
        <v>1.09982430882324</v>
      </c>
      <c r="H75" s="11" t="n">
        <v>0.5950672654519373</v>
      </c>
    </row>
    <row r="76">
      <c r="A76" s="10" t="inlineStr">
        <is>
          <t>526</t>
        </is>
      </c>
      <c r="B76" s="10" t="inlineStr">
        <is>
          <t>Reparación de efectos personales y enseres domésticos</t>
        </is>
      </c>
      <c r="C76" s="11" t="n">
        <v>51454307.0765125</v>
      </c>
      <c r="D76" s="11" t="n">
        <v>38351148.11781619</v>
      </c>
      <c r="E76" s="11" t="n">
        <v>1.207811973739297</v>
      </c>
      <c r="F76" s="11" t="n">
        <v>0.6937778885812935</v>
      </c>
      <c r="G76" s="11" t="n">
        <v>2.306734602146559</v>
      </c>
      <c r="H76" s="11" t="n">
        <v>1.248074115848011</v>
      </c>
    </row>
    <row r="77">
      <c r="A77" s="10" t="inlineStr">
        <is>
          <t>551</t>
        </is>
      </c>
      <c r="B77" s="10" t="inlineStr">
        <is>
          <t>Hoteles ; campamentos y otros tipos de hospedaje temporal</t>
        </is>
      </c>
      <c r="C77" s="11" t="n">
        <v>71289687.14835121</v>
      </c>
      <c r="D77" s="11" t="n">
        <v>43584404.0935493</v>
      </c>
      <c r="E77" s="11" t="n">
        <v>1.694548852987842</v>
      </c>
      <c r="F77" s="11" t="n">
        <v>0.9733638603400004</v>
      </c>
      <c r="G77" s="11" t="n">
        <v>1.546623613207701</v>
      </c>
      <c r="H77" s="11" t="n">
        <v>0.836811004095397</v>
      </c>
    </row>
    <row r="78">
      <c r="A78" s="10" t="inlineStr">
        <is>
          <t>552</t>
        </is>
      </c>
      <c r="B78" s="10" t="inlineStr">
        <is>
          <t>Restaurantes, bares y cantinas</t>
        </is>
      </c>
      <c r="C78" s="11" t="n">
        <v>737486340.8117553</v>
      </c>
      <c r="D78" s="11" t="n">
        <v>253411422.5040034</v>
      </c>
      <c r="E78" s="11" t="n">
        <v>1.808553713076254</v>
      </c>
      <c r="F78" s="11" t="n">
        <v>1.038849261081041</v>
      </c>
      <c r="G78" s="11" t="n">
        <v>1.273586578457956</v>
      </c>
      <c r="H78" s="11" t="n">
        <v>0.6890824984311811</v>
      </c>
    </row>
    <row r="79">
      <c r="A79" s="10" t="inlineStr">
        <is>
          <t>601</t>
        </is>
      </c>
      <c r="B79" s="10" t="inlineStr">
        <is>
          <t>Servicio de transporte ferroviario</t>
        </is>
      </c>
      <c r="C79" s="11" t="n">
        <v>14894254.67611602</v>
      </c>
      <c r="D79" s="11" t="n">
        <v>7903033.028572449</v>
      </c>
      <c r="E79" s="11" t="n">
        <v>1.630805111460128</v>
      </c>
      <c r="F79" s="11" t="n">
        <v>0.936748890983094</v>
      </c>
      <c r="G79" s="11" t="n">
        <v>1.880328727878535</v>
      </c>
      <c r="H79" s="11" t="n">
        <v>1.017364378358389</v>
      </c>
    </row>
    <row r="80">
      <c r="A80" s="10" t="inlineStr">
        <is>
          <t>602</t>
        </is>
      </c>
      <c r="B80" s="10" t="inlineStr">
        <is>
          <t>Servicio de transporte automotor</t>
        </is>
      </c>
      <c r="C80" s="11" t="n">
        <v>714829718.5888138</v>
      </c>
      <c r="D80" s="11" t="n">
        <v>232745971.628315</v>
      </c>
      <c r="E80" s="11" t="n">
        <v>1.886422561704652</v>
      </c>
      <c r="F80" s="11" t="n">
        <v>1.083577816984004</v>
      </c>
      <c r="G80" s="11" t="n">
        <v>1.893611184483885</v>
      </c>
      <c r="H80" s="11" t="n">
        <v>1.024550939945745</v>
      </c>
    </row>
    <row r="81">
      <c r="A81" s="10" t="inlineStr">
        <is>
          <t>603</t>
        </is>
      </c>
      <c r="B81" s="10" t="inlineStr">
        <is>
          <t>Transporte por tuberías</t>
        </is>
      </c>
      <c r="C81" s="11" t="n">
        <v>19415447.39515746</v>
      </c>
      <c r="D81" s="11" t="n">
        <v>8423281.999975504</v>
      </c>
      <c r="E81" s="11" t="n">
        <v>1.691620088447516</v>
      </c>
      <c r="F81" s="11" t="n">
        <v>0.9716815520642774</v>
      </c>
      <c r="G81" s="11" t="n">
        <v>2.849059342628789</v>
      </c>
      <c r="H81" s="11" t="n">
        <v>1.541502527746806</v>
      </c>
    </row>
    <row r="82">
      <c r="A82" s="10" t="inlineStr">
        <is>
          <t>61</t>
        </is>
      </c>
      <c r="B82" s="10" t="inlineStr">
        <is>
          <t>TRANSPORTE POR VÍA ACUÁTICA</t>
        </is>
      </c>
      <c r="C82" s="11" t="n">
        <v>3411561.843118597</v>
      </c>
      <c r="D82" s="11" t="n">
        <v>1980060.076009619</v>
      </c>
      <c r="E82" s="11" t="n">
        <v>1.565535077866407</v>
      </c>
      <c r="F82" s="11" t="n">
        <v>0.8992572059536028</v>
      </c>
      <c r="G82" s="11" t="n">
        <v>1.470541511022861</v>
      </c>
      <c r="H82" s="11" t="n">
        <v>0.7956462761167905</v>
      </c>
    </row>
    <row r="83">
      <c r="A83" s="10" t="inlineStr">
        <is>
          <t>62</t>
        </is>
      </c>
      <c r="B83" s="10" t="inlineStr">
        <is>
          <t>TRANSPORTE POR VÍA AÉREA</t>
        </is>
      </c>
      <c r="C83" s="11" t="n">
        <v>155669891.3081187</v>
      </c>
      <c r="D83" s="11" t="n">
        <v>36931169.97085537</v>
      </c>
      <c r="E83" s="11" t="n">
        <v>2.047060882129733</v>
      </c>
      <c r="F83" s="11" t="n">
        <v>1.175849890115325</v>
      </c>
      <c r="G83" s="11" t="n">
        <v>1.304881786421073</v>
      </c>
      <c r="H83" s="11" t="n">
        <v>0.7060149790782831</v>
      </c>
    </row>
    <row r="84">
      <c r="A84" s="10" t="inlineStr">
        <is>
          <t>63</t>
        </is>
      </c>
      <c r="B84" s="10" t="inlineStr">
        <is>
          <t>ACTIVIDADES DE TRANSPORTE COMPLEMENTARIAS Y AUXILIARES; ACTIVIDADES DE AGENCIAS DE VIAJES</t>
        </is>
      </c>
      <c r="C84" s="11" t="n">
        <v>277082243.0952941</v>
      </c>
      <c r="D84" s="11" t="n">
        <v>151528614.3511652</v>
      </c>
      <c r="E84" s="11" t="n">
        <v>1.612818380334288</v>
      </c>
      <c r="F84" s="11" t="n">
        <v>0.9264171534160858</v>
      </c>
      <c r="G84" s="11" t="n">
        <v>2.271721025432871</v>
      </c>
      <c r="H84" s="11" t="n">
        <v>1.229129787029712</v>
      </c>
    </row>
    <row r="85">
      <c r="A85" s="10" t="inlineStr">
        <is>
          <t>641</t>
        </is>
      </c>
      <c r="B85" s="10" t="inlineStr">
        <is>
          <t>Servicios de correos</t>
        </is>
      </c>
      <c r="C85" s="11" t="n">
        <v>39226370.1615294</v>
      </c>
      <c r="D85" s="11" t="n">
        <v>23115738.65372083</v>
      </c>
      <c r="E85" s="11" t="n">
        <v>1.738574732450974</v>
      </c>
      <c r="F85" s="11" t="n">
        <v>0.9986527151956979</v>
      </c>
      <c r="G85" s="11" t="n">
        <v>2.700549567245615</v>
      </c>
      <c r="H85" s="11" t="n">
        <v>1.461150324925701</v>
      </c>
    </row>
    <row r="86">
      <c r="A86" s="10" t="inlineStr">
        <is>
          <t>642</t>
        </is>
      </c>
      <c r="B86" s="10" t="inlineStr">
        <is>
          <t>Servicios de transmisión de radio y televisión</t>
        </is>
      </c>
      <c r="C86" s="11" t="n">
        <v>149200964</v>
      </c>
      <c r="D86" s="11" t="n">
        <v>39554590.03489107</v>
      </c>
      <c r="E86" s="11" t="n">
        <v>2.014462839723831</v>
      </c>
      <c r="F86" s="11" t="n">
        <v>1.157125286018022</v>
      </c>
      <c r="G86" s="11" t="n">
        <v>2.175039090020255</v>
      </c>
      <c r="H86" s="11" t="n">
        <v>1.176819382119547</v>
      </c>
    </row>
    <row r="87">
      <c r="A87" s="10" t="inlineStr">
        <is>
          <t>643</t>
        </is>
      </c>
      <c r="B87" s="10" t="inlineStr">
        <is>
          <t>Servicios de Telecomunicaciones</t>
        </is>
      </c>
      <c r="C87" s="11" t="n">
        <v>575989787.7159444</v>
      </c>
      <c r="D87" s="11" t="n">
        <v>245967972.0493021</v>
      </c>
      <c r="E87" s="11" t="n">
        <v>2.589838165514056</v>
      </c>
      <c r="F87" s="11" t="n">
        <v>1.487625966047444</v>
      </c>
      <c r="G87" s="11" t="n">
        <v>1.757507652799481</v>
      </c>
      <c r="H87" s="11" t="n">
        <v>0.9509112178846405</v>
      </c>
    </row>
    <row r="88">
      <c r="A88" s="10" t="inlineStr">
        <is>
          <t>644</t>
        </is>
      </c>
      <c r="B88" s="10" t="inlineStr">
        <is>
          <t>Servicios de Internet</t>
        </is>
      </c>
      <c r="C88" s="11" t="n">
        <v>67684193.9216584</v>
      </c>
      <c r="D88" s="11" t="n">
        <v>29642447.74910013</v>
      </c>
      <c r="E88" s="11" t="n">
        <v>1.957869628514343</v>
      </c>
      <c r="F88" s="11" t="n">
        <v>1.124617644568337</v>
      </c>
      <c r="G88" s="11" t="n">
        <v>1.805923120660389</v>
      </c>
      <c r="H88" s="11" t="n">
        <v>0.9771067291444274</v>
      </c>
    </row>
    <row r="89">
      <c r="A89" s="10" t="inlineStr">
        <is>
          <t>651 2</t>
        </is>
      </c>
      <c r="B89" s="10" t="inlineStr">
        <is>
          <t>651 2 - Intermediación monetaria</t>
        </is>
      </c>
      <c r="C89" s="11" t="n">
        <v>455263480.479704</v>
      </c>
      <c r="D89" s="11" t="n">
        <v>307377228.8073755</v>
      </c>
      <c r="E89" s="11" t="n">
        <v>1.44002715220107</v>
      </c>
      <c r="F89" s="11" t="n">
        <v>0.8271643425265757</v>
      </c>
      <c r="G89" s="11" t="n">
        <v>1.930693308063435</v>
      </c>
      <c r="H89" s="11" t="n">
        <v>1.044614469819205</v>
      </c>
    </row>
    <row r="90">
      <c r="A90" s="10" t="inlineStr">
        <is>
          <t>659</t>
        </is>
      </c>
      <c r="B90" s="10" t="inlineStr">
        <is>
          <t>Otros tipos de intermediación financiera</t>
        </is>
      </c>
      <c r="C90" s="11" t="n">
        <v>81114505.75183</v>
      </c>
      <c r="D90" s="11" t="n">
        <v>47224738.05326183</v>
      </c>
      <c r="E90" s="11" t="n">
        <v>1.576268466916666</v>
      </c>
      <c r="F90" s="11" t="n">
        <v>0.905422559629934</v>
      </c>
      <c r="G90" s="11" t="n">
        <v>1.937070330883836</v>
      </c>
      <c r="H90" s="11" t="n">
        <v>1.048064800477491</v>
      </c>
    </row>
    <row r="91">
      <c r="A91" s="10" t="inlineStr">
        <is>
          <t>66</t>
        </is>
      </c>
      <c r="B91" s="10" t="inlineStr">
        <is>
          <t>Financiación de planes de seguros y de pensiones, excepto los planes</t>
        </is>
      </c>
      <c r="C91" s="11" t="n">
        <v>258717618.5414099</v>
      </c>
      <c r="D91" s="11" t="n">
        <v>107361420.4997446</v>
      </c>
      <c r="E91" s="11" t="n">
        <v>1.780380562755376</v>
      </c>
      <c r="F91" s="11" t="n">
        <v>1.022666354164006</v>
      </c>
      <c r="G91" s="11" t="n">
        <v>1.46173022689649</v>
      </c>
      <c r="H91" s="11" t="n">
        <v>0.7908788721704186</v>
      </c>
    </row>
    <row r="92">
      <c r="A92" s="10" t="inlineStr">
        <is>
          <t>67</t>
        </is>
      </c>
      <c r="B92" s="10" t="inlineStr">
        <is>
          <t>ACTIVIDADES AUXILIARES DE LA INTERMEDIACIÓN</t>
        </is>
      </c>
      <c r="C92" s="11" t="n">
        <v>81330356.97881091</v>
      </c>
      <c r="D92" s="11" t="n">
        <v>54982012.99231762</v>
      </c>
      <c r="E92" s="11" t="n">
        <v>1.47623198481026</v>
      </c>
      <c r="F92" s="11" t="n">
        <v>0.847960718841905</v>
      </c>
      <c r="G92" s="11" t="n">
        <v>2.261123492049725</v>
      </c>
      <c r="H92" s="11" t="n">
        <v>1.22339592102925</v>
      </c>
    </row>
    <row r="93">
      <c r="A93" s="10" t="inlineStr">
        <is>
          <t>701 A</t>
        </is>
      </c>
      <c r="B93" s="10" t="inlineStr">
        <is>
          <t>701 A - Propiedad de la vivienda.</t>
        </is>
      </c>
      <c r="C93" s="11" t="n">
        <v>607600635.89763</v>
      </c>
      <c r="D93" s="11" t="n">
        <v>529303000.7032678</v>
      </c>
      <c r="E93" s="11" t="n">
        <v>1.161236628287598</v>
      </c>
      <c r="F93" s="11" t="n">
        <v>0.6670245978953385</v>
      </c>
      <c r="G93" s="11" t="n">
        <v>1</v>
      </c>
      <c r="H93" s="11" t="n">
        <v>0.5410566584845093</v>
      </c>
    </row>
    <row r="94">
      <c r="A94" s="10" t="inlineStr">
        <is>
          <t>701 B</t>
        </is>
      </c>
      <c r="B94" s="10" t="inlineStr">
        <is>
          <t>701 B - Alquiler de los sectores productores.</t>
        </is>
      </c>
      <c r="C94" s="11" t="n">
        <v>167849999</v>
      </c>
      <c r="D94" s="11" t="n">
        <v>119899268.6214345</v>
      </c>
      <c r="E94" s="11" t="n">
        <v>1.352284526936177</v>
      </c>
      <c r="F94" s="11" t="n">
        <v>0.776764201926548</v>
      </c>
      <c r="G94" s="11" t="n">
        <v>2.475583112522551</v>
      </c>
      <c r="H94" s="11" t="n">
        <v>1.339430726662133</v>
      </c>
    </row>
    <row r="95">
      <c r="A95" s="10" t="inlineStr">
        <is>
          <t>702</t>
        </is>
      </c>
      <c r="B95" s="10" t="inlineStr">
        <is>
          <t>Actividades inmobiliarias realizadas a cambio de una retribución o por contrata</t>
        </is>
      </c>
      <c r="C95" s="11" t="n">
        <v>31701853.272081</v>
      </c>
      <c r="D95" s="11" t="n">
        <v>20407741.10225508</v>
      </c>
      <c r="E95" s="11" t="n">
        <v>1.541519643680069</v>
      </c>
      <c r="F95" s="11" t="n">
        <v>0.8854625279859899</v>
      </c>
      <c r="G95" s="11" t="n">
        <v>1.469969832884404</v>
      </c>
      <c r="H95" s="11" t="n">
        <v>0.7953369658534682</v>
      </c>
    </row>
    <row r="96">
      <c r="A96" s="10" t="inlineStr">
        <is>
          <t>71</t>
        </is>
      </c>
      <c r="B96" s="10" t="inlineStr">
        <is>
          <t>ALQUILER DE MAQUINARIA Y EQUIPO SIN OPERARIOS Y DE EFECTOS PERSONALES Y ENSERES DOMÉSTICOS</t>
        </is>
      </c>
      <c r="C96" s="11" t="n">
        <v>60887320.89509852</v>
      </c>
      <c r="D96" s="11" t="n">
        <v>46870442.04780297</v>
      </c>
      <c r="E96" s="11" t="n">
        <v>1.316126865142257</v>
      </c>
      <c r="F96" s="11" t="n">
        <v>0.7559949209450391</v>
      </c>
      <c r="G96" s="11" t="n">
        <v>2.735179960743836</v>
      </c>
      <c r="H96" s="11" t="n">
        <v>1.479887329913851</v>
      </c>
    </row>
    <row r="97">
      <c r="A97" s="10" t="inlineStr">
        <is>
          <t>72</t>
        </is>
      </c>
      <c r="B97" s="10" t="inlineStr">
        <is>
          <t>Informática y actividades conexas</t>
        </is>
      </c>
      <c r="C97" s="11" t="n">
        <v>272788823.6649047</v>
      </c>
      <c r="D97" s="11" t="n">
        <v>138894945.3879527</v>
      </c>
      <c r="E97" s="11" t="n">
        <v>1.83769887952313</v>
      </c>
      <c r="F97" s="11" t="n">
        <v>1.055590502664582</v>
      </c>
      <c r="G97" s="11" t="n">
        <v>2.2963740080482</v>
      </c>
      <c r="H97" s="11" t="n">
        <v>1.242468447425239</v>
      </c>
    </row>
    <row r="98">
      <c r="A98" s="10" t="inlineStr">
        <is>
          <t>73 PR</t>
        </is>
      </c>
      <c r="B98" s="10" t="inlineStr">
        <is>
          <t>Servicios de Investigación y Desarrollo - PRIVADO</t>
        </is>
      </c>
      <c r="C98" s="11" t="n">
        <v>15832801.4376226</v>
      </c>
      <c r="D98" s="11" t="n">
        <v>8913622.149555121</v>
      </c>
      <c r="E98" s="11" t="n">
        <v>1.568772517320459</v>
      </c>
      <c r="F98" s="11" t="n">
        <v>0.9011168198319853</v>
      </c>
      <c r="G98" s="11" t="n">
        <v>1.4638786393493</v>
      </c>
      <c r="H98" s="11" t="n">
        <v>0.7920412850331823</v>
      </c>
    </row>
    <row r="99">
      <c r="A99" s="10" t="inlineStr">
        <is>
          <t>73 PU</t>
        </is>
      </c>
      <c r="B99" s="10" t="inlineStr">
        <is>
          <t>Servicios de Investigación y Desarrollo - PUBLICO</t>
        </is>
      </c>
      <c r="C99" s="11" t="n">
        <v>27751112.4590389</v>
      </c>
      <c r="D99" s="11" t="n">
        <v>21543111.7757132</v>
      </c>
      <c r="E99" s="11" t="n">
        <v>1.296699446193112</v>
      </c>
      <c r="F99" s="11" t="n">
        <v>0.7448356395401743</v>
      </c>
      <c r="G99" s="11" t="n">
        <v>1</v>
      </c>
      <c r="H99" s="11" t="n">
        <v>0.5410566584845093</v>
      </c>
    </row>
    <row r="100">
      <c r="A100" s="10" t="inlineStr">
        <is>
          <t>74</t>
        </is>
      </c>
      <c r="B100" s="10" t="inlineStr">
        <is>
          <t>OTRAS ACTIVIDADES EMPRESARIALES</t>
        </is>
      </c>
      <c r="C100" s="11" t="n">
        <v>951474582.6624175</v>
      </c>
      <c r="D100" s="11" t="n">
        <v>621389920.6067474</v>
      </c>
      <c r="E100" s="11" t="n">
        <v>1.520646863579097</v>
      </c>
      <c r="F100" s="11" t="n">
        <v>0.8734730183419998</v>
      </c>
      <c r="G100" s="11" t="n">
        <v>2.325080858694848</v>
      </c>
      <c r="H100" s="11" t="n">
        <v>1.258000480111728</v>
      </c>
    </row>
    <row r="101">
      <c r="A101" s="10" t="inlineStr">
        <is>
          <t>75</t>
        </is>
      </c>
      <c r="B101" s="10" t="inlineStr">
        <is>
          <t>Administración Pública y Defensa; Planes de Seguridad Social de Afiliación Obligatoria</t>
        </is>
      </c>
      <c r="C101" s="11" t="n">
        <v>1447169018.23894</v>
      </c>
      <c r="D101" s="11" t="n">
        <v>1039301432.110558</v>
      </c>
      <c r="E101" s="11" t="n">
        <v>1.374004322749601</v>
      </c>
      <c r="F101" s="11" t="n">
        <v>0.7892402448930728</v>
      </c>
      <c r="G101" s="11" t="n">
        <v>1.01471003789256</v>
      </c>
      <c r="H101" s="11" t="n">
        <v>0.5490156224328382</v>
      </c>
    </row>
    <row r="102">
      <c r="A102" s="10" t="inlineStr">
        <is>
          <t>80 PR</t>
        </is>
      </c>
      <c r="B102" s="10" t="inlineStr">
        <is>
          <t>Enseñanza Privada - Adultos y otros servicios de enseñanza</t>
        </is>
      </c>
      <c r="C102" s="11" t="n">
        <v>302748934.596025</v>
      </c>
      <c r="D102" s="11" t="n">
        <v>189683810.2843123</v>
      </c>
      <c r="E102" s="11" t="n">
        <v>1.530717200162259</v>
      </c>
      <c r="F102" s="11" t="n">
        <v>0.8792575088122666</v>
      </c>
      <c r="G102" s="11" t="n">
        <v>1.058070183220726</v>
      </c>
      <c r="H102" s="11" t="n">
        <v>0.5724759177754989</v>
      </c>
    </row>
    <row r="103">
      <c r="A103" s="10" t="inlineStr">
        <is>
          <t>80 PU</t>
        </is>
      </c>
      <c r="B103" s="10" t="inlineStr">
        <is>
          <t>Enseñanza Pública - Todos los niveles</t>
        </is>
      </c>
      <c r="C103" s="11" t="n">
        <v>616716867.110312</v>
      </c>
      <c r="D103" s="11" t="n">
        <v>584060019.0227115</v>
      </c>
      <c r="E103" s="11" t="n">
        <v>1.077372574987869</v>
      </c>
      <c r="F103" s="11" t="n">
        <v>0.6188523433630174</v>
      </c>
      <c r="G103" s="11" t="n">
        <v>1</v>
      </c>
      <c r="H103" s="11" t="n">
        <v>0.5410566584845093</v>
      </c>
    </row>
    <row r="104">
      <c r="A104" s="10" t="inlineStr">
        <is>
          <t>85 PR</t>
        </is>
      </c>
      <c r="B104" s="10" t="inlineStr">
        <is>
          <t>SERVICIOS SOCIALES Y DE SALUD - Privados</t>
        </is>
      </c>
      <c r="C104" s="11" t="n">
        <v>867694715.2260288</v>
      </c>
      <c r="D104" s="11" t="n">
        <v>534098822.6220203</v>
      </c>
      <c r="E104" s="11" t="n">
        <v>1.48539503541127</v>
      </c>
      <c r="F104" s="11" t="n">
        <v>0.8532240562132435</v>
      </c>
      <c r="G104" s="11" t="n">
        <v>1.26813610983828</v>
      </c>
      <c r="H104" s="11" t="n">
        <v>0.6861334860926447</v>
      </c>
    </row>
    <row r="105">
      <c r="A105" s="10" t="inlineStr">
        <is>
          <t>85 PU</t>
        </is>
      </c>
      <c r="B105" s="10" t="inlineStr">
        <is>
          <t>SERVICIOS SOCIALES Y DE SALUD - Públicos</t>
        </is>
      </c>
      <c r="C105" s="11" t="n">
        <v>280628174</v>
      </c>
      <c r="D105" s="11" t="n">
        <v>198861273.4907563</v>
      </c>
      <c r="E105" s="11" t="n">
        <v>1.326715076112973</v>
      </c>
      <c r="F105" s="11" t="n">
        <v>0.7620768830474468</v>
      </c>
      <c r="G105" s="11" t="n">
        <v>1</v>
      </c>
      <c r="H105" s="11" t="n">
        <v>0.5410566584845093</v>
      </c>
    </row>
    <row r="106">
      <c r="A106" s="10" t="inlineStr">
        <is>
          <t>900</t>
        </is>
      </c>
      <c r="B106" s="10" t="inlineStr">
        <is>
          <t>Eliminación de desperdicios y aguas residuales, saneamiento y servicios similares</t>
        </is>
      </c>
      <c r="C106" s="11" t="n">
        <v>103838386.659027</v>
      </c>
      <c r="D106" s="11" t="n">
        <v>70403243.33991525</v>
      </c>
      <c r="E106" s="11" t="n">
        <v>1.406420524762727</v>
      </c>
      <c r="F106" s="11" t="n">
        <v>0.8078603982592167</v>
      </c>
      <c r="G106" s="11" t="n">
        <v>1.923768131405924</v>
      </c>
      <c r="H106" s="11" t="n">
        <v>1.040867556877478</v>
      </c>
    </row>
    <row r="107">
      <c r="A107" s="10" t="inlineStr">
        <is>
          <t>919</t>
        </is>
      </c>
      <c r="B107" s="10" t="inlineStr">
        <is>
          <t>Servicios de asociaciones n.c.p.</t>
        </is>
      </c>
      <c r="C107" s="11" t="n">
        <v>295656762.0899636</v>
      </c>
      <c r="D107" s="11" t="n">
        <v>152194247.554107</v>
      </c>
      <c r="E107" s="11" t="n">
        <v>1.650559753332703</v>
      </c>
      <c r="F107" s="11" t="n">
        <v>0.9480961321315687</v>
      </c>
      <c r="G107" s="11" t="n">
        <v>1.039548128914103</v>
      </c>
      <c r="H107" s="11" t="n">
        <v>0.5624544369640887</v>
      </c>
    </row>
    <row r="108">
      <c r="A108" s="10" t="inlineStr">
        <is>
          <t>92</t>
        </is>
      </c>
      <c r="B108" s="10" t="inlineStr">
        <is>
          <t>ACTIVIDADES DE ESPARCIMIENTO Y ACTIVIDADES CULTURALES Y DEPORTIVAS</t>
        </is>
      </c>
      <c r="C108" s="11" t="n">
        <v>232392457.8844405</v>
      </c>
      <c r="D108" s="11" t="n">
        <v>111732615.7386819</v>
      </c>
      <c r="E108" s="11" t="n">
        <v>2.080318539555022</v>
      </c>
      <c r="F108" s="11" t="n">
        <v>1.194953382918301</v>
      </c>
      <c r="G108" s="11" t="n">
        <v>1.500086601786423</v>
      </c>
      <c r="H108" s="11" t="n">
        <v>0.8116318441999449</v>
      </c>
    </row>
    <row r="109">
      <c r="A109" s="10" t="inlineStr">
        <is>
          <t>930</t>
        </is>
      </c>
      <c r="B109" s="10" t="inlineStr">
        <is>
          <t>Otras actividades de servicios</t>
        </is>
      </c>
      <c r="C109" s="11" t="n">
        <v>71939460.22886358</v>
      </c>
      <c r="D109" s="11" t="n">
        <v>55642070.92995033</v>
      </c>
      <c r="E109" s="11" t="n">
        <v>1.265981493670997</v>
      </c>
      <c r="F109" s="11" t="n">
        <v>0.7271909757136065</v>
      </c>
      <c r="G109" s="11" t="n">
        <v>1.107704739507677</v>
      </c>
      <c r="H109" s="11" t="n">
        <v>0.5993310249454774</v>
      </c>
    </row>
    <row r="110">
      <c r="A110" s="10" t="inlineStr">
        <is>
          <t>950</t>
        </is>
      </c>
      <c r="B110" s="10" t="inlineStr">
        <is>
          <t>Servicios de hogares privados que contratan servicio doméstico</t>
        </is>
      </c>
      <c r="C110" s="11" t="n">
        <v>96676208.9653701</v>
      </c>
      <c r="D110" s="11" t="n">
        <v>96676208.9653701</v>
      </c>
      <c r="E110" s="11" t="n">
        <v>1</v>
      </c>
      <c r="F110" s="11" t="n">
        <v>0.5744088514319063</v>
      </c>
      <c r="G110" s="11" t="n">
        <v>1</v>
      </c>
      <c r="H110" s="11" t="n">
        <v>0.5410566584845093</v>
      </c>
    </row>
    <row r="111"/>
    <row r="112"/>
    <row r="113">
      <c r="A113" s="10" t="inlineStr">
        <is>
          <t>Validacion contable y matematica</t>
        </is>
      </c>
    </row>
    <row r="114">
      <c r="A114" s="10" t="inlineStr">
        <is>
          <t>prueba</t>
        </is>
      </c>
      <c r="B114" s="10" t="inlineStr">
        <is>
          <t>resultado</t>
        </is>
      </c>
      <c r="C114" s="10" t="inlineStr">
        <is>
          <t>lectura</t>
        </is>
      </c>
    </row>
    <row r="115">
      <c r="A115" s="10" t="inlineStr">
        <is>
          <t>sectores</t>
        </is>
      </c>
      <c r="B115" s="11" t="n">
        <v>107</v>
      </c>
      <c r="C115" s="10" t="inlineStr">
        <is>
          <t>Cantidad de sectores de la MIP.</t>
        </is>
      </c>
    </row>
    <row r="116">
      <c r="A116" s="10" t="inlineStr">
        <is>
          <t>cuadrada_Z_A_L</t>
        </is>
      </c>
      <c r="B116" s="38" t="b">
        <v>1</v>
      </c>
      <c r="C116" s="10" t="inlineStr">
        <is>
          <t>Z, A y L son matrices cuadradas.</t>
        </is>
      </c>
    </row>
    <row r="117">
      <c r="A117" s="10" t="inlineStr">
        <is>
          <t>max_abs_A_menos_Z_sobre_x</t>
        </is>
      </c>
      <c r="B117" s="11" t="n">
        <v>1.387778780781446e-16</v>
      </c>
      <c r="C117" s="10" t="inlineStr">
        <is>
          <t>Consistencia de coeficientes tecnicos.</t>
        </is>
      </c>
    </row>
    <row r="118">
      <c r="A118" s="10" t="inlineStr">
        <is>
          <t>max_abs_Leontief</t>
        </is>
      </c>
      <c r="B118" s="11" t="n">
        <v>1.332267629550188e-15</v>
      </c>
      <c r="C118" s="10" t="inlineStr">
        <is>
          <t>Residual (I-A)L - I.</t>
        </is>
      </c>
    </row>
    <row r="119">
      <c r="A119" s="10" t="inlineStr">
        <is>
          <t>max_abs_fila_x_menos_Z_menos_y</t>
        </is>
      </c>
      <c r="B119" s="11" t="n">
        <v>4.619359970092773e-07</v>
      </c>
      <c r="C119" s="10" t="inlineStr">
        <is>
          <t>Cierre por filas: x = ventas intermedias + demanda final.</t>
        </is>
      </c>
    </row>
    <row r="120">
      <c r="A120" s="10" t="inlineStr">
        <is>
          <t>max_abs_columna_x_menos_Z_menos_ajuste_menos_v</t>
        </is>
      </c>
      <c r="B120" s="11" t="n">
        <v>9.5367431640625e-07</v>
      </c>
      <c r="C120" s="10" t="inlineStr">
        <is>
          <t>Cierre por columnas con ajuste procesado.</t>
        </is>
      </c>
    </row>
    <row r="121">
      <c r="A121" s="10" t="inlineStr">
        <is>
          <t>max_abs_total_x_menos_Ztotal_menos_ajuste_no_asignado_menos_v</t>
        </is>
      </c>
      <c r="B121" s="11" t="n">
        <v>9.5367431640625e-07</v>
      </c>
      <c r="C121" s="10" t="inlineStr">
        <is>
          <t>Cierre Cuadro 3.</t>
        </is>
      </c>
    </row>
    <row r="122">
      <c r="A122" s="10" t="inlineStr">
        <is>
          <t>sectores_y_negativa</t>
        </is>
      </c>
      <c r="B122" s="11" t="n">
        <v>0</v>
      </c>
      <c r="C122" s="10" t="inlineStr">
        <is>
          <t>Demanda final total negativa.</t>
        </is>
      </c>
    </row>
    <row r="123">
      <c r="A123" s="10" t="inlineStr">
        <is>
          <t>min_y</t>
        </is>
      </c>
      <c r="B123" s="11" t="n">
        <v>0</v>
      </c>
      <c r="C123" s="10" t="inlineStr">
        <is>
          <t>Minimo de demanda final total.</t>
        </is>
      </c>
    </row>
    <row r="124">
      <c r="A124" s="10" t="inlineStr">
        <is>
          <t>sectores_va_negativo</t>
        </is>
      </c>
      <c r="B124" s="11" t="n">
        <v>0</v>
      </c>
      <c r="C124" s="10" t="inlineStr">
        <is>
          <t>Valor agregado negativo.</t>
        </is>
      </c>
    </row>
    <row r="125">
      <c r="A125" s="10" t="inlineStr">
        <is>
          <t>min_va</t>
        </is>
      </c>
      <c r="B125" s="11" t="n">
        <v>1138797.60114376</v>
      </c>
      <c r="C125" s="10" t="inlineStr">
        <is>
          <t>Minimo de valor agregado.</t>
        </is>
      </c>
    </row>
    <row r="126">
      <c r="A126" s="10" t="inlineStr">
        <is>
          <t>sectores_ajuste_negativo</t>
        </is>
      </c>
      <c r="B126" s="11" t="n">
        <v>8</v>
      </c>
      <c r="C126" s="10" t="inlineStr">
        <is>
          <t>Ajuste intermedio/importado con signo negativo.</t>
        </is>
      </c>
    </row>
    <row r="127">
      <c r="A127" s="10" t="inlineStr">
        <is>
          <t>min_ajuste</t>
        </is>
      </c>
      <c r="B127" s="11" t="n">
        <v>-226126268.6606633</v>
      </c>
      <c r="C127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INDEC/CEPAL</t>
        </is>
      </c>
    </row>
    <row r="5">
      <c r="A5" s="10" t="inlineStr">
        <is>
          <t>Ano</t>
        </is>
      </c>
      <c r="B5" s="10" t="inlineStr">
        <is>
          <t>2018</t>
        </is>
      </c>
    </row>
    <row r="6">
      <c r="A6" s="10" t="inlineStr">
        <is>
          <t>Archivo fuente COU/referencia</t>
        </is>
      </c>
      <c r="B6" s="10" t="inlineStr">
        <is>
          <t>data\processed\argentina\cou_argentina_2018.xlsx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2026-07-07T00:53:52Z</dcterms:created>
  <dcterms:modified xmlns:dcterms="http://purl.org/dc/terms/" xmlns:xsi="http://www.w3.org/2001/XMLSchema-instance" xsi:type="dcterms:W3CDTF">2026-07-07T00:54:01Z</dcterms:modified>
</cp:coreProperties>
</file>