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r_primero" sheetId="1" state="visible" r:id="rId1"/>
    <sheet xmlns:r="http://schemas.openxmlformats.org/officeDocument/2006/relationships" name="1_Mapa_simple" sheetId="2" state="visible" r:id="rId2"/>
    <sheet xmlns:r="http://schemas.openxmlformats.org/officeDocument/2006/relationships" name="2_Una_celda_Z" sheetId="3" state="visible" r:id="rId3"/>
    <sheet xmlns:r="http://schemas.openxmlformats.org/officeDocument/2006/relationships" name="3_Cierre_sin_susto" sheetId="4" state="visible" r:id="rId4"/>
    <sheet xmlns:r="http://schemas.openxmlformats.org/officeDocument/2006/relationships" name="4_De_Z_a_A_L" sheetId="5" state="visible" r:id="rId5"/>
    <sheet xmlns:r="http://schemas.openxmlformats.org/officeDocument/2006/relationships" name="5_Simulador_facil" sheetId="6" state="visible" r:id="rId6"/>
    <sheet xmlns:r="http://schemas.openxmlformats.org/officeDocument/2006/relationships" name="6_Glosario" sheetId="7" state="visible" r:id="rId7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3">
    <numFmt numFmtId="164" formatCode="#,##0.0000"/>
    <numFmt numFmtId="165" formatCode="0.0000"/>
    <numFmt numFmtId="166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color rgb="00667085"/>
      <sz val="10"/>
    </font>
    <font>
      <b val="1"/>
      <color rgb="00FFFFFF"/>
      <sz val="10"/>
    </font>
    <font>
      <b val="1"/>
      <color rgb="001F2937"/>
    </font>
  </fonts>
  <fills count="8">
    <fill>
      <patternFill/>
    </fill>
    <fill>
      <patternFill patternType="gray125"/>
    </fill>
    <fill>
      <patternFill patternType="solid">
        <fgColor rgb="00173B73"/>
      </patternFill>
    </fill>
    <fill>
      <patternFill patternType="solid">
        <fgColor rgb="00F8FAFC"/>
      </patternFill>
    </fill>
    <fill>
      <patternFill patternType="solid">
        <fgColor rgb="00D9EAFB"/>
      </patternFill>
    </fill>
    <fill>
      <patternFill patternType="solid">
        <fgColor rgb="00F8D7DA"/>
      </patternFill>
    </fill>
    <fill>
      <patternFill patternType="solid">
        <fgColor rgb="00DDF3E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4" fontId="0" fillId="3" borderId="1" applyAlignment="1" pivotButton="0" quotePrefix="0" xfId="0">
      <alignment vertical="center" wrapText="1"/>
    </xf>
    <xf numFmtId="1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5" fontId="0" fillId="3" borderId="1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166" fontId="0" fillId="7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Impacto por sector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'5_Simulador_facil'!F5</f>
            </strRef>
          </tx>
          <spPr>
            <a:ln xmlns:a="http://schemas.openxmlformats.org/drawingml/2006/main">
              <a:prstDash val="solid"/>
            </a:ln>
          </spPr>
          <cat>
            <numRef>
              <f>'5_Simulador_facil'!$A$6:$A$11</f>
            </numRef>
          </cat>
          <val>
            <numRef>
              <f>'5_Simulador_facil'!$F$6:$F$11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Delta 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30" customHeight="1">
      <c r="A1" s="1" t="inlineStr">
        <is>
          <t>Reconstruccion MIP para dummies</t>
        </is>
      </c>
    </row>
    <row r="2">
      <c r="A2" s="2" t="inlineStr">
        <is>
          <t>Caso: Brasil 2001, reconstruido desde COU.</t>
        </is>
      </c>
    </row>
    <row r="3"/>
    <row r="4">
      <c r="A4" s="3" t="inlineStr">
        <is>
          <t>Tema</t>
        </is>
      </c>
      <c r="B4" s="3" t="inlineStr">
        <is>
          <t>Explicacion</t>
        </is>
      </c>
    </row>
    <row r="5">
      <c r="A5" s="4" t="inlineStr">
        <is>
          <t>La pregunta</t>
        </is>
      </c>
      <c r="B5" s="4" t="inlineStr">
        <is>
          <t>Si el pais no publico una MIP directa para ese anio, como la reconstruimos desde COU?</t>
        </is>
      </c>
    </row>
    <row r="6">
      <c r="A6" s="5" t="inlineStr">
        <is>
          <t>La idea simple</t>
        </is>
      </c>
      <c r="B6" s="5" t="inlineStr">
        <is>
          <t>El COU dice que productos existen y quien los usa. La MIP traduce eso a sectores que venden y sectores que compran.</t>
        </is>
      </c>
    </row>
    <row r="7">
      <c r="A7" s="4" t="inlineStr">
        <is>
          <t>El truco</t>
        </is>
      </c>
      <c r="B7" s="4" t="inlineStr">
        <is>
          <t>Usamos D para repartir cada producto entre los sectores que lo producen.</t>
        </is>
      </c>
    </row>
    <row r="8">
      <c r="A8" s="5" t="inlineStr">
        <is>
          <t>La celda ejemplo</t>
        </is>
      </c>
      <c r="B8" s="5" t="inlineStr">
        <is>
          <t>Calculamos cuanto le vende 'Alimentos e Bebidas' a 'Comércio'.</t>
        </is>
      </c>
    </row>
    <row r="9">
      <c r="A9" s="4" t="inlineStr">
        <is>
          <t>El cierre</t>
        </is>
      </c>
      <c r="B9" s="4" t="inlineStr">
        <is>
          <t>Si queda una demanda final negativa muy pequena, la conciliamos con regla trazable; si es material, se deja alerta.</t>
        </is>
      </c>
    </row>
    <row r="10">
      <c r="A10" s="5" t="inlineStr">
        <is>
          <t>El simulador</t>
        </is>
      </c>
      <c r="B10" s="5" t="inlineStr">
        <is>
          <t>Despues de tener L, cambiamos demanda final y calculamos impacto en produccion.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8" customWidth="1" min="2" max="2"/>
    <col width="28" customWidth="1" min="3" max="3"/>
    <col width="80" customWidth="1" min="4" max="4"/>
  </cols>
  <sheetData>
    <row r="1" ht="30" customHeight="1">
      <c r="A1" s="1" t="inlineStr">
        <is>
          <t>Mapa simple del proceso</t>
        </is>
      </c>
    </row>
    <row r="2">
      <c r="A2" s="2" t="inlineStr">
        <is>
          <t>Lee de arriba hacia abajo. Cada paso tiene una hoja con un ejemplo.</t>
        </is>
      </c>
    </row>
    <row r="3"/>
    <row r="4">
      <c r="A4" s="3" t="inlineStr">
        <is>
          <t>Paso</t>
        </is>
      </c>
      <c r="B4" s="3" t="inlineStr">
        <is>
          <t>Nombre</t>
        </is>
      </c>
      <c r="C4" s="3" t="inlineStr">
        <is>
          <t>Formula</t>
        </is>
      </c>
      <c r="D4" s="3" t="inlineStr">
        <is>
          <t>En palabras</t>
        </is>
      </c>
    </row>
    <row r="5">
      <c r="A5" s="6" t="n">
        <v>1</v>
      </c>
      <c r="B5" s="4" t="inlineStr">
        <is>
          <t>COU</t>
        </is>
      </c>
      <c r="C5" s="4" t="inlineStr">
        <is>
          <t>Tabla de oferta V y utilizacion U.</t>
        </is>
      </c>
      <c r="D5" s="4" t="inlineStr">
        <is>
          <t>Quien produce cada producto y quien lo compra.</t>
        </is>
      </c>
    </row>
    <row r="6">
      <c r="A6" s="7" t="n">
        <v>2</v>
      </c>
      <c r="B6" s="5" t="inlineStr">
        <is>
          <t>D</t>
        </is>
      </c>
      <c r="C6" s="5" t="inlineStr">
        <is>
          <t>D = V / q.</t>
        </is>
      </c>
      <c r="D6" s="5" t="inlineStr">
        <is>
          <t>Reparte un producto entre sectores productores.</t>
        </is>
      </c>
    </row>
    <row r="7">
      <c r="A7" s="6" t="n">
        <v>3</v>
      </c>
      <c r="B7" s="4" t="inlineStr">
        <is>
          <t>Z_pre</t>
        </is>
      </c>
      <c r="C7" s="4" t="inlineStr">
        <is>
          <t>Z_pre = D @ U.</t>
        </is>
      </c>
      <c r="D7" s="4" t="inlineStr">
        <is>
          <t>Convierte producto x sector en sector x sector.</t>
        </is>
      </c>
    </row>
    <row r="8">
      <c r="A8" s="7" t="n">
        <v>4</v>
      </c>
      <c r="B8" s="5" t="inlineStr">
        <is>
          <t>Cierre</t>
        </is>
      </c>
      <c r="C8" s="5" t="inlineStr">
        <is>
          <t>RAS menor cuando aplica.</t>
        </is>
      </c>
      <c r="D8" s="5" t="inlineStr">
        <is>
          <t>Cierra negativos pequenos sin mover valor agregado residual.</t>
        </is>
      </c>
    </row>
    <row r="9">
      <c r="A9" s="6" t="n">
        <v>5</v>
      </c>
      <c r="B9" s="4" t="inlineStr">
        <is>
          <t>A y L</t>
        </is>
      </c>
      <c r="C9" s="4" t="inlineStr">
        <is>
          <t>A = Z/g; L = (I-A)^-1.</t>
        </is>
      </c>
      <c r="D9" s="4" t="inlineStr">
        <is>
          <t>Prepara multiplicadores y simulador.</t>
        </is>
      </c>
    </row>
    <row r="10">
      <c r="A10" s="7" t="n">
        <v>6</v>
      </c>
      <c r="B10" s="5" t="inlineStr">
        <is>
          <t>Choque</t>
        </is>
      </c>
      <c r="C10" s="5" t="inlineStr">
        <is>
          <t>Delta g = L @ Delta f.</t>
        </is>
      </c>
      <c r="D10" s="5" t="inlineStr">
        <is>
          <t>Calcula impacto de una variacion de demanda final.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0" customWidth="1" min="3" max="3"/>
    <col width="18" customWidth="1" min="4" max="4"/>
  </cols>
  <sheetData>
    <row r="1" ht="30" customHeight="1">
      <c r="A1" s="1" t="inlineStr">
        <is>
          <t>Una celda de Z paso a paso</t>
        </is>
      </c>
    </row>
    <row r="2">
      <c r="A2" s="2" t="inlineStr">
        <is>
          <t>Ejemplo: sector vendedor Alimentos -&gt; sector comprador Comercio.</t>
        </is>
      </c>
    </row>
    <row r="3"/>
    <row r="4">
      <c r="A4" s="8" t="inlineStr">
        <is>
          <t>Sector vendedor</t>
        </is>
      </c>
      <c r="B4" s="4" t="inlineStr">
        <is>
          <t>Alimentos e Bebidas</t>
        </is>
      </c>
    </row>
    <row r="5">
      <c r="A5" s="8" t="inlineStr">
        <is>
          <t>Sector comprador</t>
        </is>
      </c>
      <c r="B5" s="4" t="inlineStr">
        <is>
          <t>Comércio</t>
        </is>
      </c>
    </row>
    <row r="6">
      <c r="A6" s="8" t="inlineStr">
        <is>
          <t>Que queremos calcular</t>
        </is>
      </c>
      <c r="B6" s="4" t="inlineStr">
        <is>
          <t>Una celda de Z: cuanto vende el sector fila al sector columna.</t>
        </is>
      </c>
    </row>
    <row r="7"/>
    <row r="8"/>
    <row r="9">
      <c r="A9" s="3" t="inlineStr">
        <is>
          <t>Producto</t>
        </is>
      </c>
      <c r="B9" s="3" t="inlineStr">
        <is>
          <t>D: parte producida por Alimentos</t>
        </is>
      </c>
      <c r="C9" s="3" t="inlineStr">
        <is>
          <t>U: uso de Comercio</t>
        </is>
      </c>
      <c r="D9" s="3" t="inlineStr">
        <is>
          <t>Aporte D x U</t>
        </is>
      </c>
    </row>
    <row r="10">
      <c r="A10" s="4" t="inlineStr">
        <is>
          <t>Farinha de trigo e derivados</t>
        </is>
      </c>
      <c r="B10" s="9" t="n">
        <v>0.9701105346266637</v>
      </c>
      <c r="C10" s="9" t="n">
        <v>456.5627967096782</v>
      </c>
      <c r="D10" s="4">
        <f>B10*C10</f>
        <v/>
      </c>
    </row>
    <row r="11">
      <c r="A11" s="5" t="inlineStr">
        <is>
          <t>Atividades imobiliárias e aluguéis</t>
        </is>
      </c>
      <c r="B11" s="10" t="n">
        <v>0.01274017401618864</v>
      </c>
      <c r="C11" s="10" t="n">
        <v>9228.017346834096</v>
      </c>
      <c r="D11" s="5">
        <f>B11*C11</f>
        <v/>
      </c>
    </row>
    <row r="12">
      <c r="A12" s="4" t="inlineStr">
        <is>
          <t>Comércio</t>
        </is>
      </c>
      <c r="B12" s="9" t="n">
        <v>0.01003111943344565</v>
      </c>
      <c r="C12" s="9" t="n">
        <v>8425.680741413787</v>
      </c>
      <c r="D12" s="4">
        <f>B12*C12</f>
        <v/>
      </c>
    </row>
    <row r="13">
      <c r="A13" s="5" t="inlineStr">
        <is>
          <t>Carne de aves fresca refrigerada ou congelada</t>
        </is>
      </c>
      <c r="B13" s="10" t="n">
        <v>0.8973944198992251</v>
      </c>
      <c r="C13" s="10" t="n">
        <v>65.68415916234467</v>
      </c>
      <c r="D13" s="5">
        <f>B13*C13</f>
        <v/>
      </c>
    </row>
    <row r="14">
      <c r="A14" s="4" t="inlineStr">
        <is>
          <t>Álcool</t>
        </is>
      </c>
      <c r="B14" s="9" t="n">
        <v>0.4628788479744388</v>
      </c>
      <c r="C14" s="9" t="n">
        <v>96.64464767358582</v>
      </c>
      <c r="D14" s="4">
        <f>B14*C14</f>
        <v/>
      </c>
    </row>
    <row r="15">
      <c r="A15" s="5" t="inlineStr">
        <is>
          <t>Outros produtos alimentares</t>
        </is>
      </c>
      <c r="B15" s="10" t="n">
        <v>0.8395002542518001</v>
      </c>
      <c r="C15" s="10" t="n">
        <v>36.30804984030347</v>
      </c>
      <c r="D15" s="5">
        <f>B15*C15</f>
        <v/>
      </c>
    </row>
    <row r="16">
      <c r="A16" s="4" t="inlineStr">
        <is>
          <t>Outros óleos e gordura vegetal e animal exclusive milho</t>
        </is>
      </c>
      <c r="B16" s="9" t="n">
        <v>0.9965419745366678</v>
      </c>
      <c r="C16" s="9" t="n">
        <v>30.5713403096334</v>
      </c>
      <c r="D16" s="4">
        <f>B16*C16</f>
        <v/>
      </c>
    </row>
    <row r="17">
      <c r="A17" s="5" t="inlineStr">
        <is>
          <t>Café torrado e moído</t>
        </is>
      </c>
      <c r="B17" s="10" t="n">
        <v>0.9921538384955991</v>
      </c>
      <c r="C17" s="10" t="n">
        <v>24.59404912810504</v>
      </c>
      <c r="D17" s="5">
        <f>B17*C17</f>
        <v/>
      </c>
    </row>
    <row r="18">
      <c r="A18" s="4" t="inlineStr">
        <is>
          <t>Óleos de milho amidos e féculas vegetais e rações</t>
        </is>
      </c>
      <c r="B18" s="9" t="n">
        <v>0.9800880712996263</v>
      </c>
      <c r="C18" s="9" t="n">
        <v>23.23876161203967</v>
      </c>
      <c r="D18" s="4">
        <f>B18*C18</f>
        <v/>
      </c>
    </row>
    <row r="19">
      <c r="A19" s="5" t="inlineStr">
        <is>
          <t>Produção e distribuição de eletricidade gás água esgoto e limpeza urbana</t>
        </is>
      </c>
      <c r="B19" s="10" t="n">
        <v>0.004462553955351539</v>
      </c>
      <c r="C19" s="10" t="n">
        <v>4507.241559093917</v>
      </c>
      <c r="D19" s="5">
        <f>B19*C19</f>
        <v/>
      </c>
    </row>
    <row r="20">
      <c r="A20" s="4" t="inlineStr">
        <is>
          <t>Otros productos</t>
        </is>
      </c>
      <c r="B20" s="4" t="inlineStr"/>
      <c r="C20" s="4" t="inlineStr"/>
      <c r="D20" s="9" t="n">
        <v>71.24582909417344</v>
      </c>
    </row>
    <row r="21"/>
    <row r="22">
      <c r="C22" s="4" t="inlineStr">
        <is>
          <t>Z_pre calculada</t>
        </is>
      </c>
      <c r="D22" s="4">
        <f>SUM(D10:D20)</f>
        <v/>
      </c>
    </row>
    <row r="23">
      <c r="C23" s="4" t="inlineStr">
        <is>
          <t>Z_pre guardada por pipeline</t>
        </is>
      </c>
      <c r="D23" s="9" t="n">
        <v>948.1642884855382</v>
      </c>
    </row>
    <row r="24">
      <c r="C24" s="4" t="inlineStr">
        <is>
          <t>Diferencia</t>
        </is>
      </c>
      <c r="D24" s="4">
        <f>D22-D23</f>
        <v/>
      </c>
    </row>
    <row r="25"/>
    <row r="26">
      <c r="A26" s="4" t="inlineStr">
        <is>
          <t>Lectura</t>
        </is>
      </c>
      <c r="B26" s="4" t="inlineStr">
        <is>
          <t>Esta suma es una sola celda de la matriz Z previa. El pipeline repite esto para todos los pares sector-sector.</t>
        </is>
      </c>
    </row>
  </sheetData>
  <mergeCells count="3">
    <mergeCell ref="B26:D26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  <col width="72" customWidth="1" min="2" max="2"/>
    <col width="16" customWidth="1" min="3" max="3"/>
    <col width="16" customWidth="1" min="4" max="4"/>
  </cols>
  <sheetData>
    <row r="1" ht="30" customHeight="1">
      <c r="A1" s="1" t="inlineStr">
        <is>
          <t>El cierre menor, sin drama</t>
        </is>
      </c>
    </row>
    <row r="2">
      <c r="A2" s="2" t="inlineStr">
        <is>
          <t>Caso real: Brasil 2001 tenia un negativo pequeno en Tintas.</t>
        </is>
      </c>
    </row>
    <row r="3"/>
    <row r="4">
      <c r="A4" s="3" t="inlineStr">
        <is>
          <t>Campo</t>
        </is>
      </c>
      <c r="B4" s="3" t="inlineStr">
        <is>
          <t>Valor</t>
        </is>
      </c>
    </row>
    <row r="5">
      <c r="A5" s="4" t="inlineStr">
        <is>
          <t>Sector</t>
        </is>
      </c>
      <c r="B5" s="4" t="inlineStr">
        <is>
          <t>Tintas vernizes esmaltes e lacas</t>
        </is>
      </c>
    </row>
    <row r="6">
      <c r="A6" s="5" t="inlineStr">
        <is>
          <t>Demanda final antes</t>
        </is>
      </c>
      <c r="B6" s="7" t="n">
        <v>-94.26034710851117</v>
      </c>
    </row>
    <row r="7">
      <c r="A7" s="4" t="inlineStr">
        <is>
          <t>Produccion bruta</t>
        </is>
      </c>
      <c r="B7" s="11" t="n">
        <v>5261.424040213389</v>
      </c>
    </row>
    <row r="8">
      <c r="A8" s="5" t="inlineStr">
        <is>
          <t>Negativo como % de produccion</t>
        </is>
      </c>
      <c r="B8" s="7" t="n">
        <v>-0.0179153678525193</v>
      </c>
    </row>
    <row r="9">
      <c r="A9" s="4" t="inlineStr">
        <is>
          <t>Decision</t>
        </is>
      </c>
      <c r="B9" s="12" t="inlineStr">
        <is>
          <t>Como era pequeno, se lleva a cero con regla documentada.</t>
        </is>
      </c>
    </row>
    <row r="10">
      <c r="A10" s="5" t="inlineStr">
        <is>
          <t>Demanda final despues</t>
        </is>
      </c>
      <c r="B10" s="7" t="n">
        <v>0</v>
      </c>
    </row>
    <row r="11">
      <c r="A11" s="4" t="inlineStr">
        <is>
          <t>Que no se mueve</t>
        </is>
      </c>
      <c r="B11" s="4" t="inlineStr">
        <is>
          <t>La produccion g y los totales de columna de Z.</t>
        </is>
      </c>
    </row>
    <row r="12">
      <c r="A12" s="5" t="inlineStr">
        <is>
          <t>Donde queda la evidencia</t>
        </is>
      </c>
      <c r="B12" s="5" t="inlineStr">
        <is>
          <t>Hojas ajuste_cierre y Z_pre_conciliacion en el Excel final.</t>
        </is>
      </c>
    </row>
    <row r="13"/>
    <row r="14"/>
    <row r="15">
      <c r="A15" s="4" t="inlineStr">
        <is>
          <t>En palabras</t>
        </is>
      </c>
      <c r="B15" s="4" t="inlineStr">
        <is>
          <t>No se cambia toda la matriz para que 'se vea bonita'. Se corrige un cierre pequeno, se deja la matriz previa y se registra el ajuste.</t>
        </is>
      </c>
    </row>
  </sheetData>
  <mergeCells count="3">
    <mergeCell ref="B15:D15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2" customWidth="1" min="3" max="3"/>
    <col width="22" customWidth="1" min="4" max="4"/>
  </cols>
  <sheetData>
    <row r="1" ht="30" customHeight="1">
      <c r="A1" s="1" t="inlineStr">
        <is>
          <t>De Z a coeficientes y multiplicadores</t>
        </is>
      </c>
    </row>
    <row r="2">
      <c r="A2" s="2" t="inlineStr">
        <is>
          <t>Ahora que tenemos Z_final, calculamos A y usamos L para impactos.</t>
        </is>
      </c>
    </row>
    <row r="3"/>
    <row r="4">
      <c r="A4" s="3" t="inlineStr">
        <is>
          <t>Proveedor fila</t>
        </is>
      </c>
      <c r="B4" s="3" t="inlineStr">
        <is>
          <t>Z_final hacia Comércio</t>
        </is>
      </c>
      <c r="C4" s="3" t="inlineStr">
        <is>
          <t>Produccion de Comércio</t>
        </is>
      </c>
      <c r="D4" s="3" t="inlineStr">
        <is>
          <t>A = Z / g comprador</t>
        </is>
      </c>
    </row>
    <row r="5">
      <c r="A5" s="4" t="inlineStr">
        <is>
          <t>Serviços prestados às empresas</t>
        </is>
      </c>
      <c r="B5" s="9" t="n">
        <v>11661.00850613451</v>
      </c>
      <c r="C5" s="9" t="n">
        <v>172998.5776728991</v>
      </c>
      <c r="D5" s="13">
        <f>B5/C5</f>
        <v/>
      </c>
    </row>
    <row r="6">
      <c r="A6" s="5" t="inlineStr">
        <is>
          <t>Transporte armazenagem e correio</t>
        </is>
      </c>
      <c r="B6" s="10" t="n">
        <v>10203.51341620913</v>
      </c>
      <c r="C6" s="10" t="n">
        <v>172998.5776728991</v>
      </c>
      <c r="D6" s="14">
        <f>B6/C6</f>
        <v/>
      </c>
    </row>
    <row r="7">
      <c r="A7" s="4" t="inlineStr">
        <is>
          <t>Comércio</t>
        </is>
      </c>
      <c r="B7" s="9" t="n">
        <v>8972.08591438811</v>
      </c>
      <c r="C7" s="9" t="n">
        <v>172998.5776728991</v>
      </c>
      <c r="D7" s="13">
        <f>B7/C7</f>
        <v/>
      </c>
    </row>
    <row r="8">
      <c r="A8" s="5" t="inlineStr">
        <is>
          <t>Intermediação financeira seguros e previdência complementar e serviços relacionados</t>
        </is>
      </c>
      <c r="B8" s="10" t="n">
        <v>7199.409815699025</v>
      </c>
      <c r="C8" s="10" t="n">
        <v>172998.5776728991</v>
      </c>
      <c r="D8" s="14">
        <f>B8/C8</f>
        <v/>
      </c>
    </row>
    <row r="9">
      <c r="A9" s="4" t="inlineStr">
        <is>
          <t>Atividades imobiliárias e aluguéis</t>
        </is>
      </c>
      <c r="B9" s="9" t="n">
        <v>6383.211958499814</v>
      </c>
      <c r="C9" s="9" t="n">
        <v>172998.5776728991</v>
      </c>
      <c r="D9" s="13">
        <f>B9/C9</f>
        <v/>
      </c>
    </row>
    <row r="10">
      <c r="A10" s="5" t="inlineStr">
        <is>
          <t>Produção e distribuição de eletricidade gás água esgoto e limpeza urbana</t>
        </is>
      </c>
      <c r="B10" s="10" t="n">
        <v>4452.398572597825</v>
      </c>
      <c r="C10" s="10" t="n">
        <v>172998.5776728991</v>
      </c>
      <c r="D10" s="14">
        <f>B10/C10</f>
        <v/>
      </c>
    </row>
    <row r="11">
      <c r="A11" s="4" t="inlineStr">
        <is>
          <t>Serviços de informação</t>
        </is>
      </c>
      <c r="B11" s="9" t="n">
        <v>3969.918757906644</v>
      </c>
      <c r="C11" s="9" t="n">
        <v>172998.5776728991</v>
      </c>
      <c r="D11" s="13">
        <f>B11/C11</f>
        <v/>
      </c>
    </row>
    <row r="12">
      <c r="A12" s="5" t="inlineStr">
        <is>
          <t>Peças e acessórios para veículos automotores</t>
        </is>
      </c>
      <c r="B12" s="10" t="n">
        <v>2675.273630012711</v>
      </c>
      <c r="C12" s="10" t="n">
        <v>172998.5776728991</v>
      </c>
      <c r="D12" s="14">
        <f>B12/C12</f>
        <v/>
      </c>
    </row>
    <row r="13"/>
    <row r="14"/>
    <row r="15"/>
    <row r="16">
      <c r="A16" s="4" t="inlineStr">
        <is>
          <t>Lectura</t>
        </is>
      </c>
      <c r="B16" s="4" t="inlineStr">
        <is>
          <t>Si A = 0,10, producir 1 unidad del comprador requiere 0,10 unidades del proveedor.</t>
        </is>
      </c>
    </row>
    <row r="17"/>
    <row r="18">
      <c r="A18" s="4" t="inlineStr">
        <is>
          <t>Multiplicador simple mostrado</t>
        </is>
      </c>
      <c r="B18" s="9" t="n">
        <v>1.776489710473012</v>
      </c>
      <c r="C18" s="4" t="inlineStr">
        <is>
          <t>Suma de la columna/sector en el bloque L visible.</t>
        </is>
      </c>
    </row>
  </sheetData>
  <mergeCells count="3">
    <mergeCell ref="A2:H2"/>
    <mergeCell ref="B16:D16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30" customHeight="1">
      <c r="A1" s="1" t="inlineStr">
        <is>
          <t>Simulador facil</t>
        </is>
      </c>
    </row>
    <row r="2">
      <c r="A2" s="2" t="inlineStr">
        <is>
          <t>Cambia las celdas amarillas. El resto se calcula solo.</t>
        </is>
      </c>
    </row>
    <row r="3"/>
    <row r="4">
      <c r="I4" s="15" t="inlineStr">
        <is>
          <t>L visible</t>
        </is>
      </c>
    </row>
    <row r="5">
      <c r="A5" s="3" t="inlineStr">
        <is>
          <t>Sector</t>
        </is>
      </c>
      <c r="B5" s="3" t="inlineStr">
        <is>
          <t>g_base</t>
        </is>
      </c>
      <c r="C5" s="3" t="inlineStr">
        <is>
          <t>f_base</t>
        </is>
      </c>
      <c r="D5" s="3" t="inlineStr">
        <is>
          <t>Shock editable</t>
        </is>
      </c>
      <c r="E5" s="3" t="inlineStr">
        <is>
          <t>Delta_f</t>
        </is>
      </c>
      <c r="F5" s="3" t="inlineStr">
        <is>
          <t>Delta_g</t>
        </is>
      </c>
      <c r="G5" s="3" t="inlineStr">
        <is>
          <t>g_nuevo</t>
        </is>
      </c>
      <c r="J5" s="3" t="inlineStr">
        <is>
          <t>Comércio</t>
        </is>
      </c>
      <c r="K5" s="3" t="inlineStr">
        <is>
          <t>Alimentos e Bebidas</t>
        </is>
      </c>
      <c r="L5" s="3" t="inlineStr">
        <is>
          <t>Tintas vernizes esmaltes e lacas</t>
        </is>
      </c>
      <c r="M5" s="3" t="inlineStr">
        <is>
          <t>Construção civil</t>
        </is>
      </c>
      <c r="N5" s="3" t="inlineStr">
        <is>
          <t>Transporte armazenagem e correio</t>
        </is>
      </c>
      <c r="O5" s="3" t="inlineStr">
        <is>
          <t>Agricultura silvicultura exploração florestal</t>
        </is>
      </c>
    </row>
    <row r="6">
      <c r="A6" s="4" t="inlineStr">
        <is>
          <t>Comércio</t>
        </is>
      </c>
      <c r="B6" s="6" t="n">
        <v>172998.5776728991</v>
      </c>
      <c r="C6" s="6" t="n">
        <v>94755.69595153906</v>
      </c>
      <c r="D6" s="16" t="n">
        <v>0</v>
      </c>
      <c r="E6" s="4">
        <f>C6*D6</f>
        <v/>
      </c>
      <c r="F6" s="4">
        <f>SUMPRODUCT($J6:$O6,$E$6:$E$11)</f>
        <v/>
      </c>
      <c r="G6" s="4">
        <f>B6+F6</f>
        <v/>
      </c>
      <c r="J6" s="6" t="n">
        <v>1.079467971804866</v>
      </c>
      <c r="K6" s="6" t="n">
        <v>0.1339238324969593</v>
      </c>
      <c r="L6" s="6" t="n">
        <v>0.1048118505161552</v>
      </c>
      <c r="M6" s="6" t="n">
        <v>0.04979927758277924</v>
      </c>
      <c r="N6" s="6" t="n">
        <v>0.1148221844791262</v>
      </c>
      <c r="O6" s="6" t="n">
        <v>0.02382399117439748</v>
      </c>
    </row>
    <row r="7">
      <c r="A7" s="4" t="inlineStr">
        <is>
          <t>Alimentos e Bebidas</t>
        </is>
      </c>
      <c r="B7" s="6" t="n">
        <v>145347.8841165121</v>
      </c>
      <c r="C7" s="6" t="n">
        <v>106136.1833379733</v>
      </c>
      <c r="D7" s="16" t="n">
        <v>0.05</v>
      </c>
      <c r="E7" s="4">
        <f>C7*D7</f>
        <v/>
      </c>
      <c r="F7" s="4">
        <f>SUMPRODUCT($J7:$O7,$E$6:$E$11)</f>
        <v/>
      </c>
      <c r="G7" s="4">
        <f>B7+F7</f>
        <v/>
      </c>
      <c r="J7" s="6" t="n">
        <v>0.01129709540351649</v>
      </c>
      <c r="K7" s="6" t="n">
        <v>1.16039790869848</v>
      </c>
      <c r="L7" s="6" t="n">
        <v>0.03104041375946771</v>
      </c>
      <c r="M7" s="6" t="n">
        <v>0.006500490708662568</v>
      </c>
      <c r="N7" s="6" t="n">
        <v>0.01161207777426315</v>
      </c>
      <c r="O7" s="6" t="n">
        <v>0.009150864948548457</v>
      </c>
    </row>
    <row r="8">
      <c r="A8" s="4" t="inlineStr">
        <is>
          <t>Tintas vernizes esmaltes e lacas</t>
        </is>
      </c>
      <c r="B8" s="6" t="n">
        <v>5261.424040213389</v>
      </c>
      <c r="C8" s="6" t="n">
        <v>0</v>
      </c>
      <c r="D8" s="16" t="n">
        <v>0</v>
      </c>
      <c r="E8" s="4">
        <f>C8*D8</f>
        <v/>
      </c>
      <c r="F8" s="4">
        <f>SUMPRODUCT($J8:$O8,$E$6:$E$11)</f>
        <v/>
      </c>
      <c r="G8" s="4">
        <f>B8+F8</f>
        <v/>
      </c>
      <c r="J8" s="6" t="n">
        <v>0.003555200938718098</v>
      </c>
      <c r="K8" s="6" t="n">
        <v>0.002615673118897132</v>
      </c>
      <c r="L8" s="6" t="n">
        <v>1.010402996753343</v>
      </c>
      <c r="M8" s="6" t="n">
        <v>0.01594130375289779</v>
      </c>
      <c r="N8" s="6" t="n">
        <v>0.002467382291518066</v>
      </c>
      <c r="O8" s="6" t="n">
        <v>0.001024028673595466</v>
      </c>
    </row>
    <row r="9">
      <c r="A9" s="4" t="inlineStr">
        <is>
          <t>Construção civil</t>
        </is>
      </c>
      <c r="B9" s="6" t="n">
        <v>150433.3767559023</v>
      </c>
      <c r="C9" s="6" t="n">
        <v>126344.7027758561</v>
      </c>
      <c r="D9" s="16" t="n">
        <v>0</v>
      </c>
      <c r="E9" s="4">
        <f>C9*D9</f>
        <v/>
      </c>
      <c r="F9" s="4">
        <f>SUMPRODUCT($J9:$O9,$E$6:$E$11)</f>
        <v/>
      </c>
      <c r="G9" s="4">
        <f>B9+F9</f>
        <v/>
      </c>
      <c r="J9" s="6" t="n">
        <v>0.006755216242069526</v>
      </c>
      <c r="K9" s="6" t="n">
        <v>0.004877967107734607</v>
      </c>
      <c r="L9" s="6" t="n">
        <v>0.005058912311325338</v>
      </c>
      <c r="M9" s="6" t="n">
        <v>1.09738834359701</v>
      </c>
      <c r="N9" s="6" t="n">
        <v>0.01069232672659309</v>
      </c>
      <c r="O9" s="6" t="n">
        <v>0.00270303383709394</v>
      </c>
    </row>
    <row r="10">
      <c r="A10" s="4" t="inlineStr">
        <is>
          <t>Transporte armazenagem e correio</t>
        </is>
      </c>
      <c r="B10" s="6" t="n">
        <v>105696.9088122315</v>
      </c>
      <c r="C10" s="6" t="n">
        <v>31041.74029255056</v>
      </c>
      <c r="D10" s="16" t="n">
        <v>0</v>
      </c>
      <c r="E10" s="4">
        <f>C10*D10</f>
        <v/>
      </c>
      <c r="F10" s="4">
        <f>SUMPRODUCT($J10:$O10,$E$6:$E$11)</f>
        <v/>
      </c>
      <c r="G10" s="4">
        <f>B10+F10</f>
        <v/>
      </c>
      <c r="J10" s="6" t="n">
        <v>0.08996016077811649</v>
      </c>
      <c r="K10" s="6" t="n">
        <v>0.1256690887392372</v>
      </c>
      <c r="L10" s="6" t="n">
        <v>0.1006785741923711</v>
      </c>
      <c r="M10" s="6" t="n">
        <v>0.04160609718785176</v>
      </c>
      <c r="N10" s="6" t="n">
        <v>1.194186620914375</v>
      </c>
      <c r="O10" s="6" t="n">
        <v>0.0402457042733415</v>
      </c>
    </row>
    <row r="11">
      <c r="A11" s="4" t="inlineStr">
        <is>
          <t>Agricultura silvicultura exploração florestal</t>
        </is>
      </c>
      <c r="B11" s="6" t="n">
        <v>67926.98662659568</v>
      </c>
      <c r="C11" s="6" t="n">
        <v>25757.45522555313</v>
      </c>
      <c r="D11" s="16" t="n">
        <v>0</v>
      </c>
      <c r="E11" s="4">
        <f>C11*D11</f>
        <v/>
      </c>
      <c r="F11" s="4">
        <f>SUMPRODUCT($J11:$O11,$E$6:$E$11)</f>
        <v/>
      </c>
      <c r="G11" s="4">
        <f>B11+F11</f>
        <v/>
      </c>
      <c r="J11" s="6" t="n">
        <v>0.01514159536616312</v>
      </c>
      <c r="K11" s="6" t="n">
        <v>0.2378916131710813</v>
      </c>
      <c r="L11" s="6" t="n">
        <v>0.01685307356495663</v>
      </c>
      <c r="M11" s="6" t="n">
        <v>0.005653630674896484</v>
      </c>
      <c r="N11" s="6" t="n">
        <v>0.006883011730300972</v>
      </c>
      <c r="O11" s="6" t="n">
        <v>1.037703490196797</v>
      </c>
    </row>
  </sheetData>
  <mergeCells count="2">
    <mergeCell ref="A2:H2"/>
    <mergeCell ref="A1:H1"/>
  </mergeCells>
  <dataValidations count="1">
    <dataValidation sqref="D6:D11" showDropDown="0" showInputMessage="0" showErrorMessage="0" allowBlank="0" errorTitle="Shock no valido" error="Usa un porcentaje entre -100% y 100%." type="decimal" operator="between">
      <formula1>-1</formula1>
      <formula2>1</formula2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 ht="30" customHeight="1">
      <c r="A1" s="1" t="inlineStr">
        <is>
          <t>Glosario minimo</t>
        </is>
      </c>
    </row>
    <row r="2">
      <c r="A2" s="2" t="inlineStr">
        <is>
          <t>La traduccion del lenguaje tecnico.</t>
        </is>
      </c>
    </row>
    <row r="3"/>
    <row r="4">
      <c r="A4" s="3" t="inlineStr">
        <is>
          <t>Termino</t>
        </is>
      </c>
      <c r="B4" s="3" t="inlineStr">
        <is>
          <t>En palabras</t>
        </is>
      </c>
    </row>
    <row r="5">
      <c r="A5" s="4" t="inlineStr">
        <is>
          <t>COU</t>
        </is>
      </c>
      <c r="B5" s="4" t="inlineStr">
        <is>
          <t>Cuadro de oferta y utilizacion. Es la fuente antes de tener una MIP.</t>
        </is>
      </c>
    </row>
    <row r="6">
      <c r="A6" s="5" t="inlineStr">
        <is>
          <t>V</t>
        </is>
      </c>
      <c r="B6" s="5" t="inlineStr">
        <is>
          <t>Oferta/produccion: que sector produce que producto.</t>
        </is>
      </c>
    </row>
    <row r="7">
      <c r="A7" s="4" t="inlineStr">
        <is>
          <t>U</t>
        </is>
      </c>
      <c r="B7" s="4" t="inlineStr">
        <is>
          <t>Utilizacion: que producto compra cada sector para producir.</t>
        </is>
      </c>
    </row>
    <row r="8">
      <c r="A8" s="5" t="inlineStr">
        <is>
          <t>Y</t>
        </is>
      </c>
      <c r="B8" s="5" t="inlineStr">
        <is>
          <t>Demanda final: hogares, gobierno, inversion, exportaciones, etc.</t>
        </is>
      </c>
    </row>
    <row r="9">
      <c r="A9" s="4" t="inlineStr">
        <is>
          <t>D</t>
        </is>
      </c>
      <c r="B9" s="4" t="inlineStr">
        <is>
          <t>Matriz de reparto: de producto a sector productor.</t>
        </is>
      </c>
    </row>
    <row r="10">
      <c r="A10" s="5" t="inlineStr">
        <is>
          <t>Z</t>
        </is>
      </c>
      <c r="B10" s="5" t="inlineStr">
        <is>
          <t>Matriz insumo-producto: sector vendedor x sector comprador.</t>
        </is>
      </c>
    </row>
    <row r="11">
      <c r="A11" s="4" t="inlineStr">
        <is>
          <t>A</t>
        </is>
      </c>
      <c r="B11" s="4" t="inlineStr">
        <is>
          <t>Coeficientes tecnicos: insumos requeridos por unidad de produccion.</t>
        </is>
      </c>
    </row>
    <row r="12">
      <c r="A12" s="5" t="inlineStr">
        <is>
          <t>L</t>
        </is>
      </c>
      <c r="B12" s="5" t="inlineStr">
        <is>
          <t>Inversa de Leontief: permite simular choques de demanda.</t>
        </is>
      </c>
    </row>
    <row r="13">
      <c r="A13" s="4" t="inlineStr">
        <is>
          <t>RAS</t>
        </is>
      </c>
      <c r="B13" s="4" t="inlineStr">
        <is>
          <t>Metodo de conciliacion para ajustar filas/columnas manteniendo restricciones.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2026-06-04T19:59:50Z</dcterms:created>
  <dcterms:modified xmlns:dcterms="http://purl.org/dc/terms/" xmlns:xsi="http://www.w3.org/2001/XMLSchema-instance" xsi:type="dcterms:W3CDTF">2026-06-04T19:59:50Z</dcterms:modified>
</cp:coreProperties>
</file>